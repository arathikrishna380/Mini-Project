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71AF54D-160E-4A77-9114-4C5464F89C52}" xr6:coauthVersionLast="47" xr6:coauthVersionMax="47" xr10:uidLastSave="{00000000-0000-0000-0000-000000000000}"/>
  <bookViews>
    <workbookView xWindow="-108" yWindow="-108" windowWidth="23256" windowHeight="12456" xr2:uid="{650F45BF-EA32-4AB2-A8F4-C1287FFAF605}"/>
  </bookViews>
  <sheets>
    <sheet name="Global Freelancers" sheetId="1" r:id="rId1"/>
    <sheet name="Insight" sheetId="2" r:id="rId2"/>
  </sheets>
  <definedNames>
    <definedName name="Slicer_Activity">#N/A</definedName>
    <definedName name="Slicer_Country">#N/A</definedName>
    <definedName name="Slicer_Pricing_Ti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0" i="1" l="1"/>
  <c r="O176" i="1"/>
  <c r="O197" i="1"/>
  <c r="O982" i="1"/>
  <c r="O966" i="1"/>
  <c r="O940" i="1"/>
  <c r="O936" i="1"/>
  <c r="O923" i="1"/>
  <c r="O922" i="1"/>
  <c r="O834" i="1"/>
  <c r="O831" i="1"/>
  <c r="O801" i="1"/>
  <c r="O773" i="1"/>
  <c r="O770" i="1"/>
  <c r="O765" i="1"/>
  <c r="O717" i="1"/>
  <c r="O704" i="1"/>
  <c r="O687" i="1"/>
  <c r="O657" i="1"/>
  <c r="O620" i="1"/>
  <c r="O561" i="1"/>
  <c r="O554" i="1"/>
  <c r="O530" i="1"/>
  <c r="O496" i="1"/>
  <c r="O488" i="1"/>
  <c r="O468" i="1"/>
  <c r="O431" i="1"/>
  <c r="O430" i="1"/>
  <c r="O427" i="1"/>
  <c r="O373" i="1"/>
  <c r="O360" i="1"/>
  <c r="O314" i="1"/>
  <c r="O300" i="1"/>
  <c r="O276" i="1"/>
  <c r="O269" i="1"/>
  <c r="O268" i="1"/>
  <c r="O258" i="1"/>
  <c r="O135" i="1"/>
  <c r="O131" i="1"/>
  <c r="O111" i="1"/>
  <c r="O313" i="1"/>
  <c r="O166" i="1"/>
  <c r="O494" i="1"/>
  <c r="O580" i="1"/>
  <c r="O943" i="1"/>
  <c r="O453" i="1"/>
  <c r="O875" i="1"/>
  <c r="O886" i="1"/>
  <c r="O435" i="1"/>
  <c r="O684" i="1"/>
  <c r="O19" i="1"/>
  <c r="O116" i="1"/>
  <c r="O861" i="1"/>
  <c r="O630" i="1"/>
  <c r="O223" i="1"/>
  <c r="O829" i="1"/>
  <c r="O676" i="1"/>
  <c r="O995" i="1"/>
  <c r="O188" i="1"/>
  <c r="O967" i="1"/>
  <c r="O320" i="1"/>
  <c r="O727" i="1"/>
  <c r="O894" i="1"/>
  <c r="O244" i="1"/>
  <c r="O601" i="1"/>
  <c r="O54" i="1"/>
  <c r="O366" i="1"/>
  <c r="O790" i="1"/>
  <c r="O114" i="1"/>
  <c r="O824" i="1"/>
  <c r="O616" i="1"/>
  <c r="O83" i="1"/>
  <c r="O895" i="1"/>
  <c r="O781" i="1"/>
  <c r="O350" i="1"/>
  <c r="O234" i="1"/>
  <c r="O575" i="1"/>
  <c r="O586" i="1"/>
  <c r="O412" i="1"/>
  <c r="O26" i="1"/>
  <c r="O591" i="1"/>
  <c r="O912" i="1"/>
  <c r="O603" i="1"/>
  <c r="O152" i="1"/>
  <c r="O299" i="1"/>
  <c r="O607" i="1"/>
  <c r="O951" i="1"/>
  <c r="O443" i="1"/>
  <c r="O664"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N1001" i="1"/>
  <c r="Q1001" i="1" s="1"/>
  <c r="N1000" i="1"/>
  <c r="Q1000" i="1" s="1"/>
  <c r="N999" i="1"/>
  <c r="Q999" i="1" s="1"/>
  <c r="N998" i="1"/>
  <c r="Q998" i="1" s="1"/>
  <c r="N997" i="1"/>
  <c r="Q997" i="1" s="1"/>
  <c r="N996" i="1"/>
  <c r="Q996" i="1" s="1"/>
  <c r="N995" i="1"/>
  <c r="Q995" i="1" s="1"/>
  <c r="N994" i="1"/>
  <c r="Q994" i="1" s="1"/>
  <c r="N993" i="1"/>
  <c r="Q993" i="1" s="1"/>
  <c r="N992" i="1"/>
  <c r="Q992" i="1" s="1"/>
  <c r="N991" i="1"/>
  <c r="Q991" i="1" s="1"/>
  <c r="N990" i="1"/>
  <c r="Q990" i="1" s="1"/>
  <c r="N989" i="1"/>
  <c r="Q989" i="1" s="1"/>
  <c r="N988" i="1"/>
  <c r="Q988" i="1" s="1"/>
  <c r="N987" i="1"/>
  <c r="Q987" i="1" s="1"/>
  <c r="N986" i="1"/>
  <c r="Q986" i="1" s="1"/>
  <c r="N985" i="1"/>
  <c r="Q985" i="1" s="1"/>
  <c r="N984" i="1"/>
  <c r="Q984" i="1" s="1"/>
  <c r="N983" i="1"/>
  <c r="Q983" i="1" s="1"/>
  <c r="N982" i="1"/>
  <c r="Q982" i="1" s="1"/>
  <c r="N981" i="1"/>
  <c r="Q981" i="1" s="1"/>
  <c r="N980" i="1"/>
  <c r="Q980" i="1" s="1"/>
  <c r="N979" i="1"/>
  <c r="Q979" i="1" s="1"/>
  <c r="N978" i="1"/>
  <c r="Q978" i="1" s="1"/>
  <c r="N977" i="1"/>
  <c r="Q977" i="1" s="1"/>
  <c r="N976" i="1"/>
  <c r="Q976" i="1" s="1"/>
  <c r="N975" i="1"/>
  <c r="Q975" i="1" s="1"/>
  <c r="N974" i="1"/>
  <c r="Q974" i="1" s="1"/>
  <c r="N973" i="1"/>
  <c r="Q973" i="1" s="1"/>
  <c r="N972" i="1"/>
  <c r="Q972" i="1" s="1"/>
  <c r="N971" i="1"/>
  <c r="Q971" i="1" s="1"/>
  <c r="N970" i="1"/>
  <c r="Q970" i="1" s="1"/>
  <c r="N969" i="1"/>
  <c r="Q969" i="1" s="1"/>
  <c r="N968" i="1"/>
  <c r="Q968" i="1" s="1"/>
  <c r="N967" i="1"/>
  <c r="Q967" i="1" s="1"/>
  <c r="N966" i="1"/>
  <c r="Q966" i="1" s="1"/>
  <c r="N965" i="1"/>
  <c r="Q965" i="1" s="1"/>
  <c r="N964" i="1"/>
  <c r="Q964" i="1" s="1"/>
  <c r="N963" i="1"/>
  <c r="Q963" i="1" s="1"/>
  <c r="N962" i="1"/>
  <c r="Q962" i="1" s="1"/>
  <c r="N961" i="1"/>
  <c r="Q961" i="1" s="1"/>
  <c r="N960" i="1"/>
  <c r="Q960" i="1" s="1"/>
  <c r="N959" i="1"/>
  <c r="Q959" i="1" s="1"/>
  <c r="N958" i="1"/>
  <c r="Q958" i="1" s="1"/>
  <c r="N957" i="1"/>
  <c r="Q957" i="1" s="1"/>
  <c r="N956" i="1"/>
  <c r="Q956" i="1" s="1"/>
  <c r="N955" i="1"/>
  <c r="Q955" i="1" s="1"/>
  <c r="N954" i="1"/>
  <c r="Q954" i="1" s="1"/>
  <c r="N953" i="1"/>
  <c r="Q953" i="1" s="1"/>
  <c r="N952" i="1"/>
  <c r="Q952" i="1" s="1"/>
  <c r="N951" i="1"/>
  <c r="Q951" i="1" s="1"/>
  <c r="N950" i="1"/>
  <c r="Q950" i="1" s="1"/>
  <c r="N949" i="1"/>
  <c r="Q949" i="1" s="1"/>
  <c r="N948" i="1"/>
  <c r="Q948" i="1" s="1"/>
  <c r="N947" i="1"/>
  <c r="Q947" i="1" s="1"/>
  <c r="N946" i="1"/>
  <c r="Q946" i="1" s="1"/>
  <c r="N945" i="1"/>
  <c r="Q945" i="1" s="1"/>
  <c r="N944" i="1"/>
  <c r="Q944" i="1" s="1"/>
  <c r="N943" i="1"/>
  <c r="Q943" i="1" s="1"/>
  <c r="N942" i="1"/>
  <c r="Q942" i="1" s="1"/>
  <c r="N941" i="1"/>
  <c r="Q941" i="1" s="1"/>
  <c r="N940" i="1"/>
  <c r="Q940" i="1" s="1"/>
  <c r="N939" i="1"/>
  <c r="Q939" i="1" s="1"/>
  <c r="N938" i="1"/>
  <c r="Q938" i="1" s="1"/>
  <c r="N937" i="1"/>
  <c r="Q937" i="1" s="1"/>
  <c r="N936" i="1"/>
  <c r="Q936" i="1" s="1"/>
  <c r="N935" i="1"/>
  <c r="Q935" i="1" s="1"/>
  <c r="N934" i="1"/>
  <c r="Q934" i="1" s="1"/>
  <c r="N933" i="1"/>
  <c r="Q933" i="1" s="1"/>
  <c r="N932" i="1"/>
  <c r="Q932" i="1" s="1"/>
  <c r="N931" i="1"/>
  <c r="Q931" i="1" s="1"/>
  <c r="N930" i="1"/>
  <c r="Q930" i="1" s="1"/>
  <c r="N929" i="1"/>
  <c r="Q929" i="1" s="1"/>
  <c r="N928" i="1"/>
  <c r="Q928" i="1" s="1"/>
  <c r="N927" i="1"/>
  <c r="Q927" i="1" s="1"/>
  <c r="N926" i="1"/>
  <c r="Q926" i="1" s="1"/>
  <c r="N925" i="1"/>
  <c r="Q925" i="1" s="1"/>
  <c r="N924" i="1"/>
  <c r="Q924" i="1" s="1"/>
  <c r="N923" i="1"/>
  <c r="Q923" i="1" s="1"/>
  <c r="N922" i="1"/>
  <c r="Q922" i="1" s="1"/>
  <c r="N921" i="1"/>
  <c r="Q921" i="1" s="1"/>
  <c r="N920" i="1"/>
  <c r="Q920" i="1" s="1"/>
  <c r="N919" i="1"/>
  <c r="Q919" i="1" s="1"/>
  <c r="N918" i="1"/>
  <c r="Q918" i="1" s="1"/>
  <c r="N917" i="1"/>
  <c r="Q917" i="1" s="1"/>
  <c r="N916" i="1"/>
  <c r="Q916" i="1" s="1"/>
  <c r="N915" i="1"/>
  <c r="Q915" i="1" s="1"/>
  <c r="N914" i="1"/>
  <c r="Q914" i="1" s="1"/>
  <c r="N913" i="1"/>
  <c r="Q913" i="1" s="1"/>
  <c r="N912" i="1"/>
  <c r="Q912" i="1" s="1"/>
  <c r="N911" i="1"/>
  <c r="Q911" i="1" s="1"/>
  <c r="N910" i="1"/>
  <c r="Q910" i="1" s="1"/>
  <c r="N909" i="1"/>
  <c r="Q909" i="1" s="1"/>
  <c r="N908" i="1"/>
  <c r="Q908" i="1" s="1"/>
  <c r="N907" i="1"/>
  <c r="Q907" i="1" s="1"/>
  <c r="N906" i="1"/>
  <c r="Q906" i="1" s="1"/>
  <c r="N905" i="1"/>
  <c r="Q905" i="1" s="1"/>
  <c r="N904" i="1"/>
  <c r="Q904" i="1" s="1"/>
  <c r="N903" i="1"/>
  <c r="Q903" i="1" s="1"/>
  <c r="N902" i="1"/>
  <c r="Q902" i="1" s="1"/>
  <c r="N901" i="1"/>
  <c r="Q901" i="1" s="1"/>
  <c r="N900" i="1"/>
  <c r="Q900" i="1" s="1"/>
  <c r="N899" i="1"/>
  <c r="Q899" i="1" s="1"/>
  <c r="N898" i="1"/>
  <c r="Q898" i="1" s="1"/>
  <c r="N897" i="1"/>
  <c r="Q897" i="1" s="1"/>
  <c r="N896" i="1"/>
  <c r="Q896" i="1" s="1"/>
  <c r="N895" i="1"/>
  <c r="Q895" i="1" s="1"/>
  <c r="N894" i="1"/>
  <c r="Q894" i="1" s="1"/>
  <c r="N893" i="1"/>
  <c r="Q893" i="1" s="1"/>
  <c r="N892" i="1"/>
  <c r="Q892" i="1" s="1"/>
  <c r="N891" i="1"/>
  <c r="Q891" i="1" s="1"/>
  <c r="N890" i="1"/>
  <c r="Q890" i="1" s="1"/>
  <c r="N889" i="1"/>
  <c r="Q889" i="1" s="1"/>
  <c r="N888" i="1"/>
  <c r="Q888" i="1" s="1"/>
  <c r="N887" i="1"/>
  <c r="Q887" i="1" s="1"/>
  <c r="N886" i="1"/>
  <c r="Q886" i="1" s="1"/>
  <c r="N885" i="1"/>
  <c r="Q885" i="1" s="1"/>
  <c r="N884" i="1"/>
  <c r="Q884" i="1" s="1"/>
  <c r="N883" i="1"/>
  <c r="Q883" i="1" s="1"/>
  <c r="N882" i="1"/>
  <c r="Q882" i="1" s="1"/>
  <c r="N881" i="1"/>
  <c r="Q881" i="1" s="1"/>
  <c r="N880" i="1"/>
  <c r="Q880" i="1" s="1"/>
  <c r="N879" i="1"/>
  <c r="Q879" i="1" s="1"/>
  <c r="N878" i="1"/>
  <c r="Q878" i="1" s="1"/>
  <c r="N877" i="1"/>
  <c r="Q877" i="1" s="1"/>
  <c r="N876" i="1"/>
  <c r="Q876" i="1" s="1"/>
  <c r="N875" i="1"/>
  <c r="Q875" i="1" s="1"/>
  <c r="N874" i="1"/>
  <c r="Q874" i="1" s="1"/>
  <c r="N873" i="1"/>
  <c r="Q873" i="1" s="1"/>
  <c r="N872" i="1"/>
  <c r="Q872" i="1" s="1"/>
  <c r="N871" i="1"/>
  <c r="Q871" i="1" s="1"/>
  <c r="N870" i="1"/>
  <c r="Q870" i="1" s="1"/>
  <c r="N869" i="1"/>
  <c r="Q869" i="1" s="1"/>
  <c r="N868" i="1"/>
  <c r="Q868" i="1" s="1"/>
  <c r="N867" i="1"/>
  <c r="Q867" i="1" s="1"/>
  <c r="N866" i="1"/>
  <c r="Q866" i="1" s="1"/>
  <c r="N865" i="1"/>
  <c r="Q865" i="1" s="1"/>
  <c r="N864" i="1"/>
  <c r="Q864" i="1" s="1"/>
  <c r="N863" i="1"/>
  <c r="Q863" i="1" s="1"/>
  <c r="N862" i="1"/>
  <c r="Q862" i="1" s="1"/>
  <c r="N861" i="1"/>
  <c r="Q861" i="1" s="1"/>
  <c r="N860" i="1"/>
  <c r="Q860" i="1" s="1"/>
  <c r="N859" i="1"/>
  <c r="Q859" i="1" s="1"/>
  <c r="N858" i="1"/>
  <c r="Q858" i="1" s="1"/>
  <c r="N857" i="1"/>
  <c r="Q857" i="1" s="1"/>
  <c r="N856" i="1"/>
  <c r="Q856" i="1" s="1"/>
  <c r="N855" i="1"/>
  <c r="Q855" i="1" s="1"/>
  <c r="N854" i="1"/>
  <c r="Q854" i="1" s="1"/>
  <c r="N853" i="1"/>
  <c r="Q853" i="1" s="1"/>
  <c r="N852" i="1"/>
  <c r="Q852" i="1" s="1"/>
  <c r="N851" i="1"/>
  <c r="Q851" i="1" s="1"/>
  <c r="N850" i="1"/>
  <c r="Q850" i="1" s="1"/>
  <c r="N849" i="1"/>
  <c r="Q849" i="1" s="1"/>
  <c r="N848" i="1"/>
  <c r="Q848" i="1" s="1"/>
  <c r="N847" i="1"/>
  <c r="Q847" i="1" s="1"/>
  <c r="N846" i="1"/>
  <c r="Q846" i="1" s="1"/>
  <c r="N845" i="1"/>
  <c r="Q845" i="1" s="1"/>
  <c r="N844" i="1"/>
  <c r="Q844" i="1" s="1"/>
  <c r="N843" i="1"/>
  <c r="Q843" i="1" s="1"/>
  <c r="N842" i="1"/>
  <c r="Q842" i="1" s="1"/>
  <c r="N841" i="1"/>
  <c r="Q841" i="1" s="1"/>
  <c r="N840" i="1"/>
  <c r="Q840" i="1" s="1"/>
  <c r="N839" i="1"/>
  <c r="Q839" i="1" s="1"/>
  <c r="N838" i="1"/>
  <c r="Q838" i="1" s="1"/>
  <c r="N837" i="1"/>
  <c r="Q837" i="1" s="1"/>
  <c r="N836" i="1"/>
  <c r="Q836" i="1" s="1"/>
  <c r="N835" i="1"/>
  <c r="Q835" i="1" s="1"/>
  <c r="N834" i="1"/>
  <c r="Q834" i="1" s="1"/>
  <c r="N833" i="1"/>
  <c r="Q833" i="1" s="1"/>
  <c r="N832" i="1"/>
  <c r="Q832" i="1" s="1"/>
  <c r="N831" i="1"/>
  <c r="Q831" i="1" s="1"/>
  <c r="N830" i="1"/>
  <c r="Q830" i="1" s="1"/>
  <c r="N829" i="1"/>
  <c r="Q829" i="1" s="1"/>
  <c r="N828" i="1"/>
  <c r="Q828" i="1" s="1"/>
  <c r="N827" i="1"/>
  <c r="Q827" i="1" s="1"/>
  <c r="N826" i="1"/>
  <c r="Q826" i="1" s="1"/>
  <c r="N825" i="1"/>
  <c r="Q825" i="1" s="1"/>
  <c r="N824" i="1"/>
  <c r="Q824" i="1" s="1"/>
  <c r="N823" i="1"/>
  <c r="Q823" i="1" s="1"/>
  <c r="N822" i="1"/>
  <c r="Q822" i="1" s="1"/>
  <c r="N821" i="1"/>
  <c r="Q821" i="1" s="1"/>
  <c r="N820" i="1"/>
  <c r="Q820" i="1" s="1"/>
  <c r="N819" i="1"/>
  <c r="Q819" i="1" s="1"/>
  <c r="N818" i="1"/>
  <c r="Q818" i="1" s="1"/>
  <c r="N817" i="1"/>
  <c r="Q817" i="1" s="1"/>
  <c r="N816" i="1"/>
  <c r="Q816" i="1" s="1"/>
  <c r="N815" i="1"/>
  <c r="Q815" i="1" s="1"/>
  <c r="N814" i="1"/>
  <c r="Q814" i="1" s="1"/>
  <c r="N813" i="1"/>
  <c r="Q813" i="1" s="1"/>
  <c r="N812" i="1"/>
  <c r="Q812" i="1" s="1"/>
  <c r="N811" i="1"/>
  <c r="Q811" i="1" s="1"/>
  <c r="N810" i="1"/>
  <c r="Q810" i="1" s="1"/>
  <c r="N809" i="1"/>
  <c r="Q809" i="1" s="1"/>
  <c r="N808" i="1"/>
  <c r="Q808" i="1" s="1"/>
  <c r="N807" i="1"/>
  <c r="Q807" i="1" s="1"/>
  <c r="N806" i="1"/>
  <c r="Q806" i="1" s="1"/>
  <c r="N805" i="1"/>
  <c r="Q805" i="1" s="1"/>
  <c r="N804" i="1"/>
  <c r="Q804" i="1" s="1"/>
  <c r="N803" i="1"/>
  <c r="Q803" i="1" s="1"/>
  <c r="N802" i="1"/>
  <c r="Q802" i="1" s="1"/>
  <c r="N801" i="1"/>
  <c r="Q801" i="1" s="1"/>
  <c r="N800" i="1"/>
  <c r="Q800" i="1" s="1"/>
  <c r="N799" i="1"/>
  <c r="Q799" i="1" s="1"/>
  <c r="N798" i="1"/>
  <c r="Q798" i="1" s="1"/>
  <c r="N797" i="1"/>
  <c r="Q797" i="1" s="1"/>
  <c r="N796" i="1"/>
  <c r="Q796" i="1" s="1"/>
  <c r="N795" i="1"/>
  <c r="Q795" i="1" s="1"/>
  <c r="N794" i="1"/>
  <c r="Q794" i="1" s="1"/>
  <c r="N793" i="1"/>
  <c r="Q793" i="1" s="1"/>
  <c r="N792" i="1"/>
  <c r="Q792" i="1" s="1"/>
  <c r="N791" i="1"/>
  <c r="Q791" i="1" s="1"/>
  <c r="N790" i="1"/>
  <c r="Q790" i="1" s="1"/>
  <c r="N789" i="1"/>
  <c r="Q789" i="1" s="1"/>
  <c r="N788" i="1"/>
  <c r="Q788" i="1" s="1"/>
  <c r="N787" i="1"/>
  <c r="Q787" i="1" s="1"/>
  <c r="N786" i="1"/>
  <c r="Q786" i="1" s="1"/>
  <c r="N785" i="1"/>
  <c r="Q785" i="1" s="1"/>
  <c r="N784" i="1"/>
  <c r="Q784" i="1" s="1"/>
  <c r="N783" i="1"/>
  <c r="Q783" i="1" s="1"/>
  <c r="N782" i="1"/>
  <c r="Q782" i="1" s="1"/>
  <c r="N781" i="1"/>
  <c r="Q781" i="1" s="1"/>
  <c r="N780" i="1"/>
  <c r="Q780" i="1" s="1"/>
  <c r="N779" i="1"/>
  <c r="Q779" i="1" s="1"/>
  <c r="N778" i="1"/>
  <c r="Q778" i="1" s="1"/>
  <c r="N777" i="1"/>
  <c r="Q777" i="1" s="1"/>
  <c r="N776" i="1"/>
  <c r="Q776" i="1" s="1"/>
  <c r="N775" i="1"/>
  <c r="Q775" i="1" s="1"/>
  <c r="N774" i="1"/>
  <c r="Q774" i="1" s="1"/>
  <c r="N773" i="1"/>
  <c r="Q773" i="1" s="1"/>
  <c r="N772" i="1"/>
  <c r="Q772" i="1" s="1"/>
  <c r="N771" i="1"/>
  <c r="Q771" i="1" s="1"/>
  <c r="N770" i="1"/>
  <c r="Q770" i="1" s="1"/>
  <c r="N769" i="1"/>
  <c r="Q769" i="1" s="1"/>
  <c r="N768" i="1"/>
  <c r="Q768" i="1" s="1"/>
  <c r="N767" i="1"/>
  <c r="Q767" i="1" s="1"/>
  <c r="N766" i="1"/>
  <c r="Q766" i="1" s="1"/>
  <c r="N765" i="1"/>
  <c r="Q765" i="1" s="1"/>
  <c r="N764" i="1"/>
  <c r="Q764" i="1" s="1"/>
  <c r="N763" i="1"/>
  <c r="Q763" i="1" s="1"/>
  <c r="N762" i="1"/>
  <c r="Q762" i="1" s="1"/>
  <c r="N761" i="1"/>
  <c r="Q761" i="1" s="1"/>
  <c r="N760" i="1"/>
  <c r="Q760" i="1" s="1"/>
  <c r="N759" i="1"/>
  <c r="Q759" i="1" s="1"/>
  <c r="N758" i="1"/>
  <c r="Q758" i="1" s="1"/>
  <c r="N757" i="1"/>
  <c r="Q757" i="1" s="1"/>
  <c r="N756" i="1"/>
  <c r="Q756" i="1" s="1"/>
  <c r="N755" i="1"/>
  <c r="Q755" i="1" s="1"/>
  <c r="N754" i="1"/>
  <c r="Q754" i="1" s="1"/>
  <c r="N753" i="1"/>
  <c r="Q753" i="1" s="1"/>
  <c r="N752" i="1"/>
  <c r="Q752" i="1" s="1"/>
  <c r="N751" i="1"/>
  <c r="Q751" i="1" s="1"/>
  <c r="N750" i="1"/>
  <c r="Q750" i="1" s="1"/>
  <c r="N749" i="1"/>
  <c r="Q749" i="1" s="1"/>
  <c r="N748" i="1"/>
  <c r="Q748" i="1" s="1"/>
  <c r="N747" i="1"/>
  <c r="Q747" i="1" s="1"/>
  <c r="N746" i="1"/>
  <c r="Q746" i="1" s="1"/>
  <c r="N745" i="1"/>
  <c r="Q745" i="1" s="1"/>
  <c r="N744" i="1"/>
  <c r="Q744" i="1" s="1"/>
  <c r="N743" i="1"/>
  <c r="Q743" i="1" s="1"/>
  <c r="N742" i="1"/>
  <c r="Q742" i="1" s="1"/>
  <c r="N741" i="1"/>
  <c r="Q741" i="1" s="1"/>
  <c r="N740" i="1"/>
  <c r="Q740" i="1" s="1"/>
  <c r="N739" i="1"/>
  <c r="Q739" i="1" s="1"/>
  <c r="N738" i="1"/>
  <c r="Q738" i="1" s="1"/>
  <c r="N737" i="1"/>
  <c r="Q737" i="1" s="1"/>
  <c r="N736" i="1"/>
  <c r="Q736" i="1" s="1"/>
  <c r="N735" i="1"/>
  <c r="Q735" i="1" s="1"/>
  <c r="N734" i="1"/>
  <c r="Q734" i="1" s="1"/>
  <c r="N733" i="1"/>
  <c r="Q733" i="1" s="1"/>
  <c r="N732" i="1"/>
  <c r="Q732" i="1" s="1"/>
  <c r="N731" i="1"/>
  <c r="Q731" i="1" s="1"/>
  <c r="N730" i="1"/>
  <c r="Q730" i="1" s="1"/>
  <c r="N729" i="1"/>
  <c r="Q729" i="1" s="1"/>
  <c r="N728" i="1"/>
  <c r="Q728" i="1" s="1"/>
  <c r="N727" i="1"/>
  <c r="Q727" i="1" s="1"/>
  <c r="N726" i="1"/>
  <c r="Q726" i="1" s="1"/>
  <c r="N725" i="1"/>
  <c r="Q725" i="1" s="1"/>
  <c r="N724" i="1"/>
  <c r="Q724" i="1" s="1"/>
  <c r="N723" i="1"/>
  <c r="Q723" i="1" s="1"/>
  <c r="N722" i="1"/>
  <c r="Q722" i="1" s="1"/>
  <c r="N721" i="1"/>
  <c r="Q721" i="1" s="1"/>
  <c r="N720" i="1"/>
  <c r="Q720" i="1" s="1"/>
  <c r="N719" i="1"/>
  <c r="Q719" i="1" s="1"/>
  <c r="N718" i="1"/>
  <c r="Q718" i="1" s="1"/>
  <c r="N717" i="1"/>
  <c r="Q717" i="1" s="1"/>
  <c r="N716" i="1"/>
  <c r="Q716" i="1" s="1"/>
  <c r="N715" i="1"/>
  <c r="Q715" i="1" s="1"/>
  <c r="N714" i="1"/>
  <c r="Q714" i="1" s="1"/>
  <c r="N713" i="1"/>
  <c r="Q713" i="1" s="1"/>
  <c r="N712" i="1"/>
  <c r="Q712" i="1" s="1"/>
  <c r="N711" i="1"/>
  <c r="Q711" i="1" s="1"/>
  <c r="N710" i="1"/>
  <c r="Q710" i="1" s="1"/>
  <c r="N709" i="1"/>
  <c r="Q709" i="1" s="1"/>
  <c r="N708" i="1"/>
  <c r="Q708" i="1" s="1"/>
  <c r="N707" i="1"/>
  <c r="Q707" i="1" s="1"/>
  <c r="N706" i="1"/>
  <c r="Q706" i="1" s="1"/>
  <c r="N705" i="1"/>
  <c r="Q705" i="1" s="1"/>
  <c r="N704" i="1"/>
  <c r="Q704" i="1" s="1"/>
  <c r="N703" i="1"/>
  <c r="Q703" i="1" s="1"/>
  <c r="N702" i="1"/>
  <c r="Q702" i="1" s="1"/>
  <c r="N701" i="1"/>
  <c r="Q701" i="1" s="1"/>
  <c r="N700" i="1"/>
  <c r="Q700" i="1" s="1"/>
  <c r="N699" i="1"/>
  <c r="Q699" i="1" s="1"/>
  <c r="N698" i="1"/>
  <c r="Q698" i="1" s="1"/>
  <c r="N697" i="1"/>
  <c r="Q697" i="1" s="1"/>
  <c r="N696" i="1"/>
  <c r="Q696" i="1" s="1"/>
  <c r="N695" i="1"/>
  <c r="Q695" i="1" s="1"/>
  <c r="N694" i="1"/>
  <c r="Q694" i="1" s="1"/>
  <c r="N693" i="1"/>
  <c r="Q693" i="1" s="1"/>
  <c r="N692" i="1"/>
  <c r="Q692" i="1" s="1"/>
  <c r="N691" i="1"/>
  <c r="Q691" i="1" s="1"/>
  <c r="N690" i="1"/>
  <c r="Q690" i="1" s="1"/>
  <c r="N689" i="1"/>
  <c r="Q689" i="1" s="1"/>
  <c r="N688" i="1"/>
  <c r="Q688" i="1" s="1"/>
  <c r="N687" i="1"/>
  <c r="Q687" i="1" s="1"/>
  <c r="N686" i="1"/>
  <c r="Q686" i="1" s="1"/>
  <c r="N685" i="1"/>
  <c r="Q685" i="1" s="1"/>
  <c r="N684" i="1"/>
  <c r="Q684" i="1" s="1"/>
  <c r="N683" i="1"/>
  <c r="Q683" i="1" s="1"/>
  <c r="N682" i="1"/>
  <c r="Q682" i="1" s="1"/>
  <c r="N681" i="1"/>
  <c r="Q681" i="1" s="1"/>
  <c r="N680" i="1"/>
  <c r="Q680" i="1" s="1"/>
  <c r="N679" i="1"/>
  <c r="Q679" i="1" s="1"/>
  <c r="N678" i="1"/>
  <c r="Q678" i="1" s="1"/>
  <c r="N677" i="1"/>
  <c r="Q677" i="1" s="1"/>
  <c r="N676" i="1"/>
  <c r="Q676" i="1" s="1"/>
  <c r="N675" i="1"/>
  <c r="Q675" i="1" s="1"/>
  <c r="N674" i="1"/>
  <c r="Q674" i="1" s="1"/>
  <c r="N673" i="1"/>
  <c r="Q673" i="1" s="1"/>
  <c r="N672" i="1"/>
  <c r="Q672" i="1" s="1"/>
  <c r="N671" i="1"/>
  <c r="Q671" i="1" s="1"/>
  <c r="N670" i="1"/>
  <c r="Q670" i="1" s="1"/>
  <c r="N669" i="1"/>
  <c r="Q669" i="1" s="1"/>
  <c r="N668" i="1"/>
  <c r="Q668" i="1" s="1"/>
  <c r="N667" i="1"/>
  <c r="Q667" i="1" s="1"/>
  <c r="N666" i="1"/>
  <c r="Q666" i="1" s="1"/>
  <c r="N665" i="1"/>
  <c r="Q665" i="1" s="1"/>
  <c r="N664" i="1"/>
  <c r="Q664" i="1" s="1"/>
  <c r="N663" i="1"/>
  <c r="Q663" i="1" s="1"/>
  <c r="N662" i="1"/>
  <c r="Q662" i="1" s="1"/>
  <c r="N661" i="1"/>
  <c r="Q661" i="1" s="1"/>
  <c r="N660" i="1"/>
  <c r="Q660" i="1" s="1"/>
  <c r="N659" i="1"/>
  <c r="Q659" i="1" s="1"/>
  <c r="N658" i="1"/>
  <c r="Q658" i="1" s="1"/>
  <c r="N657" i="1"/>
  <c r="Q657" i="1" s="1"/>
  <c r="N656" i="1"/>
  <c r="Q656" i="1" s="1"/>
  <c r="N655" i="1"/>
  <c r="Q655" i="1" s="1"/>
  <c r="N654" i="1"/>
  <c r="Q654" i="1" s="1"/>
  <c r="N653" i="1"/>
  <c r="Q653" i="1" s="1"/>
  <c r="N652" i="1"/>
  <c r="Q652" i="1" s="1"/>
  <c r="N651" i="1"/>
  <c r="Q651" i="1" s="1"/>
  <c r="N650" i="1"/>
  <c r="Q650" i="1" s="1"/>
  <c r="N649" i="1"/>
  <c r="Q649" i="1" s="1"/>
  <c r="N648" i="1"/>
  <c r="Q648" i="1" s="1"/>
  <c r="N647" i="1"/>
  <c r="Q647" i="1" s="1"/>
  <c r="N646" i="1"/>
  <c r="Q646" i="1" s="1"/>
  <c r="N645" i="1"/>
  <c r="Q645" i="1" s="1"/>
  <c r="N644" i="1"/>
  <c r="Q644" i="1" s="1"/>
  <c r="N643" i="1"/>
  <c r="Q643" i="1" s="1"/>
  <c r="N642" i="1"/>
  <c r="Q642" i="1" s="1"/>
  <c r="N641" i="1"/>
  <c r="Q641" i="1" s="1"/>
  <c r="N640" i="1"/>
  <c r="Q640" i="1" s="1"/>
  <c r="N639" i="1"/>
  <c r="Q639" i="1" s="1"/>
  <c r="N638" i="1"/>
  <c r="Q638" i="1" s="1"/>
  <c r="N637" i="1"/>
  <c r="Q637" i="1" s="1"/>
  <c r="N636" i="1"/>
  <c r="Q636" i="1" s="1"/>
  <c r="N635" i="1"/>
  <c r="Q635" i="1" s="1"/>
  <c r="N634" i="1"/>
  <c r="Q634" i="1" s="1"/>
  <c r="N633" i="1"/>
  <c r="Q633" i="1" s="1"/>
  <c r="N632" i="1"/>
  <c r="Q632" i="1" s="1"/>
  <c r="N631" i="1"/>
  <c r="Q631" i="1" s="1"/>
  <c r="N630" i="1"/>
  <c r="Q630" i="1" s="1"/>
  <c r="N629" i="1"/>
  <c r="Q629" i="1" s="1"/>
  <c r="N628" i="1"/>
  <c r="Q628" i="1" s="1"/>
  <c r="N627" i="1"/>
  <c r="Q627" i="1" s="1"/>
  <c r="N626" i="1"/>
  <c r="Q626" i="1" s="1"/>
  <c r="N625" i="1"/>
  <c r="Q625" i="1" s="1"/>
  <c r="N624" i="1"/>
  <c r="Q624" i="1" s="1"/>
  <c r="N623" i="1"/>
  <c r="Q623" i="1" s="1"/>
  <c r="N622" i="1"/>
  <c r="Q622" i="1" s="1"/>
  <c r="N621" i="1"/>
  <c r="Q621" i="1" s="1"/>
  <c r="N620" i="1"/>
  <c r="Q620" i="1" s="1"/>
  <c r="N619" i="1"/>
  <c r="Q619" i="1" s="1"/>
  <c r="N618" i="1"/>
  <c r="Q618" i="1" s="1"/>
  <c r="N617" i="1"/>
  <c r="Q617" i="1" s="1"/>
  <c r="N616" i="1"/>
  <c r="Q616" i="1" s="1"/>
  <c r="N615" i="1"/>
  <c r="Q615" i="1" s="1"/>
  <c r="N614" i="1"/>
  <c r="Q614" i="1" s="1"/>
  <c r="N613" i="1"/>
  <c r="Q613" i="1" s="1"/>
  <c r="N612" i="1"/>
  <c r="Q612" i="1" s="1"/>
  <c r="N611" i="1"/>
  <c r="Q611" i="1" s="1"/>
  <c r="N610" i="1"/>
  <c r="Q610" i="1" s="1"/>
  <c r="N609" i="1"/>
  <c r="Q609" i="1" s="1"/>
  <c r="N608" i="1"/>
  <c r="Q608" i="1" s="1"/>
  <c r="N607" i="1"/>
  <c r="Q607" i="1" s="1"/>
  <c r="N606" i="1"/>
  <c r="Q606" i="1" s="1"/>
  <c r="N605" i="1"/>
  <c r="Q605" i="1" s="1"/>
  <c r="N604" i="1"/>
  <c r="Q604" i="1" s="1"/>
  <c r="N603" i="1"/>
  <c r="Q603" i="1" s="1"/>
  <c r="N602" i="1"/>
  <c r="Q602" i="1" s="1"/>
  <c r="N601" i="1"/>
  <c r="Q601" i="1" s="1"/>
  <c r="N600" i="1"/>
  <c r="Q600" i="1" s="1"/>
  <c r="N599" i="1"/>
  <c r="Q599" i="1" s="1"/>
  <c r="N598" i="1"/>
  <c r="Q598" i="1" s="1"/>
  <c r="N597" i="1"/>
  <c r="Q597" i="1" s="1"/>
  <c r="N596" i="1"/>
  <c r="Q596" i="1" s="1"/>
  <c r="N595" i="1"/>
  <c r="Q595" i="1" s="1"/>
  <c r="N594" i="1"/>
  <c r="Q594" i="1" s="1"/>
  <c r="N593" i="1"/>
  <c r="Q593" i="1" s="1"/>
  <c r="N592" i="1"/>
  <c r="Q592" i="1" s="1"/>
  <c r="N591" i="1"/>
  <c r="Q591" i="1" s="1"/>
  <c r="N590" i="1"/>
  <c r="Q590" i="1" s="1"/>
  <c r="N589" i="1"/>
  <c r="Q589" i="1" s="1"/>
  <c r="N588" i="1"/>
  <c r="Q588" i="1" s="1"/>
  <c r="N587" i="1"/>
  <c r="Q587" i="1" s="1"/>
  <c r="N586" i="1"/>
  <c r="Q586" i="1" s="1"/>
  <c r="N585" i="1"/>
  <c r="Q585" i="1" s="1"/>
  <c r="N584" i="1"/>
  <c r="Q584" i="1" s="1"/>
  <c r="N583" i="1"/>
  <c r="Q583" i="1" s="1"/>
  <c r="N582" i="1"/>
  <c r="Q582" i="1" s="1"/>
  <c r="N581" i="1"/>
  <c r="Q581" i="1" s="1"/>
  <c r="N580" i="1"/>
  <c r="Q580" i="1" s="1"/>
  <c r="N579" i="1"/>
  <c r="Q579" i="1" s="1"/>
  <c r="N578" i="1"/>
  <c r="Q578" i="1" s="1"/>
  <c r="N577" i="1"/>
  <c r="Q577" i="1" s="1"/>
  <c r="N576" i="1"/>
  <c r="Q576" i="1" s="1"/>
  <c r="N575" i="1"/>
  <c r="Q575" i="1" s="1"/>
  <c r="N574" i="1"/>
  <c r="Q574" i="1" s="1"/>
  <c r="N573" i="1"/>
  <c r="Q573" i="1" s="1"/>
  <c r="N572" i="1"/>
  <c r="Q572" i="1" s="1"/>
  <c r="N571" i="1"/>
  <c r="Q571" i="1" s="1"/>
  <c r="N570" i="1"/>
  <c r="Q570" i="1" s="1"/>
  <c r="N569" i="1"/>
  <c r="Q569" i="1" s="1"/>
  <c r="N568" i="1"/>
  <c r="Q568" i="1" s="1"/>
  <c r="N567" i="1"/>
  <c r="Q567" i="1" s="1"/>
  <c r="N566" i="1"/>
  <c r="Q566" i="1" s="1"/>
  <c r="N565" i="1"/>
  <c r="Q565" i="1" s="1"/>
  <c r="N564" i="1"/>
  <c r="Q564" i="1" s="1"/>
  <c r="N563" i="1"/>
  <c r="Q563" i="1" s="1"/>
  <c r="N562" i="1"/>
  <c r="Q562" i="1" s="1"/>
  <c r="N561" i="1"/>
  <c r="Q561" i="1" s="1"/>
  <c r="N560" i="1"/>
  <c r="Q560" i="1" s="1"/>
  <c r="N559" i="1"/>
  <c r="Q559" i="1" s="1"/>
  <c r="N558" i="1"/>
  <c r="Q558" i="1" s="1"/>
  <c r="N557" i="1"/>
  <c r="Q557" i="1" s="1"/>
  <c r="N556" i="1"/>
  <c r="Q556" i="1" s="1"/>
  <c r="N555" i="1"/>
  <c r="Q555" i="1" s="1"/>
  <c r="N554" i="1"/>
  <c r="Q554" i="1" s="1"/>
  <c r="N553" i="1"/>
  <c r="Q553" i="1" s="1"/>
  <c r="N552" i="1"/>
  <c r="Q552" i="1" s="1"/>
  <c r="N551" i="1"/>
  <c r="Q551" i="1" s="1"/>
  <c r="N550" i="1"/>
  <c r="Q550" i="1" s="1"/>
  <c r="N549" i="1"/>
  <c r="Q549" i="1" s="1"/>
  <c r="N548" i="1"/>
  <c r="Q548" i="1" s="1"/>
  <c r="N547" i="1"/>
  <c r="Q547" i="1" s="1"/>
  <c r="N546" i="1"/>
  <c r="Q546" i="1" s="1"/>
  <c r="N545" i="1"/>
  <c r="Q545" i="1" s="1"/>
  <c r="N544" i="1"/>
  <c r="Q544" i="1" s="1"/>
  <c r="N543" i="1"/>
  <c r="Q543" i="1" s="1"/>
  <c r="N542" i="1"/>
  <c r="Q542" i="1" s="1"/>
  <c r="N541" i="1"/>
  <c r="Q541" i="1" s="1"/>
  <c r="N540" i="1"/>
  <c r="Q540" i="1" s="1"/>
  <c r="N539" i="1"/>
  <c r="Q539" i="1" s="1"/>
  <c r="N538" i="1"/>
  <c r="Q538" i="1" s="1"/>
  <c r="N537" i="1"/>
  <c r="Q537" i="1" s="1"/>
  <c r="N536" i="1"/>
  <c r="Q536" i="1" s="1"/>
  <c r="N535" i="1"/>
  <c r="Q535" i="1" s="1"/>
  <c r="N534" i="1"/>
  <c r="Q534" i="1" s="1"/>
  <c r="N533" i="1"/>
  <c r="Q533" i="1" s="1"/>
  <c r="N532" i="1"/>
  <c r="Q532" i="1" s="1"/>
  <c r="N531" i="1"/>
  <c r="Q531" i="1" s="1"/>
  <c r="N530" i="1"/>
  <c r="Q530" i="1" s="1"/>
  <c r="N529" i="1"/>
  <c r="Q529" i="1" s="1"/>
  <c r="N528" i="1"/>
  <c r="Q528" i="1" s="1"/>
  <c r="N527" i="1"/>
  <c r="Q527" i="1" s="1"/>
  <c r="N526" i="1"/>
  <c r="Q526" i="1" s="1"/>
  <c r="N525" i="1"/>
  <c r="Q525" i="1" s="1"/>
  <c r="N524" i="1"/>
  <c r="Q524" i="1" s="1"/>
  <c r="N523" i="1"/>
  <c r="Q523" i="1" s="1"/>
  <c r="N522" i="1"/>
  <c r="Q522" i="1" s="1"/>
  <c r="N521" i="1"/>
  <c r="Q521" i="1" s="1"/>
  <c r="N520" i="1"/>
  <c r="Q520" i="1" s="1"/>
  <c r="N519" i="1"/>
  <c r="Q519" i="1" s="1"/>
  <c r="N518" i="1"/>
  <c r="Q518" i="1" s="1"/>
  <c r="N517" i="1"/>
  <c r="Q517" i="1" s="1"/>
  <c r="N516" i="1"/>
  <c r="Q516" i="1" s="1"/>
  <c r="N515" i="1"/>
  <c r="Q515" i="1" s="1"/>
  <c r="N514" i="1"/>
  <c r="Q514" i="1" s="1"/>
  <c r="N513" i="1"/>
  <c r="Q513" i="1" s="1"/>
  <c r="N512" i="1"/>
  <c r="Q512" i="1" s="1"/>
  <c r="N511" i="1"/>
  <c r="Q511" i="1" s="1"/>
  <c r="N510" i="1"/>
  <c r="Q510" i="1" s="1"/>
  <c r="N509" i="1"/>
  <c r="Q509" i="1" s="1"/>
  <c r="N508" i="1"/>
  <c r="Q508" i="1" s="1"/>
  <c r="N507" i="1"/>
  <c r="Q507" i="1" s="1"/>
  <c r="N506" i="1"/>
  <c r="Q506" i="1" s="1"/>
  <c r="N505" i="1"/>
  <c r="Q505" i="1" s="1"/>
  <c r="N504" i="1"/>
  <c r="Q504" i="1" s="1"/>
  <c r="N503" i="1"/>
  <c r="Q503" i="1" s="1"/>
  <c r="N502" i="1"/>
  <c r="Q502" i="1" s="1"/>
  <c r="N501" i="1"/>
  <c r="Q501" i="1" s="1"/>
  <c r="N500" i="1"/>
  <c r="Q500" i="1" s="1"/>
  <c r="N499" i="1"/>
  <c r="Q499" i="1" s="1"/>
  <c r="N498" i="1"/>
  <c r="Q498" i="1" s="1"/>
  <c r="N497" i="1"/>
  <c r="Q497" i="1" s="1"/>
  <c r="N496" i="1"/>
  <c r="Q496" i="1" s="1"/>
  <c r="N495" i="1"/>
  <c r="Q495" i="1" s="1"/>
  <c r="N494" i="1"/>
  <c r="Q494" i="1" s="1"/>
  <c r="N493" i="1"/>
  <c r="Q493" i="1" s="1"/>
  <c r="N492" i="1"/>
  <c r="Q492" i="1" s="1"/>
  <c r="N491" i="1"/>
  <c r="Q491" i="1" s="1"/>
  <c r="N490" i="1"/>
  <c r="Q490" i="1" s="1"/>
  <c r="N489" i="1"/>
  <c r="Q489" i="1" s="1"/>
  <c r="N488" i="1"/>
  <c r="Q488" i="1" s="1"/>
  <c r="N487" i="1"/>
  <c r="Q487" i="1" s="1"/>
  <c r="N486" i="1"/>
  <c r="Q486" i="1" s="1"/>
  <c r="N485" i="1"/>
  <c r="Q485" i="1" s="1"/>
  <c r="N484" i="1"/>
  <c r="Q484" i="1" s="1"/>
  <c r="N483" i="1"/>
  <c r="Q483" i="1" s="1"/>
  <c r="N482" i="1"/>
  <c r="Q482" i="1" s="1"/>
  <c r="N481" i="1"/>
  <c r="Q481" i="1" s="1"/>
  <c r="N480" i="1"/>
  <c r="Q480" i="1" s="1"/>
  <c r="N479" i="1"/>
  <c r="Q479" i="1" s="1"/>
  <c r="N478" i="1"/>
  <c r="Q478" i="1" s="1"/>
  <c r="N477" i="1"/>
  <c r="Q477" i="1" s="1"/>
  <c r="N476" i="1"/>
  <c r="Q476" i="1" s="1"/>
  <c r="N475" i="1"/>
  <c r="Q475" i="1" s="1"/>
  <c r="N474" i="1"/>
  <c r="Q474" i="1" s="1"/>
  <c r="N473" i="1"/>
  <c r="Q473" i="1" s="1"/>
  <c r="N472" i="1"/>
  <c r="Q472" i="1" s="1"/>
  <c r="N471" i="1"/>
  <c r="Q471" i="1" s="1"/>
  <c r="N470" i="1"/>
  <c r="Q470" i="1" s="1"/>
  <c r="N469" i="1"/>
  <c r="Q469" i="1" s="1"/>
  <c r="N468" i="1"/>
  <c r="Q468" i="1" s="1"/>
  <c r="N467" i="1"/>
  <c r="Q467" i="1" s="1"/>
  <c r="N466" i="1"/>
  <c r="Q466" i="1" s="1"/>
  <c r="N465" i="1"/>
  <c r="Q465" i="1" s="1"/>
  <c r="N464" i="1"/>
  <c r="Q464" i="1" s="1"/>
  <c r="N463" i="1"/>
  <c r="Q463" i="1" s="1"/>
  <c r="N462" i="1"/>
  <c r="Q462" i="1" s="1"/>
  <c r="N461" i="1"/>
  <c r="Q461" i="1" s="1"/>
  <c r="N460" i="1"/>
  <c r="Q460" i="1" s="1"/>
  <c r="N459" i="1"/>
  <c r="Q459" i="1" s="1"/>
  <c r="N458" i="1"/>
  <c r="Q458" i="1" s="1"/>
  <c r="N457" i="1"/>
  <c r="Q457" i="1" s="1"/>
  <c r="N456" i="1"/>
  <c r="Q456" i="1" s="1"/>
  <c r="N455" i="1"/>
  <c r="Q455" i="1" s="1"/>
  <c r="N454" i="1"/>
  <c r="Q454" i="1" s="1"/>
  <c r="N453" i="1"/>
  <c r="Q453" i="1" s="1"/>
  <c r="N452" i="1"/>
  <c r="Q452" i="1" s="1"/>
  <c r="N451" i="1"/>
  <c r="Q451" i="1" s="1"/>
  <c r="N450" i="1"/>
  <c r="Q450" i="1" s="1"/>
  <c r="N449" i="1"/>
  <c r="Q449" i="1" s="1"/>
  <c r="N448" i="1"/>
  <c r="Q448" i="1" s="1"/>
  <c r="N447" i="1"/>
  <c r="Q447" i="1" s="1"/>
  <c r="N446" i="1"/>
  <c r="Q446" i="1" s="1"/>
  <c r="N445" i="1"/>
  <c r="Q445" i="1" s="1"/>
  <c r="N444" i="1"/>
  <c r="Q444" i="1" s="1"/>
  <c r="N443" i="1"/>
  <c r="Q443" i="1" s="1"/>
  <c r="N442" i="1"/>
  <c r="Q442" i="1" s="1"/>
  <c r="N441" i="1"/>
  <c r="Q441" i="1" s="1"/>
  <c r="N440" i="1"/>
  <c r="Q440" i="1" s="1"/>
  <c r="N439" i="1"/>
  <c r="Q439" i="1" s="1"/>
  <c r="N438" i="1"/>
  <c r="Q438" i="1" s="1"/>
  <c r="N437" i="1"/>
  <c r="Q437" i="1" s="1"/>
  <c r="N436" i="1"/>
  <c r="Q436" i="1" s="1"/>
  <c r="N435" i="1"/>
  <c r="Q435" i="1" s="1"/>
  <c r="N434" i="1"/>
  <c r="Q434" i="1" s="1"/>
  <c r="N433" i="1"/>
  <c r="Q433" i="1" s="1"/>
  <c r="N432" i="1"/>
  <c r="Q432" i="1" s="1"/>
  <c r="N431" i="1"/>
  <c r="Q431" i="1" s="1"/>
  <c r="N430" i="1"/>
  <c r="Q430" i="1" s="1"/>
  <c r="N429" i="1"/>
  <c r="Q429" i="1" s="1"/>
  <c r="N428" i="1"/>
  <c r="Q428" i="1" s="1"/>
  <c r="N427" i="1"/>
  <c r="Q427" i="1" s="1"/>
  <c r="N426" i="1"/>
  <c r="Q426" i="1" s="1"/>
  <c r="N425" i="1"/>
  <c r="Q425" i="1" s="1"/>
  <c r="N424" i="1"/>
  <c r="Q424" i="1" s="1"/>
  <c r="N423" i="1"/>
  <c r="Q423" i="1" s="1"/>
  <c r="N422" i="1"/>
  <c r="Q422" i="1" s="1"/>
  <c r="N421" i="1"/>
  <c r="Q421" i="1" s="1"/>
  <c r="N420" i="1"/>
  <c r="Q420" i="1" s="1"/>
  <c r="N419" i="1"/>
  <c r="Q419" i="1" s="1"/>
  <c r="N418" i="1"/>
  <c r="Q418" i="1" s="1"/>
  <c r="N417" i="1"/>
  <c r="Q417" i="1" s="1"/>
  <c r="N416" i="1"/>
  <c r="Q416" i="1" s="1"/>
  <c r="N415" i="1"/>
  <c r="Q415" i="1" s="1"/>
  <c r="N414" i="1"/>
  <c r="Q414" i="1" s="1"/>
  <c r="N413" i="1"/>
  <c r="Q413" i="1" s="1"/>
  <c r="N412" i="1"/>
  <c r="Q412" i="1" s="1"/>
  <c r="N411" i="1"/>
  <c r="Q411" i="1" s="1"/>
  <c r="N410" i="1"/>
  <c r="Q410" i="1" s="1"/>
  <c r="N409" i="1"/>
  <c r="Q409" i="1" s="1"/>
  <c r="N408" i="1"/>
  <c r="Q408" i="1" s="1"/>
  <c r="N407" i="1"/>
  <c r="Q407" i="1" s="1"/>
  <c r="N406" i="1"/>
  <c r="Q406" i="1" s="1"/>
  <c r="N405" i="1"/>
  <c r="Q405" i="1" s="1"/>
  <c r="N404" i="1"/>
  <c r="Q404" i="1" s="1"/>
  <c r="N403" i="1"/>
  <c r="Q403" i="1" s="1"/>
  <c r="N402" i="1"/>
  <c r="Q402" i="1" s="1"/>
  <c r="N401" i="1"/>
  <c r="Q401" i="1" s="1"/>
  <c r="N400" i="1"/>
  <c r="Q400" i="1" s="1"/>
  <c r="N399" i="1"/>
  <c r="Q399" i="1" s="1"/>
  <c r="N398" i="1"/>
  <c r="Q398" i="1" s="1"/>
  <c r="N397" i="1"/>
  <c r="Q397" i="1" s="1"/>
  <c r="N396" i="1"/>
  <c r="Q396" i="1" s="1"/>
  <c r="N395" i="1"/>
  <c r="Q395" i="1" s="1"/>
  <c r="N394" i="1"/>
  <c r="Q394" i="1" s="1"/>
  <c r="N393" i="1"/>
  <c r="Q393" i="1" s="1"/>
  <c r="N392" i="1"/>
  <c r="Q392" i="1" s="1"/>
  <c r="N391" i="1"/>
  <c r="Q391" i="1" s="1"/>
  <c r="N390" i="1"/>
  <c r="Q390" i="1" s="1"/>
  <c r="N389" i="1"/>
  <c r="Q389" i="1" s="1"/>
  <c r="N388" i="1"/>
  <c r="Q388" i="1" s="1"/>
  <c r="N387" i="1"/>
  <c r="Q387" i="1" s="1"/>
  <c r="N386" i="1"/>
  <c r="Q386" i="1" s="1"/>
  <c r="N385" i="1"/>
  <c r="Q385" i="1" s="1"/>
  <c r="N384" i="1"/>
  <c r="Q384" i="1" s="1"/>
  <c r="N383" i="1"/>
  <c r="Q383" i="1" s="1"/>
  <c r="N382" i="1"/>
  <c r="Q382" i="1" s="1"/>
  <c r="N381" i="1"/>
  <c r="Q381" i="1" s="1"/>
  <c r="N380" i="1"/>
  <c r="Q380" i="1" s="1"/>
  <c r="N379" i="1"/>
  <c r="Q379" i="1" s="1"/>
  <c r="N378" i="1"/>
  <c r="Q378" i="1" s="1"/>
  <c r="N377" i="1"/>
  <c r="Q377" i="1" s="1"/>
  <c r="N376" i="1"/>
  <c r="Q376" i="1" s="1"/>
  <c r="N375" i="1"/>
  <c r="Q375" i="1" s="1"/>
  <c r="N374" i="1"/>
  <c r="Q374" i="1" s="1"/>
  <c r="N373" i="1"/>
  <c r="Q373" i="1" s="1"/>
  <c r="N372" i="1"/>
  <c r="Q372" i="1" s="1"/>
  <c r="N371" i="1"/>
  <c r="Q371" i="1" s="1"/>
  <c r="N370" i="1"/>
  <c r="Q370" i="1" s="1"/>
  <c r="N369" i="1"/>
  <c r="Q369" i="1" s="1"/>
  <c r="N368" i="1"/>
  <c r="Q368" i="1" s="1"/>
  <c r="N367" i="1"/>
  <c r="Q367" i="1" s="1"/>
  <c r="N366" i="1"/>
  <c r="Q366" i="1" s="1"/>
  <c r="N365" i="1"/>
  <c r="Q365" i="1" s="1"/>
  <c r="N364" i="1"/>
  <c r="Q364" i="1" s="1"/>
  <c r="N363" i="1"/>
  <c r="Q363" i="1" s="1"/>
  <c r="N362" i="1"/>
  <c r="Q362" i="1" s="1"/>
  <c r="N361" i="1"/>
  <c r="Q361" i="1" s="1"/>
  <c r="N360" i="1"/>
  <c r="Q360" i="1" s="1"/>
  <c r="N359" i="1"/>
  <c r="Q359" i="1" s="1"/>
  <c r="N358" i="1"/>
  <c r="Q358" i="1" s="1"/>
  <c r="N357" i="1"/>
  <c r="Q357" i="1" s="1"/>
  <c r="N356" i="1"/>
  <c r="Q356" i="1" s="1"/>
  <c r="N355" i="1"/>
  <c r="Q355" i="1" s="1"/>
  <c r="N354" i="1"/>
  <c r="Q354" i="1" s="1"/>
  <c r="N353" i="1"/>
  <c r="Q353" i="1" s="1"/>
  <c r="N352" i="1"/>
  <c r="Q352" i="1" s="1"/>
  <c r="N351" i="1"/>
  <c r="Q351" i="1" s="1"/>
  <c r="N350" i="1"/>
  <c r="Q350" i="1" s="1"/>
  <c r="N349" i="1"/>
  <c r="Q349" i="1" s="1"/>
  <c r="N348" i="1"/>
  <c r="Q348" i="1" s="1"/>
  <c r="N347" i="1"/>
  <c r="Q347" i="1" s="1"/>
  <c r="N346" i="1"/>
  <c r="Q346" i="1" s="1"/>
  <c r="N345" i="1"/>
  <c r="Q345" i="1" s="1"/>
  <c r="N344" i="1"/>
  <c r="Q344" i="1" s="1"/>
  <c r="N343" i="1"/>
  <c r="Q343" i="1" s="1"/>
  <c r="N342" i="1"/>
  <c r="Q342" i="1" s="1"/>
  <c r="N341" i="1"/>
  <c r="Q341" i="1" s="1"/>
  <c r="N340" i="1"/>
  <c r="Q340" i="1" s="1"/>
  <c r="N339" i="1"/>
  <c r="Q339" i="1" s="1"/>
  <c r="N338" i="1"/>
  <c r="Q338" i="1" s="1"/>
  <c r="N337" i="1"/>
  <c r="Q337" i="1" s="1"/>
  <c r="N336" i="1"/>
  <c r="Q336" i="1" s="1"/>
  <c r="N335" i="1"/>
  <c r="Q335" i="1" s="1"/>
  <c r="N334" i="1"/>
  <c r="Q334" i="1" s="1"/>
  <c r="N333" i="1"/>
  <c r="Q333" i="1" s="1"/>
  <c r="N332" i="1"/>
  <c r="Q332" i="1" s="1"/>
  <c r="N331" i="1"/>
  <c r="Q331" i="1" s="1"/>
  <c r="N330" i="1"/>
  <c r="Q330" i="1" s="1"/>
  <c r="N329" i="1"/>
  <c r="Q329" i="1" s="1"/>
  <c r="N328" i="1"/>
  <c r="Q328" i="1" s="1"/>
  <c r="N327" i="1"/>
  <c r="Q327" i="1" s="1"/>
  <c r="N326" i="1"/>
  <c r="Q326" i="1" s="1"/>
  <c r="N325" i="1"/>
  <c r="Q325" i="1" s="1"/>
  <c r="N324" i="1"/>
  <c r="Q324" i="1" s="1"/>
  <c r="N323" i="1"/>
  <c r="Q323" i="1" s="1"/>
  <c r="N322" i="1"/>
  <c r="Q322" i="1" s="1"/>
  <c r="N321" i="1"/>
  <c r="Q321" i="1" s="1"/>
  <c r="N320" i="1"/>
  <c r="Q320" i="1" s="1"/>
  <c r="N319" i="1"/>
  <c r="Q319" i="1" s="1"/>
  <c r="N318" i="1"/>
  <c r="Q318" i="1" s="1"/>
  <c r="N317" i="1"/>
  <c r="Q317" i="1" s="1"/>
  <c r="N316" i="1"/>
  <c r="Q316" i="1" s="1"/>
  <c r="N315" i="1"/>
  <c r="Q315" i="1" s="1"/>
  <c r="N314" i="1"/>
  <c r="Q314" i="1" s="1"/>
  <c r="N313" i="1"/>
  <c r="Q313" i="1" s="1"/>
  <c r="N312" i="1"/>
  <c r="Q312" i="1" s="1"/>
  <c r="N311" i="1"/>
  <c r="Q311" i="1" s="1"/>
  <c r="N310" i="1"/>
  <c r="Q310" i="1" s="1"/>
  <c r="N309" i="1"/>
  <c r="Q309" i="1" s="1"/>
  <c r="N308" i="1"/>
  <c r="Q308" i="1" s="1"/>
  <c r="N307" i="1"/>
  <c r="Q307" i="1" s="1"/>
  <c r="N306" i="1"/>
  <c r="Q306" i="1" s="1"/>
  <c r="N305" i="1"/>
  <c r="Q305" i="1" s="1"/>
  <c r="N304" i="1"/>
  <c r="Q304" i="1" s="1"/>
  <c r="N303" i="1"/>
  <c r="Q303" i="1" s="1"/>
  <c r="N302" i="1"/>
  <c r="Q302" i="1" s="1"/>
  <c r="N301" i="1"/>
  <c r="Q301" i="1" s="1"/>
  <c r="N300" i="1"/>
  <c r="Q300" i="1" s="1"/>
  <c r="N299" i="1"/>
  <c r="Q299" i="1" s="1"/>
  <c r="N298" i="1"/>
  <c r="Q298" i="1" s="1"/>
  <c r="N297" i="1"/>
  <c r="Q297" i="1" s="1"/>
  <c r="N296" i="1"/>
  <c r="Q296" i="1" s="1"/>
  <c r="N295" i="1"/>
  <c r="Q295" i="1" s="1"/>
  <c r="N294" i="1"/>
  <c r="Q294" i="1" s="1"/>
  <c r="N293" i="1"/>
  <c r="Q293" i="1" s="1"/>
  <c r="N292" i="1"/>
  <c r="Q292" i="1" s="1"/>
  <c r="N291" i="1"/>
  <c r="Q291" i="1" s="1"/>
  <c r="N290" i="1"/>
  <c r="Q290" i="1" s="1"/>
  <c r="N289" i="1"/>
  <c r="Q289" i="1" s="1"/>
  <c r="N288" i="1"/>
  <c r="Q288" i="1" s="1"/>
  <c r="N287" i="1"/>
  <c r="Q287" i="1" s="1"/>
  <c r="N286" i="1"/>
  <c r="Q286" i="1" s="1"/>
  <c r="N285" i="1"/>
  <c r="Q285" i="1" s="1"/>
  <c r="N284" i="1"/>
  <c r="Q284" i="1" s="1"/>
  <c r="N283" i="1"/>
  <c r="Q283" i="1" s="1"/>
  <c r="N282" i="1"/>
  <c r="Q282" i="1" s="1"/>
  <c r="N281" i="1"/>
  <c r="Q281" i="1" s="1"/>
  <c r="N280" i="1"/>
  <c r="Q280" i="1" s="1"/>
  <c r="N279" i="1"/>
  <c r="Q279" i="1" s="1"/>
  <c r="N278" i="1"/>
  <c r="Q278" i="1" s="1"/>
  <c r="N277" i="1"/>
  <c r="Q277" i="1" s="1"/>
  <c r="N276" i="1"/>
  <c r="Q276" i="1" s="1"/>
  <c r="N275" i="1"/>
  <c r="Q275" i="1" s="1"/>
  <c r="N274" i="1"/>
  <c r="Q274" i="1" s="1"/>
  <c r="N273" i="1"/>
  <c r="Q273" i="1" s="1"/>
  <c r="N272" i="1"/>
  <c r="Q272" i="1" s="1"/>
  <c r="N271" i="1"/>
  <c r="Q271" i="1" s="1"/>
  <c r="N270" i="1"/>
  <c r="Q270" i="1" s="1"/>
  <c r="N269" i="1"/>
  <c r="Q269" i="1" s="1"/>
  <c r="N268" i="1"/>
  <c r="Q268" i="1" s="1"/>
  <c r="N267" i="1"/>
  <c r="Q267" i="1" s="1"/>
  <c r="N266" i="1"/>
  <c r="Q266" i="1" s="1"/>
  <c r="N265" i="1"/>
  <c r="Q265" i="1" s="1"/>
  <c r="N264" i="1"/>
  <c r="Q264" i="1" s="1"/>
  <c r="N263" i="1"/>
  <c r="Q263" i="1" s="1"/>
  <c r="N262" i="1"/>
  <c r="Q262" i="1" s="1"/>
  <c r="N261" i="1"/>
  <c r="Q261" i="1" s="1"/>
  <c r="N260" i="1"/>
  <c r="Q260" i="1" s="1"/>
  <c r="N259" i="1"/>
  <c r="Q259" i="1" s="1"/>
  <c r="N258" i="1"/>
  <c r="Q258" i="1" s="1"/>
  <c r="N257" i="1"/>
  <c r="Q257" i="1" s="1"/>
  <c r="N256" i="1"/>
  <c r="Q256" i="1" s="1"/>
  <c r="N255" i="1"/>
  <c r="Q255" i="1" s="1"/>
  <c r="N254" i="1"/>
  <c r="Q254" i="1" s="1"/>
  <c r="N253" i="1"/>
  <c r="Q253" i="1" s="1"/>
  <c r="N252" i="1"/>
  <c r="Q252" i="1" s="1"/>
  <c r="N251" i="1"/>
  <c r="Q251" i="1" s="1"/>
  <c r="N250" i="1"/>
  <c r="Q250" i="1" s="1"/>
  <c r="N249" i="1"/>
  <c r="Q249" i="1" s="1"/>
  <c r="N248" i="1"/>
  <c r="Q248" i="1" s="1"/>
  <c r="N247" i="1"/>
  <c r="Q247" i="1" s="1"/>
  <c r="N246" i="1"/>
  <c r="Q246" i="1" s="1"/>
  <c r="N245" i="1"/>
  <c r="Q245" i="1" s="1"/>
  <c r="N244" i="1"/>
  <c r="Q244" i="1" s="1"/>
  <c r="N243" i="1"/>
  <c r="Q243" i="1" s="1"/>
  <c r="N242" i="1"/>
  <c r="Q242" i="1" s="1"/>
  <c r="N241" i="1"/>
  <c r="Q241" i="1" s="1"/>
  <c r="N240" i="1"/>
  <c r="Q240" i="1" s="1"/>
  <c r="N239" i="1"/>
  <c r="Q239" i="1" s="1"/>
  <c r="N238" i="1"/>
  <c r="Q238" i="1" s="1"/>
  <c r="N237" i="1"/>
  <c r="Q237" i="1" s="1"/>
  <c r="N236" i="1"/>
  <c r="Q236" i="1" s="1"/>
  <c r="N235" i="1"/>
  <c r="Q235" i="1" s="1"/>
  <c r="N234" i="1"/>
  <c r="Q234" i="1" s="1"/>
  <c r="N233" i="1"/>
  <c r="Q233" i="1" s="1"/>
  <c r="N232" i="1"/>
  <c r="Q232" i="1" s="1"/>
  <c r="N231" i="1"/>
  <c r="Q231" i="1" s="1"/>
  <c r="N230" i="1"/>
  <c r="Q230" i="1" s="1"/>
  <c r="N229" i="1"/>
  <c r="Q229" i="1" s="1"/>
  <c r="N228" i="1"/>
  <c r="Q228" i="1" s="1"/>
  <c r="N227" i="1"/>
  <c r="Q227" i="1" s="1"/>
  <c r="N226" i="1"/>
  <c r="Q226" i="1" s="1"/>
  <c r="N225" i="1"/>
  <c r="Q225" i="1" s="1"/>
  <c r="N224" i="1"/>
  <c r="Q224" i="1" s="1"/>
  <c r="N223" i="1"/>
  <c r="Q223" i="1" s="1"/>
  <c r="N222" i="1"/>
  <c r="Q222" i="1" s="1"/>
  <c r="N221" i="1"/>
  <c r="Q221" i="1" s="1"/>
  <c r="N220" i="1"/>
  <c r="Q220" i="1" s="1"/>
  <c r="N219" i="1"/>
  <c r="Q219" i="1" s="1"/>
  <c r="N218" i="1"/>
  <c r="Q218" i="1" s="1"/>
  <c r="N217" i="1"/>
  <c r="Q217" i="1" s="1"/>
  <c r="N216" i="1"/>
  <c r="Q216" i="1" s="1"/>
  <c r="N215" i="1"/>
  <c r="Q215" i="1" s="1"/>
  <c r="N214" i="1"/>
  <c r="Q214" i="1" s="1"/>
  <c r="N213" i="1"/>
  <c r="Q213" i="1" s="1"/>
  <c r="N212" i="1"/>
  <c r="Q212" i="1" s="1"/>
  <c r="N211" i="1"/>
  <c r="Q211" i="1" s="1"/>
  <c r="N210" i="1"/>
  <c r="Q210" i="1" s="1"/>
  <c r="N209" i="1"/>
  <c r="Q209" i="1" s="1"/>
  <c r="N208" i="1"/>
  <c r="Q208" i="1" s="1"/>
  <c r="N207" i="1"/>
  <c r="Q207" i="1" s="1"/>
  <c r="N206" i="1"/>
  <c r="Q206" i="1" s="1"/>
  <c r="N205" i="1"/>
  <c r="Q205" i="1" s="1"/>
  <c r="N204" i="1"/>
  <c r="Q204" i="1" s="1"/>
  <c r="N203" i="1"/>
  <c r="Q203" i="1" s="1"/>
  <c r="N202" i="1"/>
  <c r="Q202" i="1" s="1"/>
  <c r="N201" i="1"/>
  <c r="Q201" i="1" s="1"/>
  <c r="N200" i="1"/>
  <c r="Q200" i="1" s="1"/>
  <c r="N199" i="1"/>
  <c r="Q199" i="1" s="1"/>
  <c r="N198" i="1"/>
  <c r="Q198" i="1" s="1"/>
  <c r="N197" i="1"/>
  <c r="Q197" i="1" s="1"/>
  <c r="N196" i="1"/>
  <c r="Q196" i="1" s="1"/>
  <c r="N195" i="1"/>
  <c r="Q195" i="1" s="1"/>
  <c r="N194" i="1"/>
  <c r="Q194" i="1" s="1"/>
  <c r="N193" i="1"/>
  <c r="Q193" i="1" s="1"/>
  <c r="N192" i="1"/>
  <c r="Q192" i="1" s="1"/>
  <c r="N191" i="1"/>
  <c r="Q191" i="1" s="1"/>
  <c r="N190" i="1"/>
  <c r="Q190" i="1" s="1"/>
  <c r="N189" i="1"/>
  <c r="Q189" i="1" s="1"/>
  <c r="N188" i="1"/>
  <c r="Q188" i="1" s="1"/>
  <c r="N187" i="1"/>
  <c r="Q187" i="1" s="1"/>
  <c r="N186" i="1"/>
  <c r="Q186" i="1" s="1"/>
  <c r="N185" i="1"/>
  <c r="Q185" i="1" s="1"/>
  <c r="N184" i="1"/>
  <c r="Q184" i="1" s="1"/>
  <c r="N183" i="1"/>
  <c r="Q183" i="1" s="1"/>
  <c r="N182" i="1"/>
  <c r="Q182" i="1" s="1"/>
  <c r="N181" i="1"/>
  <c r="Q181" i="1" s="1"/>
  <c r="N180" i="1"/>
  <c r="Q180" i="1" s="1"/>
  <c r="N179" i="1"/>
  <c r="Q179" i="1" s="1"/>
  <c r="N178" i="1"/>
  <c r="Q178" i="1" s="1"/>
  <c r="N177" i="1"/>
  <c r="Q177" i="1" s="1"/>
  <c r="N176" i="1"/>
  <c r="Q176" i="1" s="1"/>
  <c r="N175" i="1"/>
  <c r="Q175" i="1" s="1"/>
  <c r="N174" i="1"/>
  <c r="Q174" i="1" s="1"/>
  <c r="N173" i="1"/>
  <c r="Q173" i="1" s="1"/>
  <c r="N172" i="1"/>
  <c r="Q172" i="1" s="1"/>
  <c r="N171" i="1"/>
  <c r="Q171" i="1" s="1"/>
  <c r="N170" i="1"/>
  <c r="Q170" i="1" s="1"/>
  <c r="N169" i="1"/>
  <c r="Q169" i="1" s="1"/>
  <c r="N168" i="1"/>
  <c r="Q168" i="1" s="1"/>
  <c r="N167" i="1"/>
  <c r="Q167" i="1" s="1"/>
  <c r="N166" i="1"/>
  <c r="Q166" i="1" s="1"/>
  <c r="N165" i="1"/>
  <c r="Q165" i="1" s="1"/>
  <c r="N164" i="1"/>
  <c r="Q164" i="1" s="1"/>
  <c r="N163" i="1"/>
  <c r="Q163" i="1" s="1"/>
  <c r="N162" i="1"/>
  <c r="Q162" i="1" s="1"/>
  <c r="N161" i="1"/>
  <c r="Q161" i="1" s="1"/>
  <c r="N160" i="1"/>
  <c r="Q160" i="1" s="1"/>
  <c r="N159" i="1"/>
  <c r="Q159" i="1" s="1"/>
  <c r="N158" i="1"/>
  <c r="Q158" i="1" s="1"/>
  <c r="N157" i="1"/>
  <c r="Q157" i="1" s="1"/>
  <c r="N156" i="1"/>
  <c r="Q156" i="1" s="1"/>
  <c r="N155" i="1"/>
  <c r="Q155" i="1" s="1"/>
  <c r="N154" i="1"/>
  <c r="Q154" i="1" s="1"/>
  <c r="N153" i="1"/>
  <c r="Q153" i="1" s="1"/>
  <c r="N152" i="1"/>
  <c r="Q152" i="1" s="1"/>
  <c r="N151" i="1"/>
  <c r="Q151" i="1" s="1"/>
  <c r="N150" i="1"/>
  <c r="Q150" i="1" s="1"/>
  <c r="N149" i="1"/>
  <c r="Q149" i="1" s="1"/>
  <c r="N148" i="1"/>
  <c r="Q148" i="1" s="1"/>
  <c r="N147" i="1"/>
  <c r="Q147" i="1" s="1"/>
  <c r="N146" i="1"/>
  <c r="Q146" i="1" s="1"/>
  <c r="N145" i="1"/>
  <c r="Q145" i="1" s="1"/>
  <c r="N144" i="1"/>
  <c r="Q144" i="1" s="1"/>
  <c r="N143" i="1"/>
  <c r="Q143" i="1" s="1"/>
  <c r="N142" i="1"/>
  <c r="Q142" i="1" s="1"/>
  <c r="N141" i="1"/>
  <c r="Q141" i="1" s="1"/>
  <c r="N140" i="1"/>
  <c r="Q140" i="1" s="1"/>
  <c r="N139" i="1"/>
  <c r="Q139" i="1" s="1"/>
  <c r="N138" i="1"/>
  <c r="Q138" i="1" s="1"/>
  <c r="N137" i="1"/>
  <c r="Q137" i="1" s="1"/>
  <c r="N136" i="1"/>
  <c r="Q136" i="1" s="1"/>
  <c r="N135" i="1"/>
  <c r="Q135" i="1" s="1"/>
  <c r="N134" i="1"/>
  <c r="Q134" i="1" s="1"/>
  <c r="N133" i="1"/>
  <c r="Q133" i="1" s="1"/>
  <c r="N132" i="1"/>
  <c r="Q132" i="1" s="1"/>
  <c r="N131" i="1"/>
  <c r="Q131" i="1" s="1"/>
  <c r="N130" i="1"/>
  <c r="Q130" i="1" s="1"/>
  <c r="N129" i="1"/>
  <c r="Q129" i="1" s="1"/>
  <c r="N128" i="1"/>
  <c r="Q128" i="1" s="1"/>
  <c r="N127" i="1"/>
  <c r="Q127" i="1" s="1"/>
  <c r="N126" i="1"/>
  <c r="Q126" i="1" s="1"/>
  <c r="N125" i="1"/>
  <c r="Q125" i="1" s="1"/>
  <c r="N124" i="1"/>
  <c r="Q124" i="1" s="1"/>
  <c r="N123" i="1"/>
  <c r="Q123" i="1" s="1"/>
  <c r="N122" i="1"/>
  <c r="Q122" i="1" s="1"/>
  <c r="N121" i="1"/>
  <c r="Q121" i="1" s="1"/>
  <c r="N120" i="1"/>
  <c r="Q120" i="1" s="1"/>
  <c r="N119" i="1"/>
  <c r="Q119" i="1" s="1"/>
  <c r="N118" i="1"/>
  <c r="Q118" i="1" s="1"/>
  <c r="N117" i="1"/>
  <c r="Q117" i="1" s="1"/>
  <c r="N116" i="1"/>
  <c r="Q116" i="1" s="1"/>
  <c r="N115" i="1"/>
  <c r="Q115" i="1" s="1"/>
  <c r="N114" i="1"/>
  <c r="Q114" i="1" s="1"/>
  <c r="N113" i="1"/>
  <c r="Q113" i="1" s="1"/>
  <c r="N112" i="1"/>
  <c r="Q112" i="1" s="1"/>
  <c r="N111" i="1"/>
  <c r="Q111" i="1" s="1"/>
  <c r="N110" i="1"/>
  <c r="Q110" i="1" s="1"/>
  <c r="N109" i="1"/>
  <c r="Q109" i="1" s="1"/>
  <c r="N108" i="1"/>
  <c r="Q108" i="1" s="1"/>
  <c r="N107" i="1"/>
  <c r="Q107" i="1" s="1"/>
  <c r="N106" i="1"/>
  <c r="Q106" i="1" s="1"/>
  <c r="N105" i="1"/>
  <c r="Q105" i="1" s="1"/>
  <c r="N104" i="1"/>
  <c r="Q104" i="1" s="1"/>
  <c r="N103" i="1"/>
  <c r="Q103" i="1" s="1"/>
  <c r="N102" i="1"/>
  <c r="Q102" i="1" s="1"/>
  <c r="N101" i="1"/>
  <c r="Q101" i="1" s="1"/>
  <c r="N100" i="1"/>
  <c r="Q100" i="1" s="1"/>
  <c r="N99" i="1"/>
  <c r="Q99" i="1" s="1"/>
  <c r="N98" i="1"/>
  <c r="Q98" i="1" s="1"/>
  <c r="N97" i="1"/>
  <c r="Q97" i="1" s="1"/>
  <c r="N96" i="1"/>
  <c r="Q96" i="1" s="1"/>
  <c r="N95" i="1"/>
  <c r="Q95" i="1" s="1"/>
  <c r="N94" i="1"/>
  <c r="Q94" i="1" s="1"/>
  <c r="N93" i="1"/>
  <c r="Q93" i="1" s="1"/>
  <c r="N92" i="1"/>
  <c r="Q92" i="1" s="1"/>
  <c r="N91" i="1"/>
  <c r="Q91" i="1" s="1"/>
  <c r="N90" i="1"/>
  <c r="Q90" i="1" s="1"/>
  <c r="N89" i="1"/>
  <c r="Q89" i="1" s="1"/>
  <c r="N88" i="1"/>
  <c r="Q88" i="1" s="1"/>
  <c r="N87" i="1"/>
  <c r="Q87" i="1" s="1"/>
  <c r="N86" i="1"/>
  <c r="Q86" i="1" s="1"/>
  <c r="N85" i="1"/>
  <c r="Q85" i="1" s="1"/>
  <c r="N84" i="1"/>
  <c r="Q84" i="1" s="1"/>
  <c r="N83" i="1"/>
  <c r="Q83" i="1" s="1"/>
  <c r="N82" i="1"/>
  <c r="Q82" i="1" s="1"/>
  <c r="N81" i="1"/>
  <c r="Q81" i="1" s="1"/>
  <c r="N80" i="1"/>
  <c r="Q80" i="1" s="1"/>
  <c r="N79" i="1"/>
  <c r="Q79" i="1" s="1"/>
  <c r="N78" i="1"/>
  <c r="Q78" i="1" s="1"/>
  <c r="N77" i="1"/>
  <c r="Q77" i="1" s="1"/>
  <c r="N76" i="1"/>
  <c r="Q76" i="1" s="1"/>
  <c r="N75" i="1"/>
  <c r="Q75" i="1" s="1"/>
  <c r="N74" i="1"/>
  <c r="Q74" i="1" s="1"/>
  <c r="N73" i="1"/>
  <c r="Q73" i="1" s="1"/>
  <c r="N72" i="1"/>
  <c r="Q72" i="1" s="1"/>
  <c r="N71" i="1"/>
  <c r="Q71" i="1" s="1"/>
  <c r="N70" i="1"/>
  <c r="Q70" i="1" s="1"/>
  <c r="N69" i="1"/>
  <c r="Q69" i="1" s="1"/>
  <c r="N68" i="1"/>
  <c r="Q68" i="1" s="1"/>
  <c r="N67" i="1"/>
  <c r="Q67" i="1" s="1"/>
  <c r="N66" i="1"/>
  <c r="Q66" i="1" s="1"/>
  <c r="N65" i="1"/>
  <c r="Q65" i="1" s="1"/>
  <c r="N64" i="1"/>
  <c r="Q64" i="1" s="1"/>
  <c r="N63" i="1"/>
  <c r="Q63" i="1" s="1"/>
  <c r="N62" i="1"/>
  <c r="Q62" i="1" s="1"/>
  <c r="N61" i="1"/>
  <c r="Q61" i="1" s="1"/>
  <c r="N60" i="1"/>
  <c r="Q60" i="1" s="1"/>
  <c r="N59" i="1"/>
  <c r="Q59" i="1" s="1"/>
  <c r="N58" i="1"/>
  <c r="Q58" i="1" s="1"/>
  <c r="N57" i="1"/>
  <c r="Q57" i="1" s="1"/>
  <c r="N56" i="1"/>
  <c r="Q56" i="1" s="1"/>
  <c r="N55" i="1"/>
  <c r="Q55" i="1" s="1"/>
  <c r="N54" i="1"/>
  <c r="Q54" i="1" s="1"/>
  <c r="N53" i="1"/>
  <c r="Q53" i="1" s="1"/>
  <c r="N52" i="1"/>
  <c r="Q52" i="1" s="1"/>
  <c r="N51" i="1"/>
  <c r="Q51" i="1" s="1"/>
  <c r="N50" i="1"/>
  <c r="Q50" i="1" s="1"/>
  <c r="N49" i="1"/>
  <c r="Q49" i="1" s="1"/>
  <c r="N48" i="1"/>
  <c r="Q48" i="1" s="1"/>
  <c r="N47" i="1"/>
  <c r="Q47" i="1" s="1"/>
  <c r="N46" i="1"/>
  <c r="Q46" i="1" s="1"/>
  <c r="N45" i="1"/>
  <c r="Q45" i="1" s="1"/>
  <c r="N44" i="1"/>
  <c r="Q44" i="1" s="1"/>
  <c r="N43" i="1"/>
  <c r="Q43" i="1" s="1"/>
  <c r="N42" i="1"/>
  <c r="Q42" i="1" s="1"/>
  <c r="N41" i="1"/>
  <c r="Q41" i="1" s="1"/>
  <c r="N40" i="1"/>
  <c r="Q40" i="1" s="1"/>
  <c r="N39" i="1"/>
  <c r="Q39" i="1" s="1"/>
  <c r="N38" i="1"/>
  <c r="Q38" i="1" s="1"/>
  <c r="N37" i="1"/>
  <c r="Q37" i="1" s="1"/>
  <c r="N36" i="1"/>
  <c r="Q36" i="1" s="1"/>
  <c r="N35" i="1"/>
  <c r="Q35" i="1" s="1"/>
  <c r="N34" i="1"/>
  <c r="Q34" i="1" s="1"/>
  <c r="N33" i="1"/>
  <c r="Q33" i="1" s="1"/>
  <c r="N32" i="1"/>
  <c r="Q32" i="1" s="1"/>
  <c r="N31" i="1"/>
  <c r="Q31" i="1" s="1"/>
  <c r="N30" i="1"/>
  <c r="Q30" i="1" s="1"/>
  <c r="N29" i="1"/>
  <c r="Q29" i="1" s="1"/>
  <c r="N28" i="1"/>
  <c r="Q28" i="1" s="1"/>
  <c r="N27" i="1"/>
  <c r="Q27" i="1" s="1"/>
  <c r="N26" i="1"/>
  <c r="Q26" i="1" s="1"/>
  <c r="N25" i="1"/>
  <c r="Q25" i="1" s="1"/>
  <c r="N24" i="1"/>
  <c r="Q24" i="1" s="1"/>
  <c r="N23" i="1"/>
  <c r="Q23" i="1" s="1"/>
  <c r="N22" i="1"/>
  <c r="Q22" i="1" s="1"/>
  <c r="N21" i="1"/>
  <c r="Q21" i="1" s="1"/>
  <c r="N20" i="1"/>
  <c r="Q20" i="1" s="1"/>
  <c r="N19" i="1"/>
  <c r="Q19" i="1" s="1"/>
  <c r="N18" i="1"/>
  <c r="Q18" i="1" s="1"/>
  <c r="N17" i="1"/>
  <c r="Q17" i="1" s="1"/>
  <c r="N16" i="1"/>
  <c r="Q16" i="1" s="1"/>
  <c r="N15" i="1"/>
  <c r="Q15" i="1" s="1"/>
  <c r="N14" i="1"/>
  <c r="Q14" i="1" s="1"/>
  <c r="N13" i="1"/>
  <c r="Q13" i="1" s="1"/>
  <c r="N12" i="1"/>
  <c r="Q12" i="1" s="1"/>
  <c r="N11" i="1"/>
  <c r="Q11" i="1" s="1"/>
  <c r="N10" i="1"/>
  <c r="Q10" i="1" s="1"/>
  <c r="N9" i="1"/>
  <c r="Q9" i="1" s="1"/>
  <c r="N8" i="1"/>
  <c r="Q8" i="1" s="1"/>
  <c r="N7" i="1"/>
  <c r="Q7" i="1" s="1"/>
  <c r="N6" i="1"/>
  <c r="Q6" i="1" s="1"/>
  <c r="N5" i="1"/>
  <c r="Q5" i="1" s="1"/>
  <c r="N4" i="1"/>
  <c r="Q4" i="1" s="1"/>
  <c r="N3" i="1"/>
  <c r="Q3" i="1" s="1"/>
  <c r="N2" i="1"/>
  <c r="Q2" i="1" s="1"/>
</calcChain>
</file>

<file path=xl/sharedStrings.xml><?xml version="1.0" encoding="utf-8"?>
<sst xmlns="http://schemas.openxmlformats.org/spreadsheetml/2006/main" count="6942" uniqueCount="2070">
  <si>
    <t>FL250001</t>
  </si>
  <si>
    <t>Ms. Nicole Kidd</t>
  </si>
  <si>
    <t>Italy</t>
  </si>
  <si>
    <t>Italian</t>
  </si>
  <si>
    <t>Blockchain Development</t>
  </si>
  <si>
    <t>FL250002</t>
  </si>
  <si>
    <t>Vanessa Garcia</t>
  </si>
  <si>
    <t>Australia</t>
  </si>
  <si>
    <t>English</t>
  </si>
  <si>
    <t>Mobile Apps</t>
  </si>
  <si>
    <t>FL250003</t>
  </si>
  <si>
    <t>Juan Nelson</t>
  </si>
  <si>
    <t>Germany</t>
  </si>
  <si>
    <t>German</t>
  </si>
  <si>
    <t>Graphic Design</t>
  </si>
  <si>
    <t>FL250004</t>
  </si>
  <si>
    <t>Amanda Spencer</t>
  </si>
  <si>
    <t>Web Development</t>
  </si>
  <si>
    <t>FL250005</t>
  </si>
  <si>
    <t>Lynn Curtis DDS</t>
  </si>
  <si>
    <t>FL250006</t>
  </si>
  <si>
    <t>Lisa Johnson</t>
  </si>
  <si>
    <t>Netherlands</t>
  </si>
  <si>
    <t>Dutch</t>
  </si>
  <si>
    <t>AI</t>
  </si>
  <si>
    <t>FL250007</t>
  </si>
  <si>
    <t>Eric Myers</t>
  </si>
  <si>
    <t>Indonesia</t>
  </si>
  <si>
    <t>Indonesian</t>
  </si>
  <si>
    <t>Data Analysis</t>
  </si>
  <si>
    <t>FL250008</t>
  </si>
  <si>
    <t>Ricky Graham</t>
  </si>
  <si>
    <t>FL250009</t>
  </si>
  <si>
    <t>Sean Martin</t>
  </si>
  <si>
    <t>United States</t>
  </si>
  <si>
    <t>FL250010</t>
  </si>
  <si>
    <t>Matthew Lloyd</t>
  </si>
  <si>
    <t>Turkey</t>
  </si>
  <si>
    <t>Turkish</t>
  </si>
  <si>
    <t>FL250011</t>
  </si>
  <si>
    <t>Gavin Randall</t>
  </si>
  <si>
    <t>United Kingdom</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</si>
  <si>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</si>
  <si>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</si>
  <si>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</si>
  <si>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</si>
  <si>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</si>
  <si>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</si>
  <si>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</si>
  <si>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</si>
  <si>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</si>
  <si>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</si>
  <si>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</si>
  <si>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</si>
  <si>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</si>
  <si>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</si>
  <si>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</si>
  <si>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</si>
  <si>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</si>
  <si>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</si>
  <si>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</si>
  <si>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</si>
  <si>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</si>
  <si>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</si>
  <si>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</si>
  <si>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</si>
  <si>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</si>
  <si>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</si>
  <si>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</si>
  <si>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</si>
  <si>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</si>
  <si>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</si>
  <si>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</si>
  <si>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</si>
  <si>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</si>
  <si>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</si>
  <si>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</si>
  <si>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</si>
  <si>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</si>
  <si>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</si>
  <si>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</si>
  <si>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</si>
  <si>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</si>
  <si>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</si>
  <si>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</si>
  <si>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</si>
  <si>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</si>
  <si>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</si>
  <si>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</si>
  <si>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</si>
  <si>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</si>
  <si>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</si>
  <si>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</si>
  <si>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</si>
  <si>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</si>
  <si>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</si>
  <si>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</si>
  <si>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</si>
  <si>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</si>
  <si>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</si>
  <si>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</si>
  <si>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</si>
  <si>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</si>
  <si>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</si>
  <si>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</si>
  <si>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</si>
  <si>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</si>
  <si>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</si>
  <si>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</si>
  <si>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</si>
  <si>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</si>
  <si>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</si>
  <si>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</si>
  <si>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</si>
  <si>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</si>
  <si>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</si>
  <si>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</si>
  <si>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</si>
  <si>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</si>
  <si>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</si>
  <si>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</si>
  <si>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</si>
  <si>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</si>
  <si>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</si>
  <si>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</si>
  <si>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</si>
  <si>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</si>
  <si>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</si>
  <si>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</si>
  <si>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</si>
  <si>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</si>
  <si>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</si>
  <si>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</si>
  <si>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</si>
  <si>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</si>
  <si>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</si>
  <si>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</si>
  <si>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</si>
  <si>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</si>
  <si>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</si>
  <si>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</si>
  <si>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</si>
  <si>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</si>
  <si>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</si>
  <si>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</si>
  <si>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</si>
  <si>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</si>
  <si>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</si>
  <si>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</si>
  <si>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</si>
  <si>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</si>
  <si>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</si>
  <si>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</si>
  <si>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</si>
  <si>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</si>
  <si>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</si>
  <si>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</si>
  <si>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</si>
  <si>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</si>
  <si>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</si>
  <si>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</si>
  <si>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</si>
  <si>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</si>
  <si>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</si>
  <si>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</si>
  <si>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</si>
  <si>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</si>
  <si>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</si>
  <si>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</si>
  <si>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</si>
  <si>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</si>
  <si>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</si>
  <si>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</si>
  <si>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</si>
  <si>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</si>
  <si>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</si>
  <si>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</si>
  <si>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</si>
  <si>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</si>
  <si>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</si>
  <si>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</si>
  <si>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</si>
  <si>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</si>
  <si>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</si>
  <si>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</si>
  <si>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</si>
  <si>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</si>
  <si>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</si>
  <si>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</si>
  <si>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</si>
  <si>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</si>
  <si>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</si>
  <si>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</si>
  <si>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</si>
  <si>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</si>
  <si>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</si>
  <si>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</si>
  <si>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</si>
  <si>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</si>
  <si>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</si>
  <si>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</si>
  <si>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</si>
  <si>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</si>
  <si>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</si>
  <si>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</si>
  <si>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</si>
  <si>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</si>
  <si>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</si>
  <si>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</si>
  <si>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</si>
  <si>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</si>
  <si>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</si>
  <si>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</si>
  <si>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</si>
  <si>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</si>
  <si>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</si>
  <si>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</si>
  <si>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</si>
  <si>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</si>
  <si>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</si>
  <si>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</si>
  <si>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</si>
  <si>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</si>
  <si>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</si>
  <si>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</si>
  <si>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</si>
  <si>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</si>
  <si>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</si>
  <si>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</si>
  <si>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</si>
  <si>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</si>
  <si>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</si>
  <si>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</si>
  <si>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</si>
  <si>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</si>
  <si>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</si>
  <si>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</si>
  <si>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</si>
  <si>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</si>
  <si>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</si>
  <si>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</si>
  <si>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</si>
  <si>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</si>
  <si>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</si>
  <si>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</si>
  <si>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</si>
  <si>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</si>
  <si>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</si>
  <si>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</si>
  <si>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</si>
  <si>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</si>
  <si>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</si>
  <si>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</si>
  <si>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</si>
  <si>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</si>
  <si>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</si>
  <si>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</si>
  <si>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</si>
  <si>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</si>
  <si>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</si>
  <si>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</si>
  <si>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</si>
  <si>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</si>
  <si>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</si>
  <si>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</si>
  <si>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</si>
  <si>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</si>
  <si>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</si>
  <si>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</si>
  <si>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</si>
  <si>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</si>
  <si>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</si>
  <si>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</si>
  <si>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</si>
  <si>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</si>
  <si>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</si>
  <si>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</si>
  <si>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</si>
  <si>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</si>
  <si>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</si>
  <si>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</si>
  <si>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</si>
  <si>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</si>
  <si>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</si>
  <si>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</si>
  <si>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</si>
  <si>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</si>
  <si>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</si>
  <si>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</si>
  <si>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</si>
  <si>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</si>
  <si>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</si>
  <si>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</si>
  <si>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</si>
  <si>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</si>
  <si>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</si>
  <si>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</si>
  <si>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</si>
  <si>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</si>
  <si>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</si>
  <si>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</si>
  <si>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</si>
  <si>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</si>
  <si>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</si>
  <si>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</si>
  <si>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</si>
  <si>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</si>
  <si>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</si>
  <si>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</si>
  <si>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</si>
  <si>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</si>
  <si>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</si>
  <si>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</si>
  <si>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</si>
  <si>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</si>
  <si>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</si>
  <si>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</si>
  <si>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</si>
  <si>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</si>
  <si>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</si>
  <si>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</si>
  <si>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</si>
  <si>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</si>
  <si>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</si>
  <si>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</si>
  <si>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</si>
  <si>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</si>
  <si>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</si>
  <si>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</si>
  <si>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</si>
  <si>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</si>
  <si>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</si>
  <si>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</si>
  <si>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</si>
  <si>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</si>
  <si>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</si>
  <si>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</si>
  <si>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</si>
  <si>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</si>
  <si>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</si>
  <si>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</si>
  <si>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</si>
  <si>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</si>
  <si>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</si>
  <si>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</si>
  <si>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</si>
  <si>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</si>
  <si>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</si>
  <si>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</si>
  <si>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</si>
  <si>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</si>
  <si>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</si>
  <si>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</si>
  <si>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</si>
  <si>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</si>
  <si>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</si>
  <si>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</si>
  <si>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</si>
  <si>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</si>
  <si>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</si>
  <si>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</si>
  <si>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</si>
  <si>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</si>
  <si>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</si>
  <si>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</si>
  <si>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</si>
  <si>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</si>
  <si>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</si>
  <si>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</si>
  <si>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</si>
  <si>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</si>
  <si>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</si>
  <si>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</si>
  <si>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</si>
  <si>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</si>
  <si>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</si>
  <si>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</si>
  <si>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</si>
  <si>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</si>
  <si>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</si>
  <si>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</si>
  <si>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</si>
  <si>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</si>
  <si>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</si>
  <si>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</si>
  <si>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</si>
  <si>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</si>
  <si>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</si>
  <si>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</si>
  <si>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</si>
  <si>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</si>
  <si>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</si>
  <si>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</si>
  <si>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</si>
  <si>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</si>
  <si>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</si>
  <si>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</si>
  <si>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</si>
  <si>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</si>
  <si>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</si>
  <si>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</si>
  <si>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</si>
  <si>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</si>
  <si>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</si>
  <si>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</si>
  <si>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</si>
  <si>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</si>
  <si>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</si>
  <si>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</si>
  <si>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</si>
  <si>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</si>
  <si>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</si>
  <si>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</si>
  <si>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</si>
  <si>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</si>
  <si>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</si>
  <si>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</si>
  <si>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</si>
  <si>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</si>
  <si>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</si>
  <si>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</si>
  <si>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</si>
  <si>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</si>
  <si>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</si>
  <si>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</si>
  <si>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</si>
  <si>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</si>
  <si>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</si>
  <si>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</si>
  <si>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</si>
  <si>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</si>
  <si>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</si>
  <si>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</si>
  <si>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</si>
  <si>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</si>
  <si>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</si>
  <si>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</si>
  <si>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</si>
  <si>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</si>
  <si>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</si>
  <si>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</si>
  <si>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</si>
  <si>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</si>
  <si>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</si>
  <si>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</si>
  <si>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</si>
  <si>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</si>
  <si>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</si>
  <si>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</si>
  <si>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</si>
  <si>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</si>
  <si>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</si>
  <si>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</si>
  <si>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</si>
  <si>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</si>
  <si>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</si>
  <si>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</si>
  <si>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</si>
  <si>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</si>
  <si>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</si>
  <si>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</si>
  <si>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</si>
  <si>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</si>
  <si>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</si>
  <si>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</si>
  <si>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</si>
  <si>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</si>
  <si>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</si>
  <si>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</si>
  <si>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</si>
  <si>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</si>
  <si>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</si>
  <si>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</si>
  <si>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</si>
  <si>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</si>
  <si>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</si>
  <si>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</si>
  <si>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</si>
  <si>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</si>
  <si>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</si>
  <si>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</si>
  <si>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</si>
  <si>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</si>
  <si>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</si>
  <si>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</si>
  <si>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</si>
  <si>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</si>
  <si>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</si>
  <si>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</si>
  <si>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</si>
  <si>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</si>
  <si>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</si>
  <si>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</si>
  <si>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</si>
  <si>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</si>
  <si>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</si>
  <si>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</si>
  <si>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</si>
  <si>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</si>
  <si>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</si>
  <si>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</si>
  <si>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</si>
  <si>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</si>
  <si>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</si>
  <si>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</si>
  <si>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</si>
  <si>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</si>
  <si>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</si>
  <si>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</si>
  <si>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</si>
  <si>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</si>
  <si>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</si>
  <si>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</si>
  <si>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</si>
  <si>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</si>
  <si>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</si>
  <si>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</si>
  <si>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</si>
  <si>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</si>
  <si>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</si>
  <si>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</si>
  <si>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</si>
  <si>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</si>
  <si>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</si>
  <si>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</si>
  <si>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</si>
  <si>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</si>
  <si>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</si>
  <si>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</si>
  <si>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</si>
  <si>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</si>
  <si>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</si>
  <si>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</si>
  <si>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</si>
  <si>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</si>
  <si>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</si>
  <si>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</si>
  <si>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</si>
  <si>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</si>
  <si>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</si>
  <si>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</si>
  <si>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</si>
  <si>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</si>
  <si>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</si>
  <si>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</si>
  <si>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</si>
  <si>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</si>
  <si>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</si>
  <si>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</si>
  <si>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</si>
  <si>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</si>
  <si>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</si>
  <si>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</si>
  <si>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</si>
  <si>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</si>
  <si>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</si>
  <si>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</si>
  <si>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</si>
  <si>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</si>
  <si>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</si>
  <si>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</si>
  <si>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</si>
  <si>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</si>
  <si>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</si>
  <si>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</si>
  <si>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</si>
  <si>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</si>
  <si>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</si>
  <si>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</si>
  <si>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</si>
  <si>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</si>
  <si>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</si>
  <si>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</si>
  <si>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</si>
  <si>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</si>
  <si>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</si>
  <si>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</si>
  <si>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</si>
  <si>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</si>
  <si>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</si>
  <si>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</si>
  <si>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</si>
  <si>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</si>
  <si>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</si>
  <si>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</si>
  <si>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</si>
  <si>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</si>
  <si>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</si>
  <si>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</si>
  <si>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</si>
  <si>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</si>
  <si>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</si>
  <si>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</si>
  <si>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</si>
  <si>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</si>
  <si>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</si>
  <si>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</si>
  <si>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</si>
  <si>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</si>
  <si>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</si>
  <si>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</si>
  <si>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</si>
  <si>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</si>
  <si>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</si>
  <si>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</si>
  <si>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</si>
  <si>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</si>
  <si>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</si>
  <si>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</si>
  <si>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</si>
  <si>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</si>
  <si>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</si>
  <si>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</si>
  <si>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</si>
  <si>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</si>
  <si>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</si>
  <si>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</si>
  <si>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</si>
  <si>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</si>
  <si>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</si>
  <si>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</si>
  <si>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</si>
  <si>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</si>
  <si>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</si>
  <si>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</si>
  <si>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</si>
  <si>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</si>
  <si>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</si>
  <si>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</si>
  <si>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</si>
  <si>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</si>
  <si>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</si>
  <si>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</si>
  <si>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</si>
  <si>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</si>
  <si>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</si>
  <si>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</si>
  <si>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</si>
  <si>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</si>
  <si>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</si>
  <si>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</si>
  <si>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</si>
  <si>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</si>
  <si>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</si>
  <si>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</si>
  <si>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</si>
  <si>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</si>
  <si>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</si>
  <si>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</si>
  <si>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</si>
  <si>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</si>
  <si>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</si>
  <si>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</si>
  <si>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</si>
  <si>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</si>
  <si>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</si>
  <si>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</si>
  <si>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</si>
  <si>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</si>
  <si>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</si>
  <si>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</si>
  <si>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</si>
  <si>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</si>
  <si>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</si>
  <si>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</si>
  <si>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</si>
  <si>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</si>
  <si>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</si>
  <si>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</si>
  <si>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</si>
  <si>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</si>
  <si>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</si>
  <si>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</si>
  <si>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</si>
  <si>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</si>
  <si>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</si>
  <si>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</si>
  <si>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</si>
  <si>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</si>
  <si>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</si>
  <si>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</si>
  <si>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</si>
  <si>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</si>
  <si>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</si>
  <si>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</si>
  <si>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</si>
  <si>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</si>
  <si>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</si>
  <si>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</si>
  <si>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</si>
  <si>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</si>
  <si>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</si>
  <si>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</si>
  <si>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</si>
  <si>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</si>
  <si>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</si>
  <si>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</si>
  <si>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</si>
  <si>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</si>
  <si>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</si>
  <si>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</si>
  <si>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</si>
  <si>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</si>
  <si>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</si>
  <si>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</si>
  <si>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</si>
  <si>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</si>
  <si>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</si>
  <si>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</si>
  <si>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</si>
  <si>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</si>
  <si>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</si>
  <si>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</si>
  <si>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</si>
  <si>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</si>
  <si>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</si>
  <si>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</si>
  <si>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</si>
  <si>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</si>
  <si>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</si>
  <si>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</si>
  <si>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</si>
  <si>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</si>
  <si>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</si>
  <si>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</si>
  <si>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</si>
  <si>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</si>
  <si>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</si>
  <si>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</si>
  <si>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</si>
  <si>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</si>
  <si>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</si>
  <si>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</si>
  <si>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</si>
  <si>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</si>
  <si>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</si>
  <si>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</si>
  <si>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</si>
  <si>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</si>
  <si>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</si>
  <si>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</si>
  <si>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</si>
  <si>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</si>
  <si>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</si>
  <si>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</si>
  <si>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</si>
  <si>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</si>
  <si>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</si>
  <si>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</si>
  <si>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</si>
  <si>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</si>
  <si>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</si>
  <si>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</si>
  <si>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</si>
  <si>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</si>
  <si>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</si>
  <si>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</si>
  <si>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</si>
  <si>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</si>
  <si>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</si>
  <si>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</si>
  <si>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</si>
  <si>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</si>
  <si>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</si>
  <si>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</si>
  <si>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</si>
  <si>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</si>
  <si>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</si>
  <si>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</si>
  <si>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</si>
  <si>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</si>
  <si>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</si>
  <si>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</si>
  <si>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</si>
  <si>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</si>
  <si>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</si>
  <si>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</si>
  <si>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</si>
  <si>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</si>
  <si>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</si>
  <si>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</si>
  <si>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</si>
  <si>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</si>
  <si>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</si>
  <si>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</si>
  <si>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</si>
  <si>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</si>
  <si>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</si>
  <si>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</si>
  <si>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</si>
  <si>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</si>
  <si>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</si>
  <si>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</si>
  <si>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</si>
  <si>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</si>
  <si>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</si>
  <si>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</si>
  <si>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</si>
  <si>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</si>
  <si>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</si>
  <si>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</si>
  <si>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</si>
  <si>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</si>
  <si>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</si>
  <si>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</si>
  <si>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</si>
  <si>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</si>
  <si>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</si>
  <si>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</si>
  <si>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</si>
  <si>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</si>
  <si>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</si>
  <si>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</si>
  <si>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</si>
  <si>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</si>
  <si>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</si>
  <si>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</si>
  <si>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</si>
  <si>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</si>
  <si>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</si>
  <si>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</si>
  <si>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</si>
  <si>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</si>
  <si>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</si>
  <si>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</si>
  <si>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</si>
  <si>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</si>
  <si>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</si>
  <si>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</si>
  <si>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</si>
  <si>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</si>
  <si>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</si>
  <si>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</si>
  <si>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</si>
  <si>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</si>
  <si>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</si>
  <si>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</si>
  <si>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</si>
  <si>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</si>
  <si>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</si>
  <si>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</si>
  <si>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</si>
  <si>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</si>
  <si>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</si>
  <si>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</si>
  <si>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</si>
  <si>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</si>
  <si>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</si>
  <si>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</si>
  <si>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</si>
  <si>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</si>
  <si>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</si>
  <si>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</si>
  <si>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</si>
  <si>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</si>
  <si>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</si>
  <si>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</si>
  <si>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</si>
  <si>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</si>
  <si>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</si>
  <si>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</si>
  <si>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</si>
  <si>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</si>
  <si>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</si>
  <si>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</si>
  <si>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</si>
  <si>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</si>
  <si>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</si>
  <si>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</si>
  <si>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</si>
  <si>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</si>
  <si>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</si>
  <si>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</si>
  <si>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</si>
  <si>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</si>
  <si>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</si>
  <si>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</si>
  <si>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</si>
  <si>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</si>
  <si>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</si>
  <si>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</si>
  <si>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</si>
  <si>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</si>
  <si>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</si>
  <si>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</si>
  <si>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</si>
  <si>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</si>
  <si>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</si>
  <si>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</si>
  <si>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</si>
  <si>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</si>
  <si>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</si>
  <si>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</si>
  <si>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</si>
  <si>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</si>
  <si>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</si>
  <si>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</si>
  <si>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</si>
  <si>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</si>
  <si>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</si>
  <si>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</si>
  <si>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</si>
  <si>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</si>
  <si>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</si>
  <si>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</si>
  <si>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</si>
  <si>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</si>
  <si>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</si>
  <si>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</si>
  <si>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</si>
  <si>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</si>
  <si>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</si>
  <si>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</si>
  <si>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</si>
  <si>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</si>
  <si>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</si>
  <si>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</si>
  <si>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</si>
  <si>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</si>
  <si>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</si>
  <si>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</si>
  <si>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</si>
  <si>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</si>
  <si>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</si>
  <si>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</si>
  <si>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</si>
  <si>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</si>
  <si>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</si>
  <si>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</si>
  <si>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</si>
  <si>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</si>
  <si>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</si>
  <si>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</si>
  <si>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</si>
  <si>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</si>
  <si>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</si>
  <si>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</si>
  <si>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</si>
  <si>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</si>
  <si>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</si>
  <si>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</si>
  <si>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</si>
  <si>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</si>
  <si>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</si>
  <si>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</si>
  <si>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</si>
  <si>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</si>
  <si>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</si>
  <si>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</si>
  <si>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</si>
  <si>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</si>
  <si>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</si>
  <si>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</si>
  <si>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</si>
  <si>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</si>
  <si>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</si>
  <si>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</si>
  <si>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</si>
  <si>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</si>
  <si>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</si>
  <si>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</si>
  <si>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</si>
  <si>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</si>
  <si>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</si>
  <si>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</si>
  <si>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</si>
  <si>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</si>
  <si>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</si>
  <si>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</si>
  <si>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</si>
  <si>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</si>
  <si>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</si>
  <si>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</si>
  <si>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</si>
  <si>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</si>
  <si>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</si>
  <si>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</si>
  <si>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</si>
  <si>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</si>
  <si>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</si>
  <si>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</si>
  <si>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</si>
  <si>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</si>
  <si>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</si>
  <si>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</si>
  <si>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</si>
  <si>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</si>
  <si>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</si>
  <si>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</si>
  <si>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</si>
  <si>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</si>
  <si>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</si>
  <si>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</si>
  <si>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</si>
  <si>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</si>
  <si>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</si>
  <si>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</si>
  <si>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</si>
  <si>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</si>
  <si>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</si>
  <si>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</si>
  <si>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</si>
  <si>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</si>
  <si>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</si>
  <si>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</si>
  <si>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</si>
  <si>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</si>
  <si>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</si>
  <si>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</si>
  <si>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</si>
  <si>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</si>
  <si>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</si>
  <si>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</si>
  <si>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</si>
  <si>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</si>
  <si>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</si>
  <si>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</si>
  <si>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</si>
  <si>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</si>
  <si>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</si>
  <si>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</si>
  <si>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</si>
  <si>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</si>
  <si>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</si>
  <si>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</si>
  <si>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</si>
  <si>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</si>
  <si>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</si>
  <si>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</si>
  <si>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</si>
  <si>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</si>
  <si>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</si>
  <si>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</si>
  <si>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</si>
  <si>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</si>
  <si>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</si>
  <si>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</si>
  <si>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</si>
  <si>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</si>
  <si>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</si>
  <si>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</si>
  <si>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</si>
  <si>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</si>
  <si>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</si>
  <si>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</si>
  <si>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</si>
  <si>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</si>
  <si>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</si>
  <si>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</si>
  <si>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</si>
  <si>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</si>
  <si>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</si>
  <si>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</si>
  <si>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</si>
  <si>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</si>
  <si>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</si>
  <si>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</si>
  <si>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</si>
  <si>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</si>
  <si>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</si>
  <si>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</si>
  <si>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</si>
  <si>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</si>
  <si>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</si>
  <si>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</si>
  <si>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</si>
  <si>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</si>
  <si>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</si>
  <si>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</si>
  <si>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</si>
  <si>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</si>
  <si>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</si>
  <si>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</si>
  <si>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</si>
  <si>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</si>
  <si>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</si>
  <si>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</si>
  <si>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</si>
  <si>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</si>
  <si>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</si>
  <si>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</si>
  <si>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</si>
  <si>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</si>
  <si>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</si>
  <si>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</si>
  <si>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</si>
  <si>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</si>
  <si>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</si>
  <si>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</si>
  <si>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</si>
  <si>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</si>
  <si>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</si>
  <si>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</si>
  <si>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</si>
  <si>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</si>
  <si>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</si>
  <si>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</si>
  <si>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</si>
  <si>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</si>
  <si>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</si>
  <si>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</si>
  <si>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</si>
  <si>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</si>
  <si>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</si>
  <si>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</si>
  <si>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</si>
  <si>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</si>
  <si>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</si>
  <si>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</si>
  <si>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</si>
  <si>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</si>
  <si>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</si>
  <si>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</si>
  <si>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</si>
  <si>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</si>
  <si>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</si>
  <si>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</si>
  <si>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</si>
  <si>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</si>
  <si>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</si>
  <si>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</si>
  <si>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</si>
  <si>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</si>
  <si>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</si>
  <si>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</si>
  <si>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</si>
  <si>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</si>
  <si>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</si>
  <si>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</si>
  <si>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</si>
  <si>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</si>
  <si>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</si>
  <si>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</si>
  <si>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</si>
  <si>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</si>
  <si>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</si>
  <si>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</si>
  <si>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</si>
  <si>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</si>
  <si>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</si>
  <si>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</si>
  <si>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</si>
  <si>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</si>
  <si>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</si>
  <si>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</si>
  <si>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</si>
  <si>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</si>
  <si>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</si>
  <si>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</si>
  <si>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</si>
  <si>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</si>
  <si>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</si>
  <si>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</si>
  <si>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</si>
  <si>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</si>
  <si>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</si>
  <si>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</si>
  <si>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</si>
  <si>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</si>
  <si>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</si>
  <si>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</si>
  <si>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</si>
  <si>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</si>
  <si>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</si>
  <si>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</si>
  <si>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</si>
  <si>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</si>
  <si>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</si>
  <si>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</si>
  <si>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</si>
  <si>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</si>
  <si>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</si>
  <si>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</si>
  <si>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</si>
  <si>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</si>
  <si>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</si>
  <si>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</si>
  <si>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</si>
  <si>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</si>
  <si>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</si>
  <si>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</si>
  <si>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</si>
  <si>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</si>
  <si>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</si>
  <si>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</si>
  <si>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</si>
  <si>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</si>
  <si>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</si>
  <si>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</si>
  <si>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</si>
  <si>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</si>
  <si>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</si>
  <si>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</si>
  <si>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</si>
  <si>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</si>
  <si>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</si>
  <si>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</si>
  <si>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</si>
  <si>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</si>
  <si>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</si>
  <si>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</si>
  <si>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</si>
  <si>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</si>
  <si>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</si>
  <si>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</si>
  <si>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</si>
  <si>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</si>
  <si>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</si>
  <si>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</si>
  <si>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</si>
  <si>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</si>
  <si>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</si>
  <si>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</si>
  <si>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</si>
  <si>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</si>
  <si>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</si>
  <si>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</si>
  <si>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</si>
  <si>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</si>
  <si>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</si>
  <si>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</si>
  <si>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</si>
  <si>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</si>
  <si>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</si>
  <si>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</si>
  <si>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</si>
  <si>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</si>
  <si>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</si>
  <si>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</si>
  <si>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</si>
  <si>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</si>
  <si>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</si>
  <si>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</si>
  <si>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</si>
  <si>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</si>
  <si>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</si>
  <si>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</si>
  <si>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</si>
  <si>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</si>
  <si>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</si>
  <si>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</si>
  <si>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</si>
  <si>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</si>
  <si>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</si>
  <si>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</si>
  <si>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</si>
  <si>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</si>
  <si>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</si>
  <si>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</si>
  <si>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</si>
  <si>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</si>
  <si>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</si>
  <si>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</si>
  <si>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</si>
  <si>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</si>
  <si>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</si>
  <si>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</si>
  <si>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</si>
  <si>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</si>
  <si>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</si>
  <si>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</si>
  <si>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</si>
  <si>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</si>
  <si>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</si>
  <si>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</si>
  <si>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</si>
  <si>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</si>
  <si>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</si>
  <si>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</si>
  <si>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</si>
  <si>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</si>
  <si>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</si>
  <si>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</si>
  <si>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</si>
  <si>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</si>
  <si>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</si>
  <si>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</si>
  <si>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</si>
  <si>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</si>
  <si>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</si>
  <si>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</si>
  <si>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</si>
  <si>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</si>
  <si>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</si>
  <si>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</si>
  <si>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</si>
  <si>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</si>
  <si>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</si>
  <si>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</si>
  <si>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</si>
  <si>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</si>
  <si>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</si>
  <si>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</si>
  <si>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</si>
  <si>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</si>
  <si>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</si>
  <si>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</si>
  <si>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</si>
  <si>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</si>
  <si>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</si>
  <si>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</si>
  <si>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</si>
  <si>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</si>
  <si>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</si>
  <si>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</si>
  <si>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</si>
  <si>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</si>
  <si>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</si>
  <si>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</si>
  <si>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</si>
  <si>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</si>
  <si>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</si>
  <si>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</si>
  <si>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</si>
  <si>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</si>
  <si>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</si>
  <si>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</si>
  <si>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</si>
  <si>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</si>
  <si>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</si>
  <si>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</si>
  <si>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</si>
  <si>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</si>
  <si>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</si>
  <si>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</si>
  <si>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</si>
  <si>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</si>
  <si>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</si>
  <si>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</si>
  <si>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</si>
  <si>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</si>
  <si>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</si>
  <si>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</si>
  <si>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</si>
  <si>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</si>
  <si>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</si>
  <si>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</si>
  <si>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</si>
  <si>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</si>
  <si>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</si>
  <si>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</si>
  <si>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</si>
  <si>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</si>
  <si>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</si>
  <si>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</si>
  <si>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</si>
  <si>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</si>
  <si>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</si>
  <si>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</si>
  <si>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</si>
  <si>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</si>
  <si>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</si>
  <si>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</si>
  <si>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</si>
  <si>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</si>
  <si>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</si>
  <si>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</si>
  <si>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</si>
  <si>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</si>
  <si>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</si>
  <si>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</si>
  <si>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</si>
  <si>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</si>
  <si>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</si>
  <si>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</si>
  <si>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</si>
  <si>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</si>
  <si>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</si>
  <si>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</si>
  <si>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</si>
  <si>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</si>
  <si>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</si>
  <si>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</si>
  <si>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</si>
  <si>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</si>
  <si>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</si>
  <si>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</si>
  <si>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</si>
  <si>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</si>
  <si>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</si>
  <si>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</si>
  <si>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</si>
  <si>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</si>
  <si>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</si>
  <si>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</si>
  <si>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</si>
  <si>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</si>
  <si>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</si>
  <si>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</si>
  <si>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</si>
  <si>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</si>
  <si>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</si>
  <si>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</si>
  <si>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</si>
  <si>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</si>
  <si>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</si>
  <si>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</si>
  <si>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</si>
  <si>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</si>
  <si>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</si>
  <si>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</si>
  <si>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</si>
  <si>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</si>
  <si>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</si>
  <si>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</si>
  <si>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</si>
  <si>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</si>
  <si>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</si>
  <si>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</si>
  <si>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</si>
  <si>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</si>
  <si>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</si>
  <si>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</si>
  <si>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</si>
  <si>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</si>
  <si>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</si>
  <si>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</si>
  <si>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</si>
  <si>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</si>
  <si>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</si>
  <si>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</si>
  <si>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</si>
  <si>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</si>
  <si>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</si>
  <si>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</si>
  <si>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</si>
  <si>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</si>
  <si>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</si>
  <si>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</si>
  <si>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</si>
  <si>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</si>
  <si>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</si>
  <si>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</si>
  <si>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</si>
  <si>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</si>
  <si>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</si>
  <si>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</si>
  <si>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</si>
  <si>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</si>
  <si>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</si>
  <si>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</si>
  <si>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</si>
  <si>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</si>
  <si>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</si>
  <si>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</si>
  <si>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</si>
  <si>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</si>
  <si>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</si>
  <si>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</si>
  <si>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</si>
  <si>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</si>
  <si>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</si>
  <si>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</si>
  <si>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</si>
  <si>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</si>
  <si>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</si>
  <si>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</si>
  <si>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</si>
  <si>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</si>
  <si>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</si>
  <si>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</si>
  <si>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</si>
  <si>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</si>
  <si>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</si>
  <si>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</si>
  <si>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</si>
  <si>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</si>
  <si>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</si>
  <si>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</si>
  <si>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</si>
  <si>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</si>
  <si>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</si>
  <si>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</si>
  <si>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</si>
  <si>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</si>
  <si>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</si>
  <si>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</si>
  <si>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</si>
  <si>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</si>
  <si>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</si>
  <si>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</si>
  <si>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</si>
  <si>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</si>
  <si>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</si>
  <si>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</si>
  <si>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</si>
  <si>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</si>
  <si>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</si>
  <si>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</si>
  <si>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</si>
  <si>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</si>
  <si>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</si>
  <si>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</si>
  <si>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</si>
  <si>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</si>
  <si>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</si>
  <si>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</si>
  <si>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</si>
  <si>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</si>
  <si>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</si>
  <si>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</si>
  <si>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</si>
  <si>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</si>
  <si>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</si>
  <si>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</si>
  <si>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</si>
  <si>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</si>
  <si>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</si>
  <si>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</si>
  <si>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</si>
  <si>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</si>
  <si>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</si>
  <si>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</si>
  <si>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</si>
  <si>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</si>
  <si>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</si>
  <si>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</si>
  <si>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</si>
  <si>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</si>
  <si>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</si>
  <si>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</si>
  <si>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</si>
  <si>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</si>
  <si>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</si>
  <si>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</si>
  <si>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</si>
  <si>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</si>
  <si>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</si>
  <si>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</si>
  <si>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</si>
  <si>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</si>
  <si>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</si>
  <si>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</si>
  <si>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</si>
  <si>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</si>
  <si>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</si>
  <si>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</si>
  <si>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</si>
  <si>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</si>
  <si>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</si>
  <si>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</si>
  <si>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</si>
  <si>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</si>
  <si>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</si>
  <si>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</si>
  <si>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</si>
  <si>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</si>
  <si>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</si>
  <si>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</si>
  <si>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</si>
  <si>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</si>
  <si>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</si>
  <si>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</si>
  <si>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</si>
  <si>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</si>
  <si>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</si>
  <si>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</si>
  <si>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</si>
  <si>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</si>
  <si>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</si>
  <si>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</si>
  <si>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</si>
  <si>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</si>
  <si>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</si>
  <si>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</si>
  <si>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</si>
  <si>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</si>
  <si>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</si>
  <si>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</si>
  <si>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</si>
  <si>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</si>
  <si>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</si>
  <si>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</si>
  <si>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</si>
  <si>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</si>
  <si>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</si>
  <si>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</si>
  <si>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</si>
  <si>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</si>
  <si>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</si>
  <si>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</si>
  <si>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</si>
  <si>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</si>
  <si>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</si>
  <si>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</si>
  <si>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</si>
  <si>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</si>
  <si>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</si>
  <si>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</si>
  <si>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</si>
  <si>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</si>
  <si>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</si>
  <si>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</si>
  <si>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</si>
  <si>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</si>
  <si>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</si>
  <si>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</si>
  <si>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</si>
  <si>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</si>
  <si>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</si>
  <si>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</si>
  <si>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</si>
  <si>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</si>
  <si>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</si>
  <si>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</si>
  <si>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</si>
  <si>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</si>
  <si>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</si>
  <si>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</si>
  <si>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</si>
  <si>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</si>
  <si>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</si>
  <si>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</si>
  <si>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</si>
  <si>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</si>
  <si>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</si>
  <si>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</si>
  <si>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</si>
  <si>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</si>
  <si>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</si>
  <si>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</si>
  <si>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</si>
  <si>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</si>
  <si>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</si>
  <si>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</si>
  <si>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</si>
  <si>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</si>
  <si>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</si>
  <si>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</si>
  <si>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</si>
  <si>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</si>
  <si>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</si>
  <si>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</si>
  <si>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</si>
  <si>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</si>
  <si>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</si>
  <si>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</si>
  <si>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</si>
  <si>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</si>
  <si>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</si>
  <si>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</si>
  <si>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</si>
  <si>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</si>
  <si>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</si>
  <si>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</si>
  <si>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</si>
  <si>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</si>
  <si>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</si>
  <si>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</si>
  <si>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</si>
  <si>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</si>
  <si>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</si>
  <si>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</si>
  <si>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</si>
  <si>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</si>
  <si>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</si>
  <si>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</si>
  <si>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</si>
  <si>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</si>
  <si>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</si>
  <si>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</si>
  <si>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</si>
  <si>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</si>
  <si>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</si>
  <si>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</si>
  <si>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</si>
  <si>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</si>
  <si>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</si>
  <si>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</si>
  <si>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</si>
  <si>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</si>
  <si>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</si>
  <si>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</si>
  <si>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</si>
  <si>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</si>
  <si>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</si>
  <si>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</si>
  <si>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</si>
  <si>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</si>
  <si>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</si>
  <si>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</si>
  <si>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</si>
  <si>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</si>
  <si>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</si>
  <si>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</si>
  <si>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</si>
  <si>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</si>
  <si>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</si>
  <si>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</si>
  <si>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</si>
  <si>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</si>
  <si>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</si>
  <si>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</si>
  <si>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</si>
  <si>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</si>
  <si>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</si>
  <si>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</si>
  <si>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</si>
  <si>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</si>
  <si>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</si>
  <si>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</si>
  <si>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</si>
  <si>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</si>
  <si>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</si>
  <si>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</si>
  <si>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</si>
  <si>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</si>
  <si>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</si>
  <si>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</si>
  <si>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</si>
  <si>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</si>
  <si>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</si>
  <si>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</si>
  <si>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</si>
  <si>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</si>
  <si>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</si>
  <si>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</si>
  <si>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</si>
  <si>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</si>
  <si>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</si>
  <si>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</si>
  <si>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</si>
  <si>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</si>
  <si>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</si>
  <si>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</si>
  <si>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</si>
  <si>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</si>
  <si>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</si>
  <si>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</si>
  <si>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</si>
  <si>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</si>
  <si>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</si>
  <si>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</si>
  <si>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</si>
  <si>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</si>
  <si>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</si>
  <si>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</si>
  <si>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</si>
  <si>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</si>
  <si>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</si>
  <si>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</si>
  <si>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</si>
  <si>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</si>
  <si>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</si>
  <si>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</si>
  <si>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</si>
  <si>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</si>
  <si>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</si>
  <si>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</si>
  <si>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</si>
  <si>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</si>
  <si>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</si>
  <si>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</si>
  <si>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</si>
  <si>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</si>
  <si>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</si>
  <si>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</si>
  <si>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</si>
  <si>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</si>
  <si>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</si>
  <si>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</si>
  <si>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</si>
  <si>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</si>
  <si>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</si>
  <si>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</si>
  <si>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</si>
  <si>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</si>
  <si>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</si>
  <si>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</si>
  <si>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</si>
  <si>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</si>
  <si>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</si>
  <si>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</si>
  <si>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</si>
  <si>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</si>
  <si>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</si>
  <si>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</si>
  <si>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</si>
  <si>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</si>
  <si>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</si>
  <si>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</si>
  <si>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</si>
  <si>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</si>
  <si>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</si>
  <si>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</si>
  <si>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</si>
  <si>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</si>
  <si>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</si>
  <si>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</si>
  <si>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</si>
  <si>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</si>
  <si>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</si>
  <si>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</si>
  <si>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</si>
  <si>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</si>
  <si>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</si>
  <si>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</si>
  <si>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</si>
  <si>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</si>
  <si>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</si>
  <si>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</si>
  <si>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</si>
  <si>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</si>
  <si>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</si>
  <si>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</si>
  <si>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</si>
  <si>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</si>
  <si>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</si>
  <si>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</si>
  <si>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</si>
  <si>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</si>
  <si>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</si>
  <si>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</si>
  <si>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</si>
  <si>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</si>
  <si>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</si>
  <si>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</si>
  <si>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</si>
  <si>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</si>
  <si>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</si>
  <si>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</si>
  <si>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</si>
  <si>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</si>
  <si>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</si>
  <si>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</si>
  <si>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</si>
  <si>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</si>
  <si>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</si>
  <si>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</si>
  <si>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</si>
  <si>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</si>
  <si>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</si>
  <si>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</si>
  <si>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</si>
  <si>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</si>
  <si>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</si>
  <si>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</si>
  <si>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</si>
  <si>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</si>
  <si>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</si>
  <si>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</si>
  <si>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</si>
  <si>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</si>
  <si>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</si>
  <si>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</si>
  <si>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</si>
  <si>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</si>
  <si>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</si>
  <si>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</si>
  <si>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</si>
  <si>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</si>
  <si>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</si>
  <si>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</si>
  <si>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</si>
  <si>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</si>
  <si>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</si>
  <si>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</si>
  <si>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</si>
  <si>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</si>
  <si>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</si>
  <si>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</si>
  <si>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</si>
  <si>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</si>
  <si>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</si>
  <si>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</si>
  <si>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</si>
  <si>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</si>
  <si>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</si>
  <si>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</si>
  <si>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</si>
  <si>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</si>
  <si>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</si>
  <si>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</si>
  <si>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</si>
  <si>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</si>
  <si>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</si>
  <si>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</si>
  <si>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</si>
  <si>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</si>
  <si>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</si>
  <si>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</si>
  <si>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</si>
  <si>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</si>
  <si>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</si>
  <si>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</si>
  <si>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</si>
  <si>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</si>
  <si>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</si>
  <si>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</si>
  <si>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</si>
  <si>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</si>
  <si>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</si>
  <si>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</si>
  <si>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</si>
  <si>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</si>
  <si>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</si>
  <si>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</si>
  <si>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</si>
  <si>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</si>
  <si>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</si>
  <si>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</si>
  <si>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</si>
  <si>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</si>
  <si>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</si>
  <si>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</si>
  <si>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</si>
  <si>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</si>
  <si>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</si>
  <si>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</si>
  <si>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</si>
  <si>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</si>
  <si>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</si>
  <si>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</si>
  <si>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</si>
  <si>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</si>
  <si>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</si>
  <si>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</si>
  <si>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</si>
  <si>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</si>
  <si>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</si>
  <si>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</si>
  <si>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</si>
  <si>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</si>
  <si>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</si>
  <si>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</si>
  <si>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</si>
  <si>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</si>
  <si>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</si>
  <si>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</si>
  <si>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</si>
  <si>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</si>
  <si>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</si>
  <si>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</si>
  <si>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</si>
  <si>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</si>
  <si>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</si>
  <si>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</si>
  <si>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</si>
  <si>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</si>
  <si>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</si>
  <si>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</si>
  <si>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</si>
  <si>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</si>
  <si>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</si>
  <si>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</si>
  <si>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</si>
  <si>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</si>
  <si>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</si>
  <si>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</si>
  <si>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</si>
  <si>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</si>
  <si>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</si>
  <si>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</si>
  <si>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</si>
  <si>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</si>
  <si>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</si>
  <si>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</si>
  <si>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</si>
  <si>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</si>
  <si>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</si>
  <si>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</si>
  <si>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</si>
  <si>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</si>
  <si>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</si>
  <si>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</si>
  <si>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</si>
  <si>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</si>
  <si>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</si>
  <si>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</si>
  <si>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</si>
  <si>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</si>
  <si>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</si>
  <si>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</si>
  <si>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</si>
  <si>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</si>
  <si>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</si>
  <si>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</si>
  <si>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</si>
  <si>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</si>
  <si>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</si>
  <si>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</si>
  <si>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</si>
  <si>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</si>
  <si>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</si>
  <si>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</si>
  <si>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</si>
  <si>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</si>
  <si>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</si>
  <si>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</si>
  <si>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</si>
  <si>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</si>
  <si>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</si>
  <si>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</si>
  <si>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</si>
  <si>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</si>
  <si>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</si>
  <si>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</si>
  <si>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</si>
  <si>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</si>
  <si>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</si>
  <si>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</si>
  <si>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</si>
  <si>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</si>
  <si>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</si>
  <si>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</si>
  <si>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</si>
  <si>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</si>
  <si>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</si>
  <si>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</si>
  <si>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</si>
  <si>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</si>
  <si>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</si>
  <si>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</si>
  <si>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</si>
  <si>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</si>
  <si>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</si>
  <si>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</si>
  <si>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</si>
  <si>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</si>
  <si>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</si>
  <si>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</si>
  <si>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</si>
  <si>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</si>
  <si>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</si>
  <si>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</si>
  <si>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</si>
  <si>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</si>
  <si>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</si>
  <si>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</si>
  <si>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</si>
  <si>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</si>
  <si>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</si>
  <si>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</si>
  <si>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</si>
  <si>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</si>
  <si>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</si>
  <si>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</si>
  <si>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</si>
  <si>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</si>
  <si>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</si>
  <si>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</si>
  <si>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Name</t>
  </si>
  <si>
    <t>Gender</t>
  </si>
  <si>
    <t>Age</t>
  </si>
  <si>
    <t>Country</t>
  </si>
  <si>
    <t>Language</t>
  </si>
  <si>
    <t>Primary Skills</t>
  </si>
  <si>
    <t>Rating</t>
  </si>
  <si>
    <t>Activity</t>
  </si>
  <si>
    <t>Client Satisfaction</t>
  </si>
  <si>
    <t>Freelancer ID</t>
  </si>
  <si>
    <t>Experience(Years)</t>
  </si>
  <si>
    <t>Inactive</t>
  </si>
  <si>
    <t>Active</t>
  </si>
  <si>
    <t>Experience Level</t>
  </si>
  <si>
    <t>Pricing Tier</t>
  </si>
  <si>
    <t>Hourly Rate</t>
  </si>
  <si>
    <t>Est. Annual Revenue</t>
  </si>
  <si>
    <t>Age Group</t>
  </si>
  <si>
    <t>Performance</t>
  </si>
  <si>
    <t>Row Labels</t>
  </si>
  <si>
    <t>Expert</t>
  </si>
  <si>
    <t>Junior</t>
  </si>
  <si>
    <t>Mid-Level</t>
  </si>
  <si>
    <t>Senior</t>
  </si>
  <si>
    <t>Super Senior</t>
  </si>
  <si>
    <t>Grand Total</t>
  </si>
  <si>
    <t>Sum of Est. Annual Revenue</t>
  </si>
  <si>
    <t>Average Hourly Rate</t>
  </si>
  <si>
    <t>Count of Freelancer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</si>
</sst>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5C]#,##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59999389629810485"/>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33" borderId="0" xfId="0" applyFont="1" applyFill="1" applyAlignment="1">
      <alignment horizontal="center"/>
    </xf>
    <xf numFmtId="0" fontId="0" fillId="0" borderId="0" xfId="0" applyAlignment="1">
      <alignment horizontal="center"/>
    </xf>
    <xf numFmtId="9" fontId="0" fillId="0" borderId="0" xfId="0" applyNumberFormat="1" applyAlignment="1">
      <alignment horizontal="center"/>
    </xf>
    <xf numFmtId="0" fontId="16" fillId="33" borderId="0" xfId="0" applyFont="1" applyFill="1" applyAlignment="1">
      <alignment horizontal="center" vertical="center"/>
    </xf>
    <xf numFmtId="0" fontId="0" fillId="0" borderId="0" xfId="0" applyAlignment="1">
      <alignment horizontal="center" vertical="center"/>
    </xf>
    <xf numFmtId="164" fontId="16" fillId="33" borderId="0" xfId="0" applyNumberFormat="1" applyFont="1" applyFill="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49" fontId="16" fillId="33" borderId="0" xfId="0" applyNumberFormat="1" applyFont="1" applyFill="1" applyAlignment="1">
      <alignment horizontal="center"/>
    </xf>
    <xf numFmtId="10" fontId="0" fillId="0" borderId="0" xfId="0" applyNumberFormat="1" applyAlignment="1">
      <alignment horizontal="center"/>
    </xf>
    <xf numFmtId="9" fontId="16" fillId="33" borderId="0" xfId="0" applyNumberFormat="1" applyFont="1" applyFill="1" applyAlignment="1">
      <alignment horizontal="center"/>
    </xf>
    <xf numFmtId="0" fontId="0" fillId="0" borderId="0" xfId="0" pivotButton="1"/>
    <xf numFmtId="0" fontId="0" fillId="0" borderId="0" xfId="0" applyAlignment="1">
      <alignment horizontal="left"/>
    </xf>
    <xf numFmtId="0" fontId="0" fillId="34" borderId="0" xfId="0" applyFill="1" applyAlignment="1">
      <alignment horizontal="left"/>
    </xf>
    <xf numFmtId="164" fontId="0" fillId="34" borderId="0" xfId="0" applyNumberFormat="1" applyFill="1"/>
    <xf numFmtId="0" fontId="0" fillId="34" borderId="0" xfId="0" applyFill="1"/>
    <xf numFmtId="0" fontId="0" fillId="35" borderId="0" xfId="0" applyFill="1"/>
    <xf numFmtId="0" fontId="0" fillId="35" borderId="0" xfId="0" applyFill="1" applyAlignment="1">
      <alignment horizontal="left"/>
    </xf>
    <xf numFmtId="164" fontId="0" fillId="35"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fill>
        <patternFill patternType="solid">
          <fgColor auto="1"/>
          <bgColor theme="7" tint="0.39994506668294322"/>
        </patternFill>
      </fill>
    </dxf>
    <dxf>
      <fill>
        <patternFill>
          <bgColor theme="5" tint="0.59996337778862885"/>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fill>
        <patternFill>
          <bgColor rgb="FFFFC000"/>
        </patternFill>
      </fill>
    </dxf>
    <dxf>
      <fill>
        <patternFill>
          <bgColor theme="7" tint="0.39994506668294322"/>
        </patternFill>
      </fill>
    </dxf>
    <dxf>
      <fill>
        <gradientFill degree="90">
          <stop position="0">
            <color theme="5" tint="0.59999389629810485"/>
          </stop>
          <stop position="1">
            <color theme="4"/>
          </stop>
        </gradientFill>
      </fill>
    </dxf>
    <dxf>
      <fill>
        <patternFill>
          <bgColor theme="8" tint="0.59996337778862885"/>
        </patternFill>
      </fill>
    </dxf>
    <dxf>
      <font>
        <color rgb="FF9C0006"/>
      </font>
      <fill>
        <patternFill>
          <bgColor rgb="FFFFC7CE"/>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45C]#,##0.00"/>
      <alignment horizontal="center" vertical="bottom" textRotation="0" wrapText="0" indent="0" justifyLastLine="0" shrinkToFit="0" readingOrder="0"/>
    </dxf>
    <dxf>
      <numFmt numFmtId="164" formatCode="[$$-45C]#,##0.00"/>
      <alignment horizontal="center" vertical="bottom" textRotation="0" wrapText="0" indent="0" justifyLastLine="0" shrinkToFit="0" readingOrder="0"/>
    </dxf>
    <dxf>
      <numFmt numFmtId="164" formatCode="[$$-45C]#,##0.00"/>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bottom" textRotation="0" wrapText="0" indent="0" justifyLastLine="0" shrinkToFit="0" readingOrder="0"/>
    </dxf>
  </dxfs>
  <tableStyles count="0" defaultTableStyle="TableStyleMedium2" defaultPivotStyle="PivotStyleLight16"/>
  <colors>
    <mruColors>
      <color rgb="FF05CA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Freelancers.xlsx]Insight!PivotTable1</c:name>
    <c:fmtId val="0"/>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Insight!$B$3</c:f>
              <c:strCache>
                <c:ptCount val="1"/>
                <c:pt idx="0">
                  <c:v>Average Hourly Rate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Insight!$A$4:$A$9</c:f>
              <c:strCache>
                <c:ptCount val="5"/>
                <c:pt idx="0">
                  <c:v>Expert</c:v>
                </c:pt>
                <c:pt idx="1">
                  <c:v>Junior</c:v>
                </c:pt>
                <c:pt idx="2">
                  <c:v>Mid-Level</c:v>
                </c:pt>
                <c:pt idx="3">
                  <c:v>Senior</c:v>
                </c:pt>
                <c:pt idx="4">
                  <c:v>Super Senior</c:v>
                </c:pt>
              </c:strCache>
            </c:strRef>
          </c:cat>
          <c:val>
            <c:numRef>
              <c:f>Insight!$B$4:$B$9</c:f>
              <c:numCache>
                <c:formatCode>[$$-45C]#,##0.00</c:formatCode>
                <c:ptCount val="5"/>
                <c:pt idx="0">
                  <c:v>60.636363636363633</c:v>
                </c:pt>
                <c:pt idx="1">
                  <c:v>48.710191082802545</c:v>
                </c:pt>
                <c:pt idx="2">
                  <c:v>50.287539936102235</c:v>
                </c:pt>
                <c:pt idx="3">
                  <c:v>54.583333333333336</c:v>
                </c:pt>
                <c:pt idx="4">
                  <c:v>59.126984126984127</c:v>
                </c:pt>
              </c:numCache>
            </c:numRef>
          </c:val>
          <c:extLst>
            <c:ext xmlns:c16="http://schemas.microsoft.com/office/drawing/2014/chart" uri="{C3380CC4-5D6E-409C-BE32-E72D297353CC}">
              <c16:uniqueId val="{00000000-1785-4FEE-AEB5-C777826C58B1}"/>
            </c:ext>
          </c:extLst>
        </c:ser>
        <c:dLbls>
          <c:showLegendKey val="0"/>
          <c:showVal val="0"/>
          <c:showCatName val="0"/>
          <c:showSerName val="0"/>
          <c:showPercent val="0"/>
          <c:showBubbleSize val="0"/>
        </c:dLbls>
        <c:gapWidth val="219"/>
        <c:overlap val="-27"/>
        <c:axId val="571704847"/>
        <c:axId val="571703407"/>
      </c:barChart>
      <c:lineChart>
        <c:grouping val="standard"/>
        <c:varyColors val="0"/>
        <c:ser>
          <c:idx val="1"/>
          <c:order val="1"/>
          <c:tx>
            <c:strRef>
              <c:f>Insight!$C$3</c:f>
              <c:strCache>
                <c:ptCount val="1"/>
                <c:pt idx="0">
                  <c:v>Sum of Est. Annual Revenue</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Insight!$A$4:$A$9</c:f>
              <c:strCache>
                <c:ptCount val="5"/>
                <c:pt idx="0">
                  <c:v>Expert</c:v>
                </c:pt>
                <c:pt idx="1">
                  <c:v>Junior</c:v>
                </c:pt>
                <c:pt idx="2">
                  <c:v>Mid-Level</c:v>
                </c:pt>
                <c:pt idx="3">
                  <c:v>Senior</c:v>
                </c:pt>
                <c:pt idx="4">
                  <c:v>Super Senior</c:v>
                </c:pt>
              </c:strCache>
            </c:strRef>
          </c:cat>
          <c:val>
            <c:numRef>
              <c:f>Insight!$C$4:$C$9</c:f>
              <c:numCache>
                <c:formatCode>[$$-45C]#,##0.00</c:formatCode>
                <c:ptCount val="5"/>
                <c:pt idx="0">
                  <c:v>3335000</c:v>
                </c:pt>
                <c:pt idx="1">
                  <c:v>15295000</c:v>
                </c:pt>
                <c:pt idx="2">
                  <c:v>15740000</c:v>
                </c:pt>
                <c:pt idx="3">
                  <c:v>10480000</c:v>
                </c:pt>
                <c:pt idx="4">
                  <c:v>7450000</c:v>
                </c:pt>
              </c:numCache>
            </c:numRef>
          </c:val>
          <c:smooth val="0"/>
          <c:extLst>
            <c:ext xmlns:c16="http://schemas.microsoft.com/office/drawing/2014/chart" uri="{C3380CC4-5D6E-409C-BE32-E72D297353CC}">
              <c16:uniqueId val="{00000001-1785-4FEE-AEB5-C777826C58B1}"/>
            </c:ext>
          </c:extLst>
        </c:ser>
        <c:dLbls>
          <c:showLegendKey val="0"/>
          <c:showVal val="0"/>
          <c:showCatName val="0"/>
          <c:showSerName val="0"/>
          <c:showPercent val="0"/>
          <c:showBubbleSize val="0"/>
        </c:dLbls>
        <c:marker val="1"/>
        <c:smooth val="0"/>
        <c:axId val="1122218671"/>
        <c:axId val="1122217711"/>
      </c:lineChart>
      <c:catAx>
        <c:axId val="5717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1703407"/>
        <c:crosses val="autoZero"/>
        <c:auto val="1"/>
        <c:lblAlgn val="ctr"/>
        <c:lblOffset val="100"/>
        <c:noMultiLvlLbl val="0"/>
      </c:catAx>
      <c:valAx>
        <c:axId val="571703407"/>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1704847"/>
        <c:crosses val="autoZero"/>
        <c:crossBetween val="between"/>
      </c:valAx>
      <c:valAx>
        <c:axId val="1122217711"/>
        <c:scaling>
          <c:orientation val="minMax"/>
        </c:scaling>
        <c:delete val="0"/>
        <c:axPos val="r"/>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2218671"/>
        <c:crosses val="max"/>
        <c:crossBetween val="between"/>
      </c:valAx>
      <c:catAx>
        <c:axId val="1122218671"/>
        <c:scaling>
          <c:orientation val="minMax"/>
        </c:scaling>
        <c:delete val="1"/>
        <c:axPos val="b"/>
        <c:numFmt formatCode="General" sourceLinked="1"/>
        <c:majorTickMark val="none"/>
        <c:minorTickMark val="none"/>
        <c:tickLblPos val="nextTo"/>
        <c:crossAx val="11222177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Freelancers.xlsx]Insight!PivotTable2</c:name>
    <c:fmtId val="0"/>
  </c:pivotSource>
  <c:chart>
    <c:title>
      <c:overlay val="0"/>
      <c:spPr>
        <a:noFill/>
        <a:ln>
          <a:noFill/>
        </a:ln>
        <a:effectLst/>
      </c:spPr>
      <c:txPr>
        <a:bodyPr rot="0" spcFirstLastPara="1" vertOverflow="ellipsis" vert="horz" wrap="square" anchor="ctr" anchorCtr="1"/>
        <a:lstStyle/>
        <a:p>
          <a:pPr>
            <a:defRPr sz="1320" b="1" i="0" u="none" strike="noStrike" kern="1200" cap="none" spc="0" baseline="0">
              <a:ln/>
              <a:solidFill>
                <a:schemeClr val="bg1"/>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cap="none" spc="0" baseline="0">
                  <a:ln/>
                  <a:solidFill>
                    <a:schemeClr val="bg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8897637795275524E-2"/>
              <c:y val="-3.1867431485022309E-2"/>
            </c:manualLayout>
          </c:layout>
          <c:spPr>
            <a:noFill/>
            <a:ln>
              <a:noFill/>
            </a:ln>
            <a:effectLst/>
          </c:spPr>
          <c:txPr>
            <a:bodyPr rot="0" spcFirstLastPara="1" vertOverflow="ellipsis" vert="horz" wrap="square" anchor="ctr" anchorCtr="1"/>
            <a:lstStyle/>
            <a:p>
              <a:pPr>
                <a:defRPr sz="1100" b="1" i="0" u="none" strike="noStrike" kern="1200" cap="none" spc="0" baseline="0">
                  <a:ln/>
                  <a:solidFill>
                    <a:schemeClr val="bg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2020997375328086E-2"/>
              <c:y val="-1.9120458891013385E-2"/>
            </c:manualLayout>
          </c:layout>
          <c:spPr>
            <a:noFill/>
            <a:ln>
              <a:noFill/>
            </a:ln>
            <a:effectLst/>
          </c:spPr>
          <c:txPr>
            <a:bodyPr rot="0" spcFirstLastPara="1" vertOverflow="ellipsis" vert="horz" wrap="square" anchor="ctr" anchorCtr="1"/>
            <a:lstStyle/>
            <a:p>
              <a:pPr>
                <a:defRPr sz="1100" b="1" i="0" u="none" strike="noStrike" kern="1200" cap="none" spc="0" baseline="0">
                  <a:ln/>
                  <a:solidFill>
                    <a:schemeClr val="bg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Insight!$C$20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63-444B-A694-E4A811C03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63-444B-A694-E4A811C0348D}"/>
              </c:ext>
            </c:extLst>
          </c:dPt>
          <c:dLbls>
            <c:dLbl>
              <c:idx val="0"/>
              <c:layout>
                <c:manualLayout>
                  <c:x val="6.8897637795275524E-2"/>
                  <c:y val="-3.1867431485022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63-444B-A694-E4A811C0348D}"/>
                </c:ext>
              </c:extLst>
            </c:dLbl>
            <c:dLbl>
              <c:idx val="1"/>
              <c:layout>
                <c:manualLayout>
                  <c:x val="-8.2020997375328086E-2"/>
                  <c:y val="-1.9120458891013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63-444B-A694-E4A811C0348D}"/>
                </c:ext>
              </c:extLst>
            </c:dLbl>
            <c:spPr>
              <a:noFill/>
              <a:ln>
                <a:noFill/>
              </a:ln>
              <a:effectLst/>
            </c:spPr>
            <c:txPr>
              <a:bodyPr rot="0" spcFirstLastPara="1" vertOverflow="ellipsis" vert="horz" wrap="square" anchor="ctr" anchorCtr="1"/>
              <a:lstStyle/>
              <a:p>
                <a:pPr>
                  <a:defRPr sz="1100" b="1" i="0" u="none" strike="noStrike" kern="1200" cap="none" spc="0" baseline="0">
                    <a:ln/>
                    <a:solidFill>
                      <a:schemeClr val="bg1"/>
                    </a:solidFill>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Insight!$B$21:$B$23</c:f>
              <c:strCache>
                <c:ptCount val="2"/>
                <c:pt idx="0">
                  <c:v>Active</c:v>
                </c:pt>
                <c:pt idx="1">
                  <c:v>Inactive</c:v>
                </c:pt>
              </c:strCache>
            </c:strRef>
          </c:cat>
          <c:val>
            <c:numRef>
              <c:f>Insight!$C$21:$C$23</c:f>
              <c:numCache>
                <c:formatCode>General</c:formatCode>
                <c:ptCount val="2"/>
                <c:pt idx="0">
                  <c:v>475</c:v>
                </c:pt>
                <c:pt idx="1">
                  <c:v>525</c:v>
                </c:pt>
              </c:numCache>
            </c:numRef>
          </c:val>
          <c:extLst>
            <c:ext xmlns:c16="http://schemas.microsoft.com/office/drawing/2014/chart" uri="{C3380CC4-5D6E-409C-BE32-E72D297353CC}">
              <c16:uniqueId val="{00000000-AB63-444B-A694-E4A811C0348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cap="none" spc="0" baseline="0">
              <a:ln/>
              <a:solidFill>
                <a:schemeClr val="bg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lumMod val="15000"/>
          <a:lumOff val="85000"/>
        </a:schemeClr>
      </a:solidFill>
      <a:round/>
    </a:ln>
    <a:effectLst/>
  </c:spPr>
  <c:txPr>
    <a:bodyPr/>
    <a:lstStyle/>
    <a:p>
      <a:pPr>
        <a:defRPr sz="1100" b="1" cap="none" spc="0">
          <a:ln/>
          <a:solidFill>
            <a:schemeClr val="bg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7620</xdr:colOff>
      <xdr:row>0</xdr:row>
      <xdr:rowOff>171450</xdr:rowOff>
    </xdr:from>
    <xdr:to>
      <xdr:col>11</xdr:col>
      <xdr:colOff>312420</xdr:colOff>
      <xdr:row>15</xdr:row>
      <xdr:rowOff>171450</xdr:rowOff>
    </xdr:to>
    <xdr:graphicFrame macro="">
      <xdr:nvGraphicFramePr>
        <xdr:cNvPr id="2" name="Chart 1">
          <a:extLst>
            <a:ext uri="{FF2B5EF4-FFF2-40B4-BE49-F238E27FC236}">
              <a16:creationId xmlns:a16="http://schemas.microsoft.com/office/drawing/2014/main" id="{8A9B8CD1-637D-BE4C-9E41-6B16AA46A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99060</xdr:colOff>
      <xdr:row>2</xdr:row>
      <xdr:rowOff>45720</xdr:rowOff>
    </xdr:from>
    <xdr:to>
      <xdr:col>15</xdr:col>
      <xdr:colOff>53340</xdr:colOff>
      <xdr:row>14</xdr:row>
      <xdr:rowOff>144779</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748E04D-92E2-6155-78E6-93E4035CAD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18320" y="411480"/>
              <a:ext cx="1783080" cy="2293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175260</xdr:colOff>
      <xdr:row>2</xdr:row>
      <xdr:rowOff>1</xdr:rowOff>
    </xdr:from>
    <xdr:to>
      <xdr:col>18</xdr:col>
      <xdr:colOff>160020</xdr:colOff>
      <xdr:row>8</xdr:row>
      <xdr:rowOff>152401</xdr:rowOff>
    </xdr:to>
    <mc:AlternateContent xmlns:mc="http://schemas.openxmlformats.org/markup-compatibility/2006" xmlns:a14="http://schemas.microsoft.com/office/drawing/2010/main">
      <mc:Choice Requires="a14">
        <xdr:graphicFrame macro="">
          <xdr:nvGraphicFramePr>
            <xdr:cNvPr id="4" name="Pricing Tier">
              <a:extLst>
                <a:ext uri="{FF2B5EF4-FFF2-40B4-BE49-F238E27FC236}">
                  <a16:creationId xmlns:a16="http://schemas.microsoft.com/office/drawing/2014/main" id="{8294E7A5-F8AA-2744-E102-4FE5342F39BB}"/>
                </a:ext>
              </a:extLst>
            </xdr:cNvPr>
            <xdr:cNvGraphicFramePr/>
          </xdr:nvGraphicFramePr>
          <xdr:xfrm>
            <a:off x="0" y="0"/>
            <a:ext cx="0" cy="0"/>
          </xdr:xfrm>
          <a:graphic>
            <a:graphicData uri="http://schemas.microsoft.com/office/drawing/2010/slicer">
              <sle:slicer xmlns:sle="http://schemas.microsoft.com/office/drawing/2010/slicer" name="Pricing Tier"/>
            </a:graphicData>
          </a:graphic>
        </xdr:graphicFrame>
      </mc:Choice>
      <mc:Fallback xmlns="">
        <xdr:sp macro="" textlink="">
          <xdr:nvSpPr>
            <xdr:cNvPr id="0" name=""/>
            <xdr:cNvSpPr>
              <a:spLocks noTextEdit="1"/>
            </xdr:cNvSpPr>
          </xdr:nvSpPr>
          <xdr:spPr>
            <a:xfrm>
              <a:off x="11323320" y="365761"/>
              <a:ext cx="181356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9</xdr:row>
      <xdr:rowOff>129541</xdr:rowOff>
    </xdr:from>
    <xdr:to>
      <xdr:col>18</xdr:col>
      <xdr:colOff>182880</xdr:colOff>
      <xdr:row>14</xdr:row>
      <xdr:rowOff>129540</xdr:rowOff>
    </xdr:to>
    <mc:AlternateContent xmlns:mc="http://schemas.openxmlformats.org/markup-compatibility/2006" xmlns:a14="http://schemas.microsoft.com/office/drawing/2010/main">
      <mc:Choice Requires="a14">
        <xdr:graphicFrame macro="">
          <xdr:nvGraphicFramePr>
            <xdr:cNvPr id="5" name="Activity">
              <a:extLst>
                <a:ext uri="{FF2B5EF4-FFF2-40B4-BE49-F238E27FC236}">
                  <a16:creationId xmlns:a16="http://schemas.microsoft.com/office/drawing/2014/main" id="{DA679BA4-B813-211B-8ACC-E930DA19A331}"/>
                </a:ext>
              </a:extLst>
            </xdr:cNvPr>
            <xdr:cNvGraphicFramePr/>
          </xdr:nvGraphicFramePr>
          <xdr:xfrm>
            <a:off x="0" y="0"/>
            <a:ext cx="0" cy="0"/>
          </xdr:xfrm>
          <a:graphic>
            <a:graphicData uri="http://schemas.microsoft.com/office/drawing/2010/slicer">
              <sle:slicer xmlns:sle="http://schemas.microsoft.com/office/drawing/2010/slicer" name="Activity"/>
            </a:graphicData>
          </a:graphic>
        </xdr:graphicFrame>
      </mc:Choice>
      <mc:Fallback xmlns="">
        <xdr:sp macro="" textlink="">
          <xdr:nvSpPr>
            <xdr:cNvPr id="0" name=""/>
            <xdr:cNvSpPr>
              <a:spLocks noTextEdit="1"/>
            </xdr:cNvSpPr>
          </xdr:nvSpPr>
          <xdr:spPr>
            <a:xfrm>
              <a:off x="11346180" y="1775461"/>
              <a:ext cx="181356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17</xdr:row>
      <xdr:rowOff>129540</xdr:rowOff>
    </xdr:from>
    <xdr:to>
      <xdr:col>10</xdr:col>
      <xdr:colOff>213360</xdr:colOff>
      <xdr:row>28</xdr:row>
      <xdr:rowOff>110490</xdr:rowOff>
    </xdr:to>
    <xdr:graphicFrame macro="">
      <xdr:nvGraphicFramePr>
        <xdr:cNvPr id="6" name="Chart 5">
          <a:extLst>
            <a:ext uri="{FF2B5EF4-FFF2-40B4-BE49-F238E27FC236}">
              <a16:creationId xmlns:a16="http://schemas.microsoft.com/office/drawing/2014/main" id="{4C047028-F228-B188-7858-B27E5CE76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879416898148" createdVersion="8" refreshedVersion="8" minRefreshableVersion="3" recordCount="1000" xr:uid="{56D81324-3846-4A73-B4ED-D3461397198E}">
  <cacheSource type="worksheet">
    <worksheetSource name="Table1"/>
  </cacheSource>
  <cacheFields count="17">
    <cacheField name="Freelancer ID" numFmtId="0">
      <sharedItems/>
    </cacheField>
    <cacheField name="Name" numFmtId="0">
      <sharedItems/>
    </cacheField>
    <cacheField name="Gender" numFmtId="0">
      <sharedItems/>
    </cacheField>
    <cacheField name="Age" numFmtId="0">
      <sharedItems containsSemiMixedTypes="0" containsString="0" containsNumber="1" containsInteger="1" minValue="20" maxValue="60"/>
    </cacheField>
    <cacheField name="Age Group" numFmtId="0">
      <sharedItems/>
    </cacheField>
    <cacheField name="Country" numFmtId="0">
      <sharedItems count="21">
        <s v="Italy"/>
        <s v="Australia"/>
        <s v="Germany"/>
        <s v="Netherlands"/>
        <s v="Indonesia"/>
        <s v="United States"/>
        <s v="Turkey"/>
        <s v="United Kingdom"/>
        <s v="Argentina"/>
        <s v="Japan"/>
        <s v="India"/>
        <s v="Brazil"/>
        <s v="South Korea"/>
        <s v="Russia"/>
        <s v="Canada"/>
        <s v="France"/>
        <s v="Egypt"/>
        <s v="South Africa"/>
        <s v="China"/>
        <s v="Mexico"/>
        <s v="Spain"/>
      </sharedItems>
    </cacheField>
    <cacheField name="Language" numFmtId="0">
      <sharedItems/>
    </cacheField>
    <cacheField name="Primary Skills" numFmtId="0">
      <sharedItems/>
    </cacheField>
    <cacheField name="Experience(Years)" numFmtId="0">
      <sharedItems containsString="0" containsBlank="1" containsNumber="1" containsInteger="1" minValue="0" maxValue="41"/>
    </cacheField>
    <cacheField name="Experience Level" numFmtId="0">
      <sharedItems count="5">
        <s v="Mid-Level"/>
        <s v="Expert"/>
        <s v="Junior"/>
        <s v="Super Senior"/>
        <s v="Senior"/>
      </sharedItems>
    </cacheField>
    <cacheField name="Hourly Rate" numFmtId="164">
      <sharedItems containsSemiMixedTypes="0" containsString="0" containsNumber="1" containsInteger="1" minValue="20" maxValue="100"/>
    </cacheField>
    <cacheField name="Est. Annual Revenue" numFmtId="164">
      <sharedItems containsSemiMixedTypes="0" containsString="0" containsNumber="1" containsInteger="1" minValue="20000" maxValue="100000"/>
    </cacheField>
    <cacheField name="Pricing Tier" numFmtId="164">
      <sharedItems count="3">
        <s v="Premium"/>
        <s v="Standard"/>
        <s v="Budget"/>
      </sharedItems>
    </cacheField>
    <cacheField name="Rating" numFmtId="0">
      <sharedItems containsSemiMixedTypes="0" containsString="0" containsNumber="1" minValue="1.8" maxValue="5"/>
    </cacheField>
    <cacheField name="Activity" numFmtId="0">
      <sharedItems count="2">
        <s v="Inactive"/>
        <s v="Active"/>
      </sharedItems>
    </cacheField>
    <cacheField name="Client Satisfaction" numFmtId="10">
      <sharedItems containsSemiMixedTypes="0" containsString="0" containsNumber="1" minValue="0.3" maxValue="1"/>
    </cacheField>
    <cacheField name="Performance" numFmtId="10">
      <sharedItems/>
    </cacheField>
  </cacheFields>
  <extLst>
    <ext xmlns:x14="http://schemas.microsoft.com/office/spreadsheetml/2009/9/main" uri="{725AE2AE-9491-48be-B2B4-4EB974FC3084}">
      <x14:pivotCacheDefinition pivotCacheId="2056445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Female"/>
    <n v="52"/>
    <s v="46-55"/>
    <x v="0"/>
    <s v="Italian"/>
    <s v="Blockchain Development"/>
    <n v="11"/>
    <x v="0"/>
    <n v="100"/>
    <n v="100000"/>
    <x v="0"/>
    <n v="3.8"/>
    <x v="0"/>
    <n v="0.75"/>
    <s v="Average"/>
  </r>
  <r>
    <s v="FL250002"/>
    <s v="Vanessa Garcia"/>
    <s v="Female"/>
    <n v="52"/>
    <s v="46-55"/>
    <x v="1"/>
    <s v="English"/>
    <s v="Mobile Apps"/>
    <n v="34"/>
    <x v="1"/>
    <n v="100"/>
    <n v="100000"/>
    <x v="0"/>
    <n v="5"/>
    <x v="1"/>
    <n v="0.84"/>
    <s v="Top Performer"/>
  </r>
  <r>
    <s v="FL250003"/>
    <s v="Juan Nelson"/>
    <s v="Male"/>
    <n v="53"/>
    <s v="46-55"/>
    <x v="2"/>
    <s v="German"/>
    <s v="Graphic Design"/>
    <n v="31"/>
    <x v="1"/>
    <n v="50"/>
    <n v="50000"/>
    <x v="1"/>
    <n v="5"/>
    <x v="0"/>
    <n v="0.71"/>
    <s v="Top Performer"/>
  </r>
  <r>
    <s v="FL250004"/>
    <s v="Amanda Spencer"/>
    <s v="Female"/>
    <n v="38"/>
    <s v="30-45"/>
    <x v="1"/>
    <s v="English"/>
    <s v="Web Development"/>
    <n v="4"/>
    <x v="2"/>
    <n v="40"/>
    <n v="40000"/>
    <x v="1"/>
    <n v="2.5"/>
    <x v="0"/>
    <n v="0.9"/>
    <s v="Needs Imporovement"/>
  </r>
  <r>
    <s v="FL250005"/>
    <s v="Lynn Curtis DDS"/>
    <s v="Female"/>
    <n v="53"/>
    <s v="46-55"/>
    <x v="2"/>
    <s v="German"/>
    <s v="Web Development"/>
    <n v="27"/>
    <x v="3"/>
    <n v="30"/>
    <n v="30000"/>
    <x v="2"/>
    <n v="4.8"/>
    <x v="0"/>
    <n v="0.83"/>
    <s v="Top Performer"/>
  </r>
  <r>
    <s v="FL250006"/>
    <s v="Lisa Johnson"/>
    <s v="Female"/>
    <n v="59"/>
    <s v="55+"/>
    <x v="3"/>
    <s v="Dutch"/>
    <s v="AI"/>
    <n v="14"/>
    <x v="4"/>
    <n v="30"/>
    <n v="30000"/>
    <x v="2"/>
    <n v="3.8"/>
    <x v="0"/>
    <n v="0.75"/>
    <s v="Average"/>
  </r>
  <r>
    <s v="FL250007"/>
    <s v="Eric Myers"/>
    <s v="Male"/>
    <n v="52"/>
    <s v="46-55"/>
    <x v="4"/>
    <s v="Indonesian"/>
    <s v="Data Analysis"/>
    <n v="10"/>
    <x v="0"/>
    <n v="75"/>
    <n v="75000"/>
    <x v="1"/>
    <n v="3.8"/>
    <x v="0"/>
    <n v="0.94"/>
    <s v="Average"/>
  </r>
  <r>
    <s v="FL250008"/>
    <s v="Ricky Graham"/>
    <s v="Male"/>
    <n v="43"/>
    <s v="30-45"/>
    <x v="0"/>
    <s v="Italian"/>
    <s v="Blockchain Development"/>
    <n v="14"/>
    <x v="4"/>
    <n v="40"/>
    <n v="40000"/>
    <x v="1"/>
    <n v="3.8"/>
    <x v="0"/>
    <n v="0.94"/>
    <s v="Average"/>
  </r>
  <r>
    <s v="FL250009"/>
    <s v="Sean Martin"/>
    <s v="Male"/>
    <n v="26"/>
    <s v="18-29"/>
    <x v="5"/>
    <s v="English"/>
    <s v="Blockchain Development"/>
    <n v="4"/>
    <x v="2"/>
    <n v="60"/>
    <n v="60000"/>
    <x v="1"/>
    <n v="2.5"/>
    <x v="1"/>
    <n v="0.76"/>
    <s v="Needs Imporovement"/>
  </r>
  <r>
    <s v="FL250010"/>
    <s v="Matthew Lloyd"/>
    <s v="Male"/>
    <n v="52"/>
    <s v="46-55"/>
    <x v="6"/>
    <s v="Turkish"/>
    <s v="AI"/>
    <n v="22"/>
    <x v="3"/>
    <n v="50"/>
    <n v="50000"/>
    <x v="1"/>
    <n v="4"/>
    <x v="1"/>
    <n v="0.85"/>
    <s v="Top Performer"/>
  </r>
  <r>
    <s v="FL250011"/>
    <s v="Gavin Randall"/>
    <s v="Male"/>
    <n v="40"/>
    <s v="30-45"/>
    <x v="7"/>
    <s v="English"/>
    <s v="Data Analysis"/>
    <m/>
    <x v="2"/>
    <n v="40"/>
    <n v="40000"/>
    <x v="1"/>
    <n v="1.8"/>
    <x v="1"/>
    <n v="0.77"/>
    <s v="Needs Imporovement"/>
  </r>
  <r>
    <s v="FL250012"/>
    <s v="Michelle Curtis"/>
    <s v="Female"/>
    <n v="55"/>
    <s v="46-55"/>
    <x v="8"/>
    <s v="Spanish"/>
    <s v="UI/UX Design"/>
    <n v="15"/>
    <x v="4"/>
    <n v="100"/>
    <n v="100000"/>
    <x v="0"/>
    <n v="4"/>
    <x v="1"/>
    <n v="0.86"/>
    <s v="Top Performer"/>
  </r>
  <r>
    <s v="FL250013"/>
    <s v="Alice Schneider"/>
    <s v="Female"/>
    <n v="57"/>
    <s v="55+"/>
    <x v="7"/>
    <s v="English"/>
    <s v="Cybersecurity"/>
    <n v="18"/>
    <x v="4"/>
    <n v="90"/>
    <n v="90000"/>
    <x v="0"/>
    <n v="4"/>
    <x v="0"/>
    <n v="0.86"/>
    <s v="Top Performer"/>
  </r>
  <r>
    <s v="FL250014"/>
    <s v="Phillip Shelton"/>
    <s v="Male"/>
    <n v="38"/>
    <s v="30-45"/>
    <x v="8"/>
    <s v="Spanish"/>
    <s v="Graphic Design"/>
    <n v="20"/>
    <x v="4"/>
    <n v="75"/>
    <n v="75000"/>
    <x v="1"/>
    <n v="4"/>
    <x v="1"/>
    <n v="0.93"/>
    <s v="Top Performer"/>
  </r>
  <r>
    <s v="FL250015"/>
    <s v="Edward Ferguson"/>
    <s v="Male"/>
    <n v="50"/>
    <s v="46-55"/>
    <x v="2"/>
    <s v="German"/>
    <s v="Data Analysis"/>
    <n v="22"/>
    <x v="3"/>
    <n v="75"/>
    <n v="75000"/>
    <x v="1"/>
    <n v="4"/>
    <x v="1"/>
    <n v="0.7"/>
    <s v="Top Performer"/>
  </r>
  <r>
    <s v="FL250016"/>
    <s v="Wyatt Stout"/>
    <s v="Male"/>
    <n v="42"/>
    <s v="30-45"/>
    <x v="9"/>
    <s v="Japanese"/>
    <s v="Data Analysis"/>
    <n v="0"/>
    <x v="2"/>
    <n v="30"/>
    <n v="30000"/>
    <x v="2"/>
    <n v="1.8"/>
    <x v="0"/>
    <n v="0.69"/>
    <s v="Needs Imporovement"/>
  </r>
  <r>
    <s v="FL250017"/>
    <s v="Laura Johnson"/>
    <s v="Female"/>
    <n v="39"/>
    <s v="30-45"/>
    <x v="1"/>
    <s v="English"/>
    <s v="DevOps"/>
    <n v="13"/>
    <x v="4"/>
    <n v="30"/>
    <n v="30000"/>
    <x v="2"/>
    <n v="3.8"/>
    <x v="0"/>
    <n v="0.6"/>
    <s v="Average"/>
  </r>
  <r>
    <s v="FL250018"/>
    <s v="Scott Burns"/>
    <s v="Male"/>
    <n v="56"/>
    <s v="55+"/>
    <x v="10"/>
    <s v="Hindi"/>
    <s v="Blockchain Development"/>
    <n v="10"/>
    <x v="0"/>
    <n v="50"/>
    <n v="50000"/>
    <x v="1"/>
    <n v="3.8"/>
    <x v="0"/>
    <n v="0.87"/>
    <s v="Average"/>
  </r>
  <r>
    <s v="FL250019"/>
    <s v="Tyler Aguirre"/>
    <s v="Male"/>
    <n v="56"/>
    <s v="55+"/>
    <x v="5"/>
    <s v="English"/>
    <s v="UI/UX Design"/>
    <n v="31"/>
    <x v="1"/>
    <n v="50"/>
    <n v="50000"/>
    <x v="1"/>
    <n v="5"/>
    <x v="1"/>
    <n v="0.75"/>
    <s v="Top Performer"/>
  </r>
  <r>
    <s v="FL250020"/>
    <s v="Matthew Lawson"/>
    <s v="Male"/>
    <n v="57"/>
    <s v="55+"/>
    <x v="0"/>
    <s v="Italian"/>
    <s v="Web Development"/>
    <n v="3"/>
    <x v="2"/>
    <n v="100"/>
    <n v="100000"/>
    <x v="0"/>
    <n v="2.5"/>
    <x v="1"/>
    <n v="0.68"/>
    <s v="Needs Imporovement"/>
  </r>
  <r>
    <s v="FL250021"/>
    <s v="James Cherry"/>
    <s v="Male"/>
    <n v="52"/>
    <s v="46-55"/>
    <x v="4"/>
    <s v="Indonesian"/>
    <s v="AI"/>
    <n v="9"/>
    <x v="0"/>
    <n v="50"/>
    <n v="50000"/>
    <x v="1"/>
    <n v="3"/>
    <x v="0"/>
    <n v="0.65"/>
    <s v="Average"/>
  </r>
  <r>
    <s v="FL250022"/>
    <s v="Samuel Sanford"/>
    <s v="Male"/>
    <n v="51"/>
    <s v="46-55"/>
    <x v="9"/>
    <s v="Japanese"/>
    <s v="DevOps"/>
    <n v="15"/>
    <x v="4"/>
    <n v="50"/>
    <n v="50000"/>
    <x v="1"/>
    <n v="4"/>
    <x v="0"/>
    <n v="0.69"/>
    <s v="Top Performer"/>
  </r>
  <r>
    <s v="FL250023"/>
    <s v="Cesar Greene"/>
    <s v="Male"/>
    <n v="51"/>
    <s v="46-55"/>
    <x v="11"/>
    <s v="Portuguese"/>
    <s v="Cybersecurity"/>
    <n v="21"/>
    <x v="3"/>
    <n v="30"/>
    <n v="30000"/>
    <x v="2"/>
    <n v="4"/>
    <x v="0"/>
    <n v="0.85"/>
    <s v="Top Performer"/>
  </r>
  <r>
    <s v="FL250024"/>
    <s v="Melanie Carter"/>
    <s v="Female"/>
    <n v="51"/>
    <s v="46-55"/>
    <x v="12"/>
    <s v="Korean"/>
    <s v="Machine Learning"/>
    <n v="15"/>
    <x v="4"/>
    <n v="50"/>
    <n v="50000"/>
    <x v="1"/>
    <n v="4"/>
    <x v="1"/>
    <n v="1"/>
    <s v="Top Performer"/>
  </r>
  <r>
    <s v="FL250025"/>
    <s v="Jennifer Martin"/>
    <s v="Female"/>
    <n v="54"/>
    <s v="46-55"/>
    <x v="4"/>
    <s v="Indonesian"/>
    <s v="Machine Learning"/>
    <n v="13"/>
    <x v="4"/>
    <n v="75"/>
    <n v="75000"/>
    <x v="1"/>
    <n v="3.8"/>
    <x v="0"/>
    <n v="0.92"/>
    <s v="Average"/>
  </r>
  <r>
    <s v="FL250026"/>
    <s v="Anna Mccann"/>
    <s v="Female"/>
    <n v="22"/>
    <s v="18-29"/>
    <x v="12"/>
    <s v="Korean"/>
    <s v="DevOps"/>
    <n v="0"/>
    <x v="2"/>
    <n v="30"/>
    <n v="30000"/>
    <x v="2"/>
    <n v="1.8"/>
    <x v="1"/>
    <n v="0.7"/>
    <s v="Needs Imporovement"/>
  </r>
  <r>
    <s v="FL250027"/>
    <s v="Marissa Bass"/>
    <s v="Female"/>
    <n v="34"/>
    <s v="30-45"/>
    <x v="9"/>
    <s v="Japanese"/>
    <s v="Blockchain Development"/>
    <n v="8"/>
    <x v="0"/>
    <n v="20"/>
    <n v="20000"/>
    <x v="2"/>
    <n v="3"/>
    <x v="1"/>
    <n v="0.89"/>
    <s v="Average"/>
  </r>
  <r>
    <s v="FL250028"/>
    <s v="Alexis Day"/>
    <s v="Female"/>
    <n v="36"/>
    <s v="30-45"/>
    <x v="13"/>
    <s v="Russian"/>
    <s v="Graphic Design"/>
    <n v="11"/>
    <x v="0"/>
    <n v="60"/>
    <n v="60000"/>
    <x v="1"/>
    <n v="3.8"/>
    <x v="1"/>
    <n v="0.86"/>
    <s v="Average"/>
  </r>
  <r>
    <s v="FL250029"/>
    <s v="Megan Jones"/>
    <s v="Female"/>
    <n v="47"/>
    <s v="46-55"/>
    <x v="14"/>
    <s v="English"/>
    <s v="AI"/>
    <n v="22"/>
    <x v="3"/>
    <n v="30"/>
    <n v="30000"/>
    <x v="2"/>
    <n v="4"/>
    <x v="0"/>
    <n v="0.62"/>
    <s v="Top Performer"/>
  </r>
  <r>
    <s v="FL250030"/>
    <s v="Lori Smith"/>
    <s v="Female"/>
    <n v="41"/>
    <s v="30-45"/>
    <x v="3"/>
    <s v="Dutch"/>
    <s v="Data Analysis"/>
    <n v="14"/>
    <x v="4"/>
    <n v="75"/>
    <n v="75000"/>
    <x v="1"/>
    <n v="3.8"/>
    <x v="0"/>
    <n v="0.75"/>
    <s v="Average"/>
  </r>
  <r>
    <s v="FL250031"/>
    <s v="Eric Carpenter"/>
    <s v="Male"/>
    <n v="22"/>
    <s v="18-29"/>
    <x v="3"/>
    <s v="Dutch"/>
    <s v="DevOps"/>
    <n v="4"/>
    <x v="2"/>
    <n v="40"/>
    <n v="40000"/>
    <x v="1"/>
    <n v="2.5"/>
    <x v="1"/>
    <n v="0.35"/>
    <s v="Needs Imporovement"/>
  </r>
  <r>
    <s v="FL250032"/>
    <s v="Timothy Daniels"/>
    <s v="Male"/>
    <n v="38"/>
    <s v="30-45"/>
    <x v="15"/>
    <s v="French"/>
    <s v="Machine Learning"/>
    <n v="19"/>
    <x v="4"/>
    <n v="100"/>
    <n v="100000"/>
    <x v="0"/>
    <n v="4"/>
    <x v="0"/>
    <n v="0.68"/>
    <s v="Top Performer"/>
  </r>
  <r>
    <s v="FL250033"/>
    <s v="Robert Nelson"/>
    <s v="Male"/>
    <n v="46"/>
    <s v="46-55"/>
    <x v="16"/>
    <s v="Arabic"/>
    <s v="AI"/>
    <n v="9"/>
    <x v="0"/>
    <n v="20"/>
    <n v="20000"/>
    <x v="2"/>
    <n v="3"/>
    <x v="1"/>
    <n v="0.76"/>
    <s v="Average"/>
  </r>
  <r>
    <s v="FL250034"/>
    <s v="Michael Anderson"/>
    <s v="Male"/>
    <n v="52"/>
    <s v="46-55"/>
    <x v="12"/>
    <s v="Korean"/>
    <s v="AI"/>
    <n v="9"/>
    <x v="0"/>
    <n v="40"/>
    <n v="40000"/>
    <x v="1"/>
    <n v="3"/>
    <x v="1"/>
    <n v="0.82"/>
    <s v="Average"/>
  </r>
  <r>
    <s v="FL250035"/>
    <s v="Jessica Snyder"/>
    <s v="Female"/>
    <n v="54"/>
    <s v="46-55"/>
    <x v="5"/>
    <s v="English"/>
    <s v="Web Development"/>
    <n v="32"/>
    <x v="1"/>
    <n v="75"/>
    <n v="75000"/>
    <x v="1"/>
    <n v="5"/>
    <x v="1"/>
    <n v="0.81"/>
    <s v="Top Performer"/>
  </r>
  <r>
    <s v="FL250036"/>
    <s v="Emily Daniels"/>
    <s v="Female"/>
    <n v="52"/>
    <s v="46-55"/>
    <x v="12"/>
    <s v="Korean"/>
    <s v="Web Development"/>
    <n v="28"/>
    <x v="3"/>
    <n v="20"/>
    <n v="20000"/>
    <x v="2"/>
    <n v="4.8"/>
    <x v="0"/>
    <n v="0.9"/>
    <s v="Top Performer"/>
  </r>
  <r>
    <s v="FL250037"/>
    <s v="Jamie Ramirez"/>
    <s v="Female"/>
    <n v="42"/>
    <s v="30-45"/>
    <x v="9"/>
    <s v="Japanese"/>
    <s v="Mobile Apps"/>
    <n v="6"/>
    <x v="0"/>
    <n v="40"/>
    <n v="40000"/>
    <x v="1"/>
    <n v="3"/>
    <x v="0"/>
    <n v="0.63"/>
    <s v="Average"/>
  </r>
  <r>
    <s v="FL250038"/>
    <s v="Amy Harrison"/>
    <s v="Female"/>
    <n v="29"/>
    <s v="18-29"/>
    <x v="3"/>
    <s v="Dutch"/>
    <s v="Graphic Design"/>
    <n v="10"/>
    <x v="0"/>
    <n v="40"/>
    <n v="40000"/>
    <x v="1"/>
    <n v="3.8"/>
    <x v="0"/>
    <n v="0.67"/>
    <s v="Average"/>
  </r>
  <r>
    <s v="FL250039"/>
    <s v="Melinda White"/>
    <s v="Female"/>
    <n v="42"/>
    <s v="30-45"/>
    <x v="17"/>
    <s v="Afrikaans"/>
    <s v="Mobile Apps"/>
    <n v="23"/>
    <x v="3"/>
    <n v="50"/>
    <n v="50000"/>
    <x v="1"/>
    <n v="4"/>
    <x v="1"/>
    <n v="0.85"/>
    <s v="Top Performer"/>
  </r>
  <r>
    <s v="FL250040"/>
    <s v="James Hernandez"/>
    <s v="Male"/>
    <n v="60"/>
    <s v="55+"/>
    <x v="9"/>
    <s v="Japanese"/>
    <s v="Web Development"/>
    <n v="13"/>
    <x v="4"/>
    <n v="20"/>
    <n v="20000"/>
    <x v="2"/>
    <n v="3.8"/>
    <x v="0"/>
    <n v="0.8"/>
    <s v="Average"/>
  </r>
  <r>
    <s v="FL250041"/>
    <s v="Angelica Rogers"/>
    <s v="Female"/>
    <n v="59"/>
    <s v="55+"/>
    <x v="7"/>
    <s v="English"/>
    <s v="AI"/>
    <n v="3"/>
    <x v="2"/>
    <n v="50"/>
    <n v="50000"/>
    <x v="1"/>
    <n v="2.5"/>
    <x v="0"/>
    <n v="0.35"/>
    <s v="Needs Imporovement"/>
  </r>
  <r>
    <s v="FL250042"/>
    <s v="Savannah Williams"/>
    <s v="Female"/>
    <n v="21"/>
    <s v="18-29"/>
    <x v="14"/>
    <s v="English"/>
    <s v="Web Development"/>
    <n v="0"/>
    <x v="2"/>
    <n v="30"/>
    <n v="30000"/>
    <x v="2"/>
    <n v="1.8"/>
    <x v="1"/>
    <n v="0.84"/>
    <s v="Needs Imporovement"/>
  </r>
  <r>
    <s v="FL250043"/>
    <s v="Kaitlyn Schmidt"/>
    <s v="Female"/>
    <n v="35"/>
    <s v="30-45"/>
    <x v="2"/>
    <s v="German"/>
    <s v="DevOps"/>
    <n v="10"/>
    <x v="0"/>
    <n v="50"/>
    <n v="50000"/>
    <x v="1"/>
    <n v="3.8"/>
    <x v="0"/>
    <n v="0.75"/>
    <s v="Average"/>
  </r>
  <r>
    <s v="FL250044"/>
    <s v="Jason Singh"/>
    <s v="Male"/>
    <n v="41"/>
    <s v="30-45"/>
    <x v="7"/>
    <s v="English"/>
    <s v="Data Analysis"/>
    <n v="20"/>
    <x v="4"/>
    <n v="20"/>
    <n v="20000"/>
    <x v="2"/>
    <n v="4"/>
    <x v="1"/>
    <n v="0.63"/>
    <s v="Top Performer"/>
  </r>
  <r>
    <s v="FL250045"/>
    <s v="Michelle Ramirez"/>
    <s v="Female"/>
    <n v="51"/>
    <s v="46-55"/>
    <x v="3"/>
    <s v="Dutch"/>
    <s v="Machine Learning"/>
    <n v="23"/>
    <x v="3"/>
    <n v="20"/>
    <n v="20000"/>
    <x v="2"/>
    <n v="4"/>
    <x v="0"/>
    <n v="0.8"/>
    <s v="Top Performer"/>
  </r>
  <r>
    <s v="FL250046"/>
    <s v="James Brown"/>
    <s v="Male"/>
    <n v="41"/>
    <s v="30-45"/>
    <x v="17"/>
    <s v="Afrikaans"/>
    <s v="Web Development"/>
    <n v="9"/>
    <x v="0"/>
    <n v="75"/>
    <n v="75000"/>
    <x v="1"/>
    <n v="3"/>
    <x v="1"/>
    <n v="0.74"/>
    <s v="Average"/>
  </r>
  <r>
    <s v="FL250047"/>
    <s v="Mrs. Samantha Simmons"/>
    <s v="Female"/>
    <n v="47"/>
    <s v="46-55"/>
    <x v="16"/>
    <s v="Arabic"/>
    <s v="DevOps"/>
    <n v="15"/>
    <x v="4"/>
    <n v="30"/>
    <n v="30000"/>
    <x v="2"/>
    <n v="4"/>
    <x v="1"/>
    <n v="0.85"/>
    <s v="Top Performer"/>
  </r>
  <r>
    <s v="FL250048"/>
    <s v="Chase Mason"/>
    <s v="Male"/>
    <n v="25"/>
    <s v="18-29"/>
    <x v="18"/>
    <s v="Mandarin"/>
    <s v="Graphic Design"/>
    <n v="4"/>
    <x v="2"/>
    <n v="50"/>
    <n v="50000"/>
    <x v="1"/>
    <n v="2.5"/>
    <x v="0"/>
    <n v="0.77"/>
    <s v="Needs Imporovement"/>
  </r>
  <r>
    <s v="FL250049"/>
    <s v="Dominique Ward"/>
    <s v="Female"/>
    <n v="25"/>
    <s v="18-29"/>
    <x v="19"/>
    <s v="Spanish"/>
    <s v="Mobile Apps"/>
    <n v="7"/>
    <x v="0"/>
    <n v="20"/>
    <n v="20000"/>
    <x v="2"/>
    <n v="3"/>
    <x v="0"/>
    <n v="0.6"/>
    <s v="Average"/>
  </r>
  <r>
    <s v="FL250050"/>
    <s v="Lance Griffin"/>
    <s v="Male"/>
    <n v="29"/>
    <s v="18-29"/>
    <x v="3"/>
    <s v="Dutch"/>
    <s v="UI/UX Design"/>
    <n v="1"/>
    <x v="2"/>
    <n v="20"/>
    <n v="20000"/>
    <x v="2"/>
    <n v="1.8"/>
    <x v="1"/>
    <n v="0.63"/>
    <s v="Needs Imporovement"/>
  </r>
  <r>
    <s v="FL250051"/>
    <s v="Julie Burgess"/>
    <s v="Female"/>
    <n v="23"/>
    <s v="18-29"/>
    <x v="8"/>
    <s v="Spanish"/>
    <s v="Cybersecurity"/>
    <n v="0"/>
    <x v="2"/>
    <n v="75"/>
    <n v="75000"/>
    <x v="1"/>
    <n v="1.8"/>
    <x v="1"/>
    <n v="0.79"/>
    <s v="Needs Imporovement"/>
  </r>
  <r>
    <s v="FL250052"/>
    <s v="Don Scott"/>
    <s v="Male"/>
    <n v="31"/>
    <s v="30-45"/>
    <x v="15"/>
    <s v="French"/>
    <s v="Data Analysis"/>
    <n v="8"/>
    <x v="0"/>
    <n v="50"/>
    <n v="50000"/>
    <x v="1"/>
    <n v="3"/>
    <x v="0"/>
    <n v="0.6"/>
    <s v="Average"/>
  </r>
  <r>
    <s v="FL250053"/>
    <s v="Kyle Atkinson"/>
    <s v="Male"/>
    <n v="51"/>
    <s v="46-55"/>
    <x v="2"/>
    <s v="German"/>
    <s v="Machine Learning"/>
    <n v="33"/>
    <x v="1"/>
    <n v="75"/>
    <n v="75000"/>
    <x v="1"/>
    <n v="5"/>
    <x v="1"/>
    <n v="0.68"/>
    <s v="Top Performer"/>
  </r>
  <r>
    <s v="FL250054"/>
    <s v="Jimmy Hogan"/>
    <s v="Male"/>
    <n v="54"/>
    <s v="46-55"/>
    <x v="20"/>
    <s v="Spanish"/>
    <s v="UI/UX Design"/>
    <n v="1"/>
    <x v="2"/>
    <n v="30"/>
    <n v="30000"/>
    <x v="2"/>
    <n v="1.8"/>
    <x v="0"/>
    <n v="0.68"/>
    <s v="Needs Imporovement"/>
  </r>
  <r>
    <s v="FL250055"/>
    <s v="Jennifer Mcintyre"/>
    <s v="Female"/>
    <n v="29"/>
    <s v="18-29"/>
    <x v="6"/>
    <s v="Turkish"/>
    <s v="Cybersecurity"/>
    <n v="11"/>
    <x v="0"/>
    <n v="100"/>
    <n v="100000"/>
    <x v="0"/>
    <n v="3.8"/>
    <x v="1"/>
    <n v="0.72"/>
    <s v="Average"/>
  </r>
  <r>
    <s v="FL250056"/>
    <s v="Larry Simpson"/>
    <s v="Male"/>
    <n v="50"/>
    <s v="46-55"/>
    <x v="7"/>
    <s v="English"/>
    <s v="AI"/>
    <n v="15"/>
    <x v="4"/>
    <n v="60"/>
    <n v="60000"/>
    <x v="1"/>
    <n v="4"/>
    <x v="1"/>
    <n v="0.65"/>
    <s v="Top Performer"/>
  </r>
  <r>
    <s v="FL250057"/>
    <s v="Laura Price"/>
    <s v="Female"/>
    <n v="26"/>
    <s v="18-29"/>
    <x v="7"/>
    <s v="English"/>
    <s v="DevOps"/>
    <n v="8"/>
    <x v="0"/>
    <n v="50"/>
    <n v="50000"/>
    <x v="1"/>
    <n v="3"/>
    <x v="0"/>
    <n v="0.76"/>
    <s v="Average"/>
  </r>
  <r>
    <s v="FL250058"/>
    <s v="Mark Wright"/>
    <s v="Male"/>
    <n v="38"/>
    <s v="30-45"/>
    <x v="14"/>
    <s v="English"/>
    <s v="AI"/>
    <n v="17"/>
    <x v="4"/>
    <n v="40"/>
    <n v="40000"/>
    <x v="1"/>
    <n v="4"/>
    <x v="1"/>
    <n v="0.9"/>
    <s v="Top Performer"/>
  </r>
  <r>
    <s v="FL250059"/>
    <s v="Samantha Mcdaniel"/>
    <s v="Female"/>
    <n v="23"/>
    <s v="18-29"/>
    <x v="10"/>
    <s v="Hindi"/>
    <s v="Mobile Apps"/>
    <n v="2"/>
    <x v="2"/>
    <n v="75"/>
    <n v="75000"/>
    <x v="1"/>
    <n v="2.5"/>
    <x v="1"/>
    <n v="0.65"/>
    <s v="Needs Imporovement"/>
  </r>
  <r>
    <s v="FL250060"/>
    <s v="Barbara Foster"/>
    <s v="Female"/>
    <n v="51"/>
    <s v="46-55"/>
    <x v="17"/>
    <s v="Afrikaans"/>
    <s v="DevOps"/>
    <n v="28"/>
    <x v="3"/>
    <n v="40"/>
    <n v="40000"/>
    <x v="1"/>
    <n v="4.8"/>
    <x v="0"/>
    <n v="0.63"/>
    <s v="Top Performer"/>
  </r>
  <r>
    <s v="FL250061"/>
    <s v="Courtney Tran"/>
    <s v="Female"/>
    <n v="51"/>
    <s v="46-55"/>
    <x v="4"/>
    <s v="Indonesian"/>
    <s v="AI"/>
    <n v="33"/>
    <x v="1"/>
    <n v="75"/>
    <n v="75000"/>
    <x v="1"/>
    <n v="5"/>
    <x v="1"/>
    <n v="1"/>
    <s v="Top Performer"/>
  </r>
  <r>
    <s v="FL250062"/>
    <s v="Eddie Todd"/>
    <s v="Male"/>
    <n v="47"/>
    <s v="46-55"/>
    <x v="2"/>
    <s v="German"/>
    <s v="AI"/>
    <n v="18"/>
    <x v="4"/>
    <n v="75"/>
    <n v="75000"/>
    <x v="1"/>
    <n v="4"/>
    <x v="0"/>
    <n v="0.85"/>
    <s v="Top Performer"/>
  </r>
  <r>
    <s v="FL250063"/>
    <s v="Christine Johnson"/>
    <s v="Female"/>
    <n v="34"/>
    <s v="30-45"/>
    <x v="13"/>
    <s v="Russian"/>
    <s v="UI/UX Design"/>
    <n v="16"/>
    <x v="4"/>
    <n v="20"/>
    <n v="20000"/>
    <x v="2"/>
    <n v="4"/>
    <x v="1"/>
    <n v="0.93"/>
    <s v="Top Performer"/>
  </r>
  <r>
    <s v="FL250064"/>
    <s v="Leah Phelps"/>
    <s v="Female"/>
    <n v="58"/>
    <s v="55+"/>
    <x v="4"/>
    <s v="Indonesian"/>
    <s v="Data Analysis"/>
    <n v="35"/>
    <x v="1"/>
    <n v="50"/>
    <n v="50000"/>
    <x v="1"/>
    <n v="5"/>
    <x v="0"/>
    <n v="0.7"/>
    <s v="Top Performer"/>
  </r>
  <r>
    <s v="FL250065"/>
    <s v="Rebekah Williams"/>
    <s v="Female"/>
    <n v="50"/>
    <s v="46-55"/>
    <x v="13"/>
    <s v="Russian"/>
    <s v="AI"/>
    <n v="14"/>
    <x v="4"/>
    <n v="60"/>
    <n v="60000"/>
    <x v="1"/>
    <n v="3.8"/>
    <x v="1"/>
    <n v="0.83"/>
    <s v="Average"/>
  </r>
  <r>
    <s v="FL250066"/>
    <s v="Crystal Wilson"/>
    <s v="Female"/>
    <n v="34"/>
    <s v="30-45"/>
    <x v="20"/>
    <s v="Spanish"/>
    <s v="Web Development"/>
    <n v="12"/>
    <x v="0"/>
    <n v="40"/>
    <n v="40000"/>
    <x v="1"/>
    <n v="3.8"/>
    <x v="1"/>
    <n v="0.64"/>
    <s v="Average"/>
  </r>
  <r>
    <s v="FL250067"/>
    <s v="Ashley Cordova"/>
    <s v="Female"/>
    <n v="45"/>
    <s v="30-45"/>
    <x v="11"/>
    <s v="Portuguese"/>
    <s v="AI"/>
    <n v="11"/>
    <x v="0"/>
    <n v="75"/>
    <n v="75000"/>
    <x v="1"/>
    <n v="3.8"/>
    <x v="0"/>
    <n v="1"/>
    <s v="Average"/>
  </r>
  <r>
    <s v="FL250068"/>
    <s v="Vicki Kelly"/>
    <s v="Female"/>
    <n v="55"/>
    <s v="46-55"/>
    <x v="11"/>
    <s v="Portuguese"/>
    <s v="Web Development"/>
    <n v="0"/>
    <x v="2"/>
    <n v="40"/>
    <n v="40000"/>
    <x v="1"/>
    <n v="1.8"/>
    <x v="1"/>
    <n v="0.3"/>
    <s v="Needs Imporovement"/>
  </r>
  <r>
    <s v="FL250069"/>
    <s v="Corey Warren"/>
    <s v="Male"/>
    <n v="43"/>
    <s v="30-45"/>
    <x v="8"/>
    <s v="Spanish"/>
    <s v="UI/UX Design"/>
    <n v="6"/>
    <x v="0"/>
    <n v="100"/>
    <n v="100000"/>
    <x v="0"/>
    <n v="3"/>
    <x v="0"/>
    <n v="0.6"/>
    <s v="Average"/>
  </r>
  <r>
    <s v="FL250070"/>
    <s v="Gina Thompson"/>
    <s v="Female"/>
    <n v="60"/>
    <s v="55+"/>
    <x v="18"/>
    <s v="Mandarin"/>
    <s v="UI/UX Design"/>
    <n v="38"/>
    <x v="1"/>
    <n v="20"/>
    <n v="20000"/>
    <x v="2"/>
    <n v="5"/>
    <x v="0"/>
    <n v="0.71"/>
    <s v="Top Performer"/>
  </r>
  <r>
    <s v="FL250071"/>
    <s v="Yvonne Berg"/>
    <s v="Female"/>
    <n v="33"/>
    <s v="30-45"/>
    <x v="17"/>
    <s v="Afrikaans"/>
    <s v="Mobile Apps"/>
    <n v="11"/>
    <x v="0"/>
    <n v="60"/>
    <n v="60000"/>
    <x v="1"/>
    <n v="3.8"/>
    <x v="1"/>
    <n v="0.84"/>
    <s v="Average"/>
  </r>
  <r>
    <s v="FL250072"/>
    <s v="Thomas Miller"/>
    <s v="Male"/>
    <n v="60"/>
    <s v="55+"/>
    <x v="0"/>
    <s v="Italian"/>
    <s v="DevOps"/>
    <n v="13"/>
    <x v="4"/>
    <n v="50"/>
    <n v="50000"/>
    <x v="1"/>
    <n v="3.8"/>
    <x v="0"/>
    <n v="0.75"/>
    <s v="Average"/>
  </r>
  <r>
    <s v="FL250073"/>
    <s v="Nicholas Burton"/>
    <s v="Male"/>
    <n v="40"/>
    <s v="30-45"/>
    <x v="5"/>
    <s v="English"/>
    <s v="Web Development"/>
    <n v="9"/>
    <x v="0"/>
    <n v="100"/>
    <n v="100000"/>
    <x v="0"/>
    <n v="3"/>
    <x v="1"/>
    <n v="0.69"/>
    <s v="Average"/>
  </r>
  <r>
    <s v="FL250074"/>
    <s v="Jorge Riley"/>
    <s v="Male"/>
    <n v="59"/>
    <s v="55+"/>
    <x v="1"/>
    <s v="English"/>
    <s v="Blockchain Development"/>
    <n v="4"/>
    <x v="2"/>
    <n v="40"/>
    <n v="40000"/>
    <x v="1"/>
    <n v="2.5"/>
    <x v="0"/>
    <n v="0.88"/>
    <s v="Needs Imporovement"/>
  </r>
  <r>
    <s v="FL250075"/>
    <s v="Melvin Harris"/>
    <s v="Male"/>
    <n v="36"/>
    <s v="30-45"/>
    <x v="0"/>
    <s v="Italian"/>
    <s v="Machine Learning"/>
    <n v="14"/>
    <x v="4"/>
    <n v="100"/>
    <n v="100000"/>
    <x v="0"/>
    <n v="3.8"/>
    <x v="0"/>
    <n v="0.75"/>
    <s v="Average"/>
  </r>
  <r>
    <s v="FL250076"/>
    <s v="Jeremy Meyer"/>
    <s v="Male"/>
    <n v="32"/>
    <s v="30-45"/>
    <x v="10"/>
    <s v="Hindi"/>
    <s v="Data Analysis"/>
    <n v="5"/>
    <x v="0"/>
    <n v="30"/>
    <n v="30000"/>
    <x v="2"/>
    <n v="3"/>
    <x v="1"/>
    <n v="0.96"/>
    <s v="Average"/>
  </r>
  <r>
    <s v="FL250077"/>
    <s v="Timothy Lee"/>
    <s v="Male"/>
    <n v="59"/>
    <s v="55+"/>
    <x v="1"/>
    <s v="English"/>
    <s v="AI"/>
    <n v="9"/>
    <x v="0"/>
    <n v="75"/>
    <n v="75000"/>
    <x v="1"/>
    <n v="3"/>
    <x v="1"/>
    <n v="0.96"/>
    <s v="Average"/>
  </r>
  <r>
    <s v="FL250078"/>
    <s v="Diana Bautista"/>
    <s v="Female"/>
    <n v="54"/>
    <s v="46-55"/>
    <x v="20"/>
    <s v="Spanish"/>
    <s v="DevOps"/>
    <n v="32"/>
    <x v="1"/>
    <n v="40"/>
    <n v="40000"/>
    <x v="1"/>
    <n v="5"/>
    <x v="0"/>
    <n v="1"/>
    <s v="Top Performer"/>
  </r>
  <r>
    <s v="FL250079"/>
    <s v="Leslie Rodriguez"/>
    <s v="Female"/>
    <n v="37"/>
    <s v="30-45"/>
    <x v="14"/>
    <s v="English"/>
    <s v="Graphic Design"/>
    <n v="9"/>
    <x v="0"/>
    <n v="50"/>
    <n v="50000"/>
    <x v="1"/>
    <n v="3"/>
    <x v="1"/>
    <n v="0.89"/>
    <s v="Average"/>
  </r>
  <r>
    <s v="FL250080"/>
    <s v="Noah Wiggins"/>
    <s v="Male"/>
    <n v="54"/>
    <s v="46-55"/>
    <x v="10"/>
    <s v="Hindi"/>
    <s v="Machine Learning"/>
    <n v="21"/>
    <x v="3"/>
    <n v="100"/>
    <n v="100000"/>
    <x v="0"/>
    <n v="4"/>
    <x v="0"/>
    <n v="0.85"/>
    <s v="Top Performer"/>
  </r>
  <r>
    <s v="FL250081"/>
    <s v="Bridget Williams"/>
    <s v="Female"/>
    <n v="33"/>
    <s v="30-45"/>
    <x v="8"/>
    <s v="Spanish"/>
    <s v="UI/UX Design"/>
    <n v="12"/>
    <x v="0"/>
    <n v="100"/>
    <n v="100000"/>
    <x v="0"/>
    <n v="3.8"/>
    <x v="0"/>
    <n v="0.63"/>
    <s v="Average"/>
  </r>
  <r>
    <s v="FL250082"/>
    <s v="Veronica Baker"/>
    <s v="Female"/>
    <n v="25"/>
    <s v="18-29"/>
    <x v="16"/>
    <s v="Arabic"/>
    <s v="Web Development"/>
    <n v="7"/>
    <x v="0"/>
    <n v="40"/>
    <n v="40000"/>
    <x v="1"/>
    <n v="3"/>
    <x v="0"/>
    <n v="0.81"/>
    <s v="Average"/>
  </r>
  <r>
    <s v="FL250083"/>
    <s v="Andrew Avila"/>
    <s v="Male"/>
    <n v="30"/>
    <s v="30-45"/>
    <x v="18"/>
    <s v="Mandarin"/>
    <s v="DevOps"/>
    <n v="3"/>
    <x v="2"/>
    <n v="40"/>
    <n v="40000"/>
    <x v="1"/>
    <n v="2.5"/>
    <x v="0"/>
    <n v="0.74"/>
    <s v="Needs Imporovement"/>
  </r>
  <r>
    <s v="FL250084"/>
    <s v="Michael Roberson"/>
    <s v="Male"/>
    <n v="35"/>
    <s v="30-45"/>
    <x v="12"/>
    <s v="Korean"/>
    <s v="Web Development"/>
    <n v="5"/>
    <x v="0"/>
    <n v="75"/>
    <n v="75000"/>
    <x v="1"/>
    <n v="3"/>
    <x v="0"/>
    <n v="0.72"/>
    <s v="Average"/>
  </r>
  <r>
    <s v="FL250085"/>
    <s v="Austin Jenkins"/>
    <s v="Male"/>
    <n v="59"/>
    <s v="55+"/>
    <x v="12"/>
    <s v="Korean"/>
    <s v="AI"/>
    <n v="30"/>
    <x v="3"/>
    <n v="40"/>
    <n v="40000"/>
    <x v="1"/>
    <n v="5"/>
    <x v="1"/>
    <n v="1"/>
    <s v="Top Performer"/>
  </r>
  <r>
    <s v="FL250086"/>
    <s v="Brenda Green"/>
    <s v="Female"/>
    <n v="21"/>
    <s v="18-29"/>
    <x v="18"/>
    <s v="Mandarin"/>
    <s v="DevOps"/>
    <n v="2"/>
    <x v="2"/>
    <n v="100"/>
    <n v="100000"/>
    <x v="0"/>
    <n v="2.5"/>
    <x v="1"/>
    <n v="0.85"/>
    <s v="Needs Imporovement"/>
  </r>
  <r>
    <s v="FL250087"/>
    <s v="Samuel Pierce"/>
    <s v="Male"/>
    <n v="25"/>
    <s v="18-29"/>
    <x v="5"/>
    <s v="English"/>
    <s v="Mobile Apps"/>
    <n v="2"/>
    <x v="2"/>
    <n v="75"/>
    <n v="75000"/>
    <x v="1"/>
    <n v="2.5"/>
    <x v="0"/>
    <n v="0.35"/>
    <s v="Needs Imporovement"/>
  </r>
  <r>
    <s v="FL250088"/>
    <s v="Briana Smith"/>
    <s v="Female"/>
    <n v="38"/>
    <s v="30-45"/>
    <x v="19"/>
    <s v="Spanish"/>
    <s v="Web Development"/>
    <n v="19"/>
    <x v="4"/>
    <n v="75"/>
    <n v="75000"/>
    <x v="1"/>
    <n v="4"/>
    <x v="0"/>
    <n v="0.61"/>
    <s v="Top Performer"/>
  </r>
  <r>
    <s v="FL250089"/>
    <s v="Ronald Barrett"/>
    <s v="Male"/>
    <n v="57"/>
    <s v="55+"/>
    <x v="13"/>
    <s v="Russian"/>
    <s v="AI"/>
    <n v="16"/>
    <x v="4"/>
    <n v="100"/>
    <n v="100000"/>
    <x v="0"/>
    <n v="4"/>
    <x v="0"/>
    <n v="0.85"/>
    <s v="Top Performer"/>
  </r>
  <r>
    <s v="FL250090"/>
    <s v="Matthew Smith"/>
    <s v="Male"/>
    <n v="32"/>
    <s v="30-45"/>
    <x v="10"/>
    <s v="Hindi"/>
    <s v="Mobile Apps"/>
    <n v="10"/>
    <x v="0"/>
    <n v="20"/>
    <n v="20000"/>
    <x v="2"/>
    <n v="3.8"/>
    <x v="0"/>
    <n v="0.86"/>
    <s v="Average"/>
  </r>
  <r>
    <s v="FL250091"/>
    <s v="Logan Huang"/>
    <s v="Male"/>
    <n v="21"/>
    <s v="18-29"/>
    <x v="0"/>
    <s v="Italian"/>
    <s v="DevOps"/>
    <n v="2"/>
    <x v="2"/>
    <n v="100"/>
    <n v="100000"/>
    <x v="0"/>
    <n v="2.5"/>
    <x v="1"/>
    <n v="0.97"/>
    <s v="Needs Imporovement"/>
  </r>
  <r>
    <s v="FL250092"/>
    <s v="Miranda Hutchinson"/>
    <s v="Female"/>
    <n v="57"/>
    <s v="55+"/>
    <x v="14"/>
    <s v="English"/>
    <s v="Cybersecurity"/>
    <n v="18"/>
    <x v="4"/>
    <n v="50"/>
    <n v="50000"/>
    <x v="1"/>
    <n v="4"/>
    <x v="1"/>
    <n v="0.63"/>
    <s v="Top Performer"/>
  </r>
  <r>
    <s v="FL250093"/>
    <s v="Paul Richardson"/>
    <s v="Male"/>
    <n v="53"/>
    <s v="46-55"/>
    <x v="18"/>
    <s v="Mandarin"/>
    <s v="UI/UX Design"/>
    <n v="21"/>
    <x v="3"/>
    <n v="100"/>
    <n v="100000"/>
    <x v="0"/>
    <n v="4"/>
    <x v="1"/>
    <n v="0.97"/>
    <s v="Top Performer"/>
  </r>
  <r>
    <s v="FL250094"/>
    <s v="Jose Jones"/>
    <s v="Male"/>
    <n v="35"/>
    <s v="30-45"/>
    <x v="13"/>
    <s v="Russian"/>
    <s v="Blockchain Development"/>
    <n v="3"/>
    <x v="2"/>
    <n v="30"/>
    <n v="30000"/>
    <x v="2"/>
    <n v="2.5"/>
    <x v="1"/>
    <n v="0.81"/>
    <s v="Needs Imporovement"/>
  </r>
  <r>
    <s v="FL250095"/>
    <s v="Denise Smith"/>
    <s v="Female"/>
    <n v="54"/>
    <s v="46-55"/>
    <x v="18"/>
    <s v="Mandarin"/>
    <s v="Machine Learning"/>
    <n v="17"/>
    <x v="4"/>
    <n v="20"/>
    <n v="20000"/>
    <x v="2"/>
    <n v="4"/>
    <x v="0"/>
    <n v="0.69"/>
    <s v="Top Performer"/>
  </r>
  <r>
    <s v="FL250096"/>
    <s v="Shelby Mcmahon"/>
    <s v="Female"/>
    <n v="36"/>
    <s v="30-45"/>
    <x v="0"/>
    <s v="Italian"/>
    <s v="UI/UX Design"/>
    <n v="0"/>
    <x v="2"/>
    <n v="20"/>
    <n v="20000"/>
    <x v="2"/>
    <n v="1.8"/>
    <x v="1"/>
    <n v="0.64"/>
    <s v="Needs Imporovement"/>
  </r>
  <r>
    <s v="FL250097"/>
    <s v="Bethany Wright"/>
    <s v="Female"/>
    <n v="49"/>
    <s v="46-55"/>
    <x v="20"/>
    <s v="Spanish"/>
    <s v="Cybersecurity"/>
    <n v="25"/>
    <x v="3"/>
    <n v="50"/>
    <n v="50000"/>
    <x v="1"/>
    <n v="4.8"/>
    <x v="0"/>
    <n v="0.77"/>
    <s v="Top Performer"/>
  </r>
  <r>
    <s v="FL250098"/>
    <s v="David Ortiz"/>
    <s v="Male"/>
    <n v="37"/>
    <s v="30-45"/>
    <x v="5"/>
    <s v="English"/>
    <s v="Blockchain Development"/>
    <n v="17"/>
    <x v="4"/>
    <n v="20"/>
    <n v="20000"/>
    <x v="2"/>
    <n v="4"/>
    <x v="0"/>
    <n v="0.96"/>
    <s v="Top Performer"/>
  </r>
  <r>
    <s v="FL250099"/>
    <s v="Andrew Lynch"/>
    <s v="Male"/>
    <n v="29"/>
    <s v="18-29"/>
    <x v="5"/>
    <s v="English"/>
    <s v="UI/UX Design"/>
    <n v="5"/>
    <x v="0"/>
    <n v="20"/>
    <n v="20000"/>
    <x v="2"/>
    <n v="3"/>
    <x v="0"/>
    <n v="0.74"/>
    <s v="Average"/>
  </r>
  <r>
    <s v="FL250100"/>
    <s v="Kristopher Meyers"/>
    <s v="Male"/>
    <n v="32"/>
    <s v="30-45"/>
    <x v="16"/>
    <s v="Arabic"/>
    <s v="UI/UX Design"/>
    <n v="10"/>
    <x v="0"/>
    <n v="50"/>
    <n v="50000"/>
    <x v="1"/>
    <n v="3.8"/>
    <x v="0"/>
    <n v="0.89"/>
    <s v="Average"/>
  </r>
  <r>
    <s v="FL250101"/>
    <s v="Thomas Roth"/>
    <s v="Male"/>
    <n v="35"/>
    <s v="30-45"/>
    <x v="10"/>
    <s v="Hindi"/>
    <s v="Mobile Apps"/>
    <n v="0"/>
    <x v="2"/>
    <n v="20"/>
    <n v="20000"/>
    <x v="2"/>
    <n v="1.8"/>
    <x v="1"/>
    <n v="0.64"/>
    <s v="Needs Imporovement"/>
  </r>
  <r>
    <s v="FL250102"/>
    <s v="Vicki Brown"/>
    <s v="Female"/>
    <n v="51"/>
    <s v="46-55"/>
    <x v="13"/>
    <s v="Russian"/>
    <s v="Graphic Design"/>
    <n v="2"/>
    <x v="2"/>
    <n v="30"/>
    <n v="30000"/>
    <x v="2"/>
    <n v="2.5"/>
    <x v="0"/>
    <n v="0.64"/>
    <s v="Needs Imporovement"/>
  </r>
  <r>
    <s v="FL250103"/>
    <s v="Stacy Sutton"/>
    <s v="Female"/>
    <n v="50"/>
    <s v="46-55"/>
    <x v="13"/>
    <s v="Russian"/>
    <s v="DevOps"/>
    <n v="30"/>
    <x v="3"/>
    <n v="100"/>
    <n v="100000"/>
    <x v="0"/>
    <n v="5"/>
    <x v="1"/>
    <n v="0.73"/>
    <s v="Top Performer"/>
  </r>
  <r>
    <s v="FL250104"/>
    <s v="Kimberly Holland"/>
    <s v="Female"/>
    <n v="21"/>
    <s v="18-29"/>
    <x v="6"/>
    <s v="Turkish"/>
    <s v="Blockchain Development"/>
    <n v="2"/>
    <x v="2"/>
    <n v="50"/>
    <n v="50000"/>
    <x v="1"/>
    <n v="2.5"/>
    <x v="1"/>
    <n v="0.68"/>
    <s v="Needs Imporovement"/>
  </r>
  <r>
    <s v="FL250105"/>
    <s v="Travis Richardson"/>
    <s v="Male"/>
    <n v="25"/>
    <s v="18-29"/>
    <x v="5"/>
    <s v="English"/>
    <s v="Graphic Design"/>
    <n v="3"/>
    <x v="2"/>
    <n v="30"/>
    <n v="30000"/>
    <x v="2"/>
    <n v="2.5"/>
    <x v="0"/>
    <n v="0.88"/>
    <s v="Needs Imporovement"/>
  </r>
  <r>
    <s v="FL250106"/>
    <s v="Jasmin Ho"/>
    <s v="Female"/>
    <n v="57"/>
    <s v="55+"/>
    <x v="15"/>
    <s v="French"/>
    <s v="DevOps"/>
    <n v="21"/>
    <x v="3"/>
    <n v="40"/>
    <n v="40000"/>
    <x v="1"/>
    <n v="4"/>
    <x v="0"/>
    <n v="0.77"/>
    <s v="Top Performer"/>
  </r>
  <r>
    <s v="FL250107"/>
    <s v="Mark Paul"/>
    <s v="Male"/>
    <n v="58"/>
    <s v="55+"/>
    <x v="13"/>
    <s v="Russian"/>
    <s v="Blockchain Development"/>
    <n v="3"/>
    <x v="2"/>
    <n v="30"/>
    <n v="30000"/>
    <x v="2"/>
    <n v="2.5"/>
    <x v="1"/>
    <n v="0.35"/>
    <s v="Needs Imporovement"/>
  </r>
  <r>
    <s v="FL250108"/>
    <s v="Jennifer Lewis"/>
    <s v="Female"/>
    <n v="45"/>
    <s v="30-45"/>
    <x v="4"/>
    <s v="Indonesian"/>
    <s v="Mobile Apps"/>
    <n v="19"/>
    <x v="4"/>
    <n v="40"/>
    <n v="40000"/>
    <x v="1"/>
    <n v="4"/>
    <x v="1"/>
    <n v="0.72"/>
    <s v="Top Performer"/>
  </r>
  <r>
    <s v="FL250109"/>
    <s v="Elizabeth Lester"/>
    <s v="Female"/>
    <n v="23"/>
    <s v="18-29"/>
    <x v="5"/>
    <s v="English"/>
    <s v="Web Development"/>
    <n v="0"/>
    <x v="2"/>
    <n v="20"/>
    <n v="20000"/>
    <x v="2"/>
    <n v="1.8"/>
    <x v="1"/>
    <n v="0.6"/>
    <s v="Needs Imporovement"/>
  </r>
  <r>
    <s v="FL250110"/>
    <s v="Kimberly Griffin"/>
    <s v="Female"/>
    <n v="46"/>
    <s v="46-55"/>
    <x v="5"/>
    <s v="English"/>
    <s v="AI"/>
    <n v="9"/>
    <x v="0"/>
    <n v="30"/>
    <n v="30000"/>
    <x v="2"/>
    <n v="3"/>
    <x v="0"/>
    <n v="0.72"/>
    <s v="Average"/>
  </r>
  <r>
    <s v="FL250111"/>
    <s v="Tyler Warner"/>
    <s v="Male"/>
    <n v="27"/>
    <s v="18-29"/>
    <x v="8"/>
    <s v="Spanish"/>
    <s v="UI/UX Design"/>
    <n v="5"/>
    <x v="0"/>
    <n v="30"/>
    <n v="30000"/>
    <x v="2"/>
    <n v="3"/>
    <x v="0"/>
    <n v="0.92"/>
    <s v="Average"/>
  </r>
  <r>
    <s v="FL250112"/>
    <s v="Jane Cox"/>
    <s v="Female"/>
    <n v="32"/>
    <s v="30-45"/>
    <x v="5"/>
    <s v="English"/>
    <s v="Machine Learning"/>
    <n v="6"/>
    <x v="0"/>
    <n v="50"/>
    <n v="50000"/>
    <x v="1"/>
    <n v="3"/>
    <x v="1"/>
    <n v="0.6"/>
    <s v="Average"/>
  </r>
  <r>
    <s v="FL250113"/>
    <s v="Leah Williams"/>
    <s v="Female"/>
    <n v="48"/>
    <s v="46-55"/>
    <x v="8"/>
    <s v="Spanish"/>
    <s v="Machine Learning"/>
    <n v="6"/>
    <x v="0"/>
    <n v="75"/>
    <n v="75000"/>
    <x v="1"/>
    <n v="3"/>
    <x v="0"/>
    <n v="0.92"/>
    <s v="Average"/>
  </r>
  <r>
    <s v="FL250114"/>
    <s v="Kevin Wong"/>
    <s v="Male"/>
    <n v="30"/>
    <s v="30-45"/>
    <x v="6"/>
    <s v="Turkish"/>
    <s v="Mobile Apps"/>
    <n v="3"/>
    <x v="2"/>
    <n v="30"/>
    <n v="30000"/>
    <x v="2"/>
    <n v="2.5"/>
    <x v="1"/>
    <n v="0.35"/>
    <s v="Needs Imporovement"/>
  </r>
  <r>
    <s v="FL250115"/>
    <s v="Robert Andrews"/>
    <s v="Male"/>
    <n v="59"/>
    <s v="55+"/>
    <x v="6"/>
    <s v="Turkish"/>
    <s v="AI"/>
    <n v="13"/>
    <x v="4"/>
    <n v="20"/>
    <n v="20000"/>
    <x v="2"/>
    <n v="3.8"/>
    <x v="0"/>
    <n v="0.75"/>
    <s v="Average"/>
  </r>
  <r>
    <s v="FL250116"/>
    <s v="Jessica Torres"/>
    <s v="Female"/>
    <n v="32"/>
    <s v="30-45"/>
    <x v="19"/>
    <s v="Spanish"/>
    <s v="AI"/>
    <n v="5"/>
    <x v="0"/>
    <n v="30"/>
    <n v="30000"/>
    <x v="2"/>
    <n v="3"/>
    <x v="0"/>
    <n v="0.86"/>
    <s v="Average"/>
  </r>
  <r>
    <s v="FL250117"/>
    <s v="Teresa Kim"/>
    <s v="Female"/>
    <n v="57"/>
    <s v="55+"/>
    <x v="16"/>
    <s v="Arabic"/>
    <s v="UI/UX Design"/>
    <n v="4"/>
    <x v="2"/>
    <n v="40"/>
    <n v="40000"/>
    <x v="1"/>
    <n v="2.5"/>
    <x v="1"/>
    <n v="0.68"/>
    <s v="Needs Imporovement"/>
  </r>
  <r>
    <s v="FL250118"/>
    <s v="Jon Morgan"/>
    <s v="Male"/>
    <n v="27"/>
    <s v="18-29"/>
    <x v="1"/>
    <s v="English"/>
    <s v="Machine Learning"/>
    <n v="7"/>
    <x v="0"/>
    <n v="20"/>
    <n v="20000"/>
    <x v="2"/>
    <n v="3"/>
    <x v="1"/>
    <n v="0.62"/>
    <s v="Average"/>
  </r>
  <r>
    <s v="FL250119"/>
    <s v="Gloria Chaney"/>
    <s v="Female"/>
    <n v="33"/>
    <s v="30-45"/>
    <x v="4"/>
    <s v="Indonesian"/>
    <s v="Machine Learning"/>
    <n v="13"/>
    <x v="4"/>
    <n v="20"/>
    <n v="20000"/>
    <x v="2"/>
    <n v="3.8"/>
    <x v="0"/>
    <n v="0.75"/>
    <s v="Average"/>
  </r>
  <r>
    <s v="FL250120"/>
    <s v="Jesse Campbell"/>
    <s v="Male"/>
    <n v="29"/>
    <s v="18-29"/>
    <x v="12"/>
    <s v="Korean"/>
    <s v="Data Analysis"/>
    <n v="4"/>
    <x v="2"/>
    <n v="30"/>
    <n v="30000"/>
    <x v="2"/>
    <n v="2.5"/>
    <x v="1"/>
    <n v="0.82"/>
    <s v="Needs Imporovement"/>
  </r>
  <r>
    <s v="FL250121"/>
    <s v="Allison Tucker MD"/>
    <s v="Female"/>
    <n v="36"/>
    <s v="30-45"/>
    <x v="4"/>
    <s v="Indonesian"/>
    <s v="UI/UX Design"/>
    <n v="13"/>
    <x v="4"/>
    <n v="75"/>
    <n v="75000"/>
    <x v="1"/>
    <n v="3.8"/>
    <x v="1"/>
    <n v="0.75"/>
    <s v="Average"/>
  </r>
  <r>
    <s v="FL250122"/>
    <s v="Candice Petersen"/>
    <s v="Female"/>
    <n v="47"/>
    <s v="46-55"/>
    <x v="0"/>
    <s v="Italian"/>
    <s v="DevOps"/>
    <n v="5"/>
    <x v="0"/>
    <n v="40"/>
    <n v="40000"/>
    <x v="1"/>
    <n v="3"/>
    <x v="0"/>
    <n v="0.93"/>
    <s v="Average"/>
  </r>
  <r>
    <s v="FL250123"/>
    <s v="Christopher Nichols"/>
    <s v="Male"/>
    <n v="48"/>
    <s v="46-55"/>
    <x v="14"/>
    <s v="English"/>
    <s v="Machine Learning"/>
    <n v="15"/>
    <x v="4"/>
    <n v="50"/>
    <n v="50000"/>
    <x v="1"/>
    <n v="4"/>
    <x v="1"/>
    <n v="0.64"/>
    <s v="Top Performer"/>
  </r>
  <r>
    <s v="FL250124"/>
    <s v="Debra Garcia"/>
    <s v="Female"/>
    <n v="27"/>
    <s v="18-29"/>
    <x v="18"/>
    <s v="Mandarin"/>
    <s v="UI/UX Design"/>
    <n v="8"/>
    <x v="0"/>
    <n v="50"/>
    <n v="50000"/>
    <x v="1"/>
    <n v="3"/>
    <x v="0"/>
    <n v="0.6"/>
    <s v="Average"/>
  </r>
  <r>
    <s v="FL250125"/>
    <s v="Andrew Fuentes"/>
    <s v="Male"/>
    <n v="34"/>
    <s v="30-45"/>
    <x v="1"/>
    <s v="English"/>
    <s v="Web Development"/>
    <n v="10"/>
    <x v="0"/>
    <n v="20"/>
    <n v="20000"/>
    <x v="2"/>
    <n v="3.8"/>
    <x v="0"/>
    <n v="0.96"/>
    <s v="Average"/>
  </r>
  <r>
    <s v="FL250126"/>
    <s v="Jason Carter"/>
    <s v="Male"/>
    <n v="49"/>
    <s v="46-55"/>
    <x v="12"/>
    <s v="Korean"/>
    <s v="Data Analysis"/>
    <n v="19"/>
    <x v="4"/>
    <n v="90"/>
    <n v="90000"/>
    <x v="0"/>
    <n v="4"/>
    <x v="1"/>
    <n v="0.83"/>
    <s v="Top Performer"/>
  </r>
  <r>
    <s v="FL250127"/>
    <s v="Austin Romero"/>
    <s v="Male"/>
    <n v="30"/>
    <s v="30-45"/>
    <x v="11"/>
    <s v="Portuguese"/>
    <s v="Mobile Apps"/>
    <n v="10"/>
    <x v="0"/>
    <n v="100"/>
    <n v="100000"/>
    <x v="0"/>
    <n v="3.8"/>
    <x v="1"/>
    <n v="0.64"/>
    <s v="Average"/>
  </r>
  <r>
    <s v="FL250128"/>
    <s v="Clayton Burns"/>
    <s v="Male"/>
    <n v="31"/>
    <s v="30-45"/>
    <x v="16"/>
    <s v="Arabic"/>
    <s v="Graphic Design"/>
    <n v="8"/>
    <x v="0"/>
    <n v="40"/>
    <n v="40000"/>
    <x v="1"/>
    <n v="3"/>
    <x v="0"/>
    <n v="0.7"/>
    <s v="Average"/>
  </r>
  <r>
    <s v="FL250129"/>
    <s v="Jonathan Clark"/>
    <s v="Male"/>
    <n v="58"/>
    <s v="55+"/>
    <x v="18"/>
    <s v="Mandarin"/>
    <s v="Machine Learning"/>
    <n v="9"/>
    <x v="0"/>
    <n v="20"/>
    <n v="20000"/>
    <x v="2"/>
    <n v="3"/>
    <x v="0"/>
    <n v="0.65"/>
    <s v="Average"/>
  </r>
  <r>
    <s v="FL250130"/>
    <s v="Alexander Griffin"/>
    <s v="Male"/>
    <n v="47"/>
    <s v="46-55"/>
    <x v="15"/>
    <s v="French"/>
    <s v="Machine Learning"/>
    <n v="13"/>
    <x v="4"/>
    <n v="40"/>
    <n v="40000"/>
    <x v="1"/>
    <n v="3.8"/>
    <x v="0"/>
    <n v="0.67"/>
    <s v="Average"/>
  </r>
  <r>
    <s v="FL250131"/>
    <s v="Shelly Whitehead"/>
    <s v="Female"/>
    <n v="45"/>
    <s v="30-45"/>
    <x v="7"/>
    <s v="English"/>
    <s v="Cybersecurity"/>
    <n v="14"/>
    <x v="4"/>
    <n v="100"/>
    <n v="100000"/>
    <x v="0"/>
    <n v="3.8"/>
    <x v="0"/>
    <n v="0.93"/>
    <s v="Average"/>
  </r>
  <r>
    <s v="FL250132"/>
    <s v="Kaitlyn Davis"/>
    <s v="Female"/>
    <n v="57"/>
    <s v="55+"/>
    <x v="15"/>
    <s v="French"/>
    <s v="Machine Learning"/>
    <n v="0"/>
    <x v="2"/>
    <n v="50"/>
    <n v="50000"/>
    <x v="1"/>
    <n v="1.8"/>
    <x v="0"/>
    <n v="0.6"/>
    <s v="Needs Imporovement"/>
  </r>
  <r>
    <s v="FL250133"/>
    <s v="Christopher Jones"/>
    <s v="Male"/>
    <n v="50"/>
    <s v="46-55"/>
    <x v="10"/>
    <s v="Hindi"/>
    <s v="Web Development"/>
    <n v="22"/>
    <x v="3"/>
    <n v="100"/>
    <n v="100000"/>
    <x v="0"/>
    <n v="4"/>
    <x v="0"/>
    <n v="0.62"/>
    <s v="Top Performer"/>
  </r>
  <r>
    <s v="FL250134"/>
    <s v="Cindy Jacobs"/>
    <s v="Female"/>
    <n v="26"/>
    <s v="18-29"/>
    <x v="11"/>
    <s v="Portuguese"/>
    <s v="Machine Learning"/>
    <n v="4"/>
    <x v="2"/>
    <n v="30"/>
    <n v="30000"/>
    <x v="2"/>
    <n v="2.5"/>
    <x v="0"/>
    <n v="0.7"/>
    <s v="Needs Imporovement"/>
  </r>
  <r>
    <s v="FL250135"/>
    <s v="Penny Day"/>
    <s v="Female"/>
    <n v="45"/>
    <s v="30-45"/>
    <x v="4"/>
    <s v="Indonesian"/>
    <s v="Blockchain Development"/>
    <n v="22"/>
    <x v="3"/>
    <n v="100"/>
    <n v="100000"/>
    <x v="0"/>
    <n v="4"/>
    <x v="1"/>
    <n v="0.75"/>
    <s v="Top Performer"/>
  </r>
  <r>
    <s v="FL250136"/>
    <s v="Thomas Ingram"/>
    <s v="Male"/>
    <n v="60"/>
    <s v="55+"/>
    <x v="17"/>
    <s v="Afrikaans"/>
    <s v="Cybersecurity"/>
    <n v="39"/>
    <x v="1"/>
    <n v="75"/>
    <n v="75000"/>
    <x v="1"/>
    <n v="5"/>
    <x v="0"/>
    <n v="0.7"/>
    <s v="Top Performer"/>
  </r>
  <r>
    <s v="FL250137"/>
    <s v="Donna Hansen"/>
    <s v="Female"/>
    <n v="43"/>
    <s v="30-45"/>
    <x v="7"/>
    <s v="English"/>
    <s v="Cybersecurity"/>
    <n v="5"/>
    <x v="0"/>
    <n v="50"/>
    <n v="50000"/>
    <x v="1"/>
    <n v="3"/>
    <x v="1"/>
    <n v="0.84"/>
    <s v="Average"/>
  </r>
  <r>
    <s v="FL250138"/>
    <s v="Donna Bailey"/>
    <s v="Female"/>
    <n v="39"/>
    <s v="30-45"/>
    <x v="15"/>
    <s v="French"/>
    <s v="Cybersecurity"/>
    <n v="5"/>
    <x v="0"/>
    <n v="40"/>
    <n v="40000"/>
    <x v="1"/>
    <n v="3"/>
    <x v="0"/>
    <n v="0.83"/>
    <s v="Average"/>
  </r>
  <r>
    <s v="FL250139"/>
    <s v="Joshua Armstrong"/>
    <s v="Male"/>
    <n v="26"/>
    <s v="18-29"/>
    <x v="19"/>
    <s v="Spanish"/>
    <s v="UI/UX Design"/>
    <n v="5"/>
    <x v="0"/>
    <n v="50"/>
    <n v="50000"/>
    <x v="1"/>
    <n v="3"/>
    <x v="0"/>
    <n v="0.6"/>
    <s v="Average"/>
  </r>
  <r>
    <s v="FL250140"/>
    <s v="Jonathan Garza"/>
    <s v="Male"/>
    <n v="31"/>
    <s v="30-45"/>
    <x v="2"/>
    <s v="German"/>
    <s v="Cybersecurity"/>
    <n v="11"/>
    <x v="0"/>
    <n v="50"/>
    <n v="50000"/>
    <x v="1"/>
    <n v="3.8"/>
    <x v="0"/>
    <n v="0.88"/>
    <s v="Average"/>
  </r>
  <r>
    <s v="FL250141"/>
    <s v="Charles Jones"/>
    <s v="Male"/>
    <n v="52"/>
    <s v="46-55"/>
    <x v="15"/>
    <s v="French"/>
    <s v="UI/UX Design"/>
    <n v="15"/>
    <x v="4"/>
    <n v="50"/>
    <n v="50000"/>
    <x v="1"/>
    <n v="4"/>
    <x v="1"/>
    <n v="0.81"/>
    <s v="Top Performer"/>
  </r>
  <r>
    <s v="FL250142"/>
    <s v="Lindsey Miles"/>
    <s v="Female"/>
    <n v="34"/>
    <s v="30-45"/>
    <x v="10"/>
    <s v="Hindi"/>
    <s v="Data Analysis"/>
    <n v="5"/>
    <x v="0"/>
    <n v="20"/>
    <n v="20000"/>
    <x v="2"/>
    <n v="3"/>
    <x v="1"/>
    <n v="0.8"/>
    <s v="Average"/>
  </r>
  <r>
    <s v="FL250143"/>
    <s v="Eduardo Reed"/>
    <s v="Male"/>
    <n v="45"/>
    <s v="30-45"/>
    <x v="7"/>
    <s v="English"/>
    <s v="Web Development"/>
    <n v="7"/>
    <x v="0"/>
    <n v="75"/>
    <n v="75000"/>
    <x v="1"/>
    <n v="3"/>
    <x v="1"/>
    <n v="0.67"/>
    <s v="Average"/>
  </r>
  <r>
    <s v="FL250144"/>
    <s v="Lee Fowler"/>
    <s v="Male"/>
    <n v="46"/>
    <s v="46-55"/>
    <x v="7"/>
    <s v="English"/>
    <s v="Cybersecurity"/>
    <n v="9"/>
    <x v="0"/>
    <n v="20"/>
    <n v="20000"/>
    <x v="2"/>
    <n v="3"/>
    <x v="0"/>
    <n v="0.82"/>
    <s v="Average"/>
  </r>
  <r>
    <s v="FL250145"/>
    <s v="Steven Jones Jr."/>
    <s v="Male"/>
    <n v="56"/>
    <s v="55+"/>
    <x v="15"/>
    <s v="French"/>
    <s v="UI/UX Design"/>
    <n v="21"/>
    <x v="3"/>
    <n v="100"/>
    <n v="100000"/>
    <x v="0"/>
    <n v="4"/>
    <x v="1"/>
    <n v="0.78"/>
    <s v="Top Performer"/>
  </r>
  <r>
    <s v="FL250146"/>
    <s v="Ashley Chen"/>
    <s v="Female"/>
    <n v="59"/>
    <s v="55+"/>
    <x v="2"/>
    <s v="German"/>
    <s v="AI"/>
    <n v="7"/>
    <x v="0"/>
    <n v="40"/>
    <n v="40000"/>
    <x v="1"/>
    <n v="3"/>
    <x v="0"/>
    <n v="0.81"/>
    <s v="Average"/>
  </r>
  <r>
    <s v="FL250147"/>
    <s v="Erica Davis"/>
    <s v="Female"/>
    <n v="54"/>
    <s v="46-55"/>
    <x v="16"/>
    <s v="Arabic"/>
    <s v="Blockchain Development"/>
    <n v="4"/>
    <x v="2"/>
    <n v="20"/>
    <n v="20000"/>
    <x v="2"/>
    <n v="2.5"/>
    <x v="1"/>
    <n v="0.74"/>
    <s v="Needs Imporovement"/>
  </r>
  <r>
    <s v="FL250148"/>
    <s v="Wayne Gonzales"/>
    <s v="Male"/>
    <n v="36"/>
    <s v="30-45"/>
    <x v="2"/>
    <s v="German"/>
    <s v="UI/UX Design"/>
    <n v="7"/>
    <x v="0"/>
    <n v="30"/>
    <n v="30000"/>
    <x v="2"/>
    <n v="3"/>
    <x v="0"/>
    <n v="0.88"/>
    <s v="Average"/>
  </r>
  <r>
    <s v="FL250149"/>
    <s v="Gary Ballard"/>
    <s v="Male"/>
    <n v="25"/>
    <s v="18-29"/>
    <x v="19"/>
    <s v="Spanish"/>
    <s v="Data Analysis"/>
    <n v="0"/>
    <x v="2"/>
    <n v="40"/>
    <n v="40000"/>
    <x v="1"/>
    <n v="1.8"/>
    <x v="0"/>
    <n v="0.9"/>
    <s v="Needs Imporovement"/>
  </r>
  <r>
    <s v="FL250150"/>
    <s v="Maria Mcguire"/>
    <s v="Female"/>
    <n v="37"/>
    <s v="30-45"/>
    <x v="13"/>
    <s v="Russian"/>
    <s v="Data Analysis"/>
    <n v="15"/>
    <x v="4"/>
    <n v="40"/>
    <n v="40000"/>
    <x v="1"/>
    <n v="4"/>
    <x v="0"/>
    <n v="0.85"/>
    <s v="Top Performer"/>
  </r>
  <r>
    <s v="FL250151"/>
    <s v="Matthew Richards"/>
    <s v="Male"/>
    <n v="35"/>
    <s v="30-45"/>
    <x v="6"/>
    <s v="Turkish"/>
    <s v="Data Analysis"/>
    <n v="10"/>
    <x v="0"/>
    <n v="40"/>
    <n v="40000"/>
    <x v="1"/>
    <n v="3.8"/>
    <x v="0"/>
    <n v="0.75"/>
    <s v="Average"/>
  </r>
  <r>
    <s v="FL250152"/>
    <s v="Patrick Malone"/>
    <s v="Male"/>
    <n v="29"/>
    <s v="18-29"/>
    <x v="20"/>
    <s v="Spanish"/>
    <s v="Data Analysis"/>
    <n v="11"/>
    <x v="0"/>
    <n v="20"/>
    <n v="20000"/>
    <x v="2"/>
    <n v="3.8"/>
    <x v="0"/>
    <n v="0.93"/>
    <s v="Average"/>
  </r>
  <r>
    <s v="FL250153"/>
    <s v="Cindy Martin"/>
    <s v="Female"/>
    <n v="55"/>
    <s v="46-55"/>
    <x v="8"/>
    <s v="Spanish"/>
    <s v="Mobile Apps"/>
    <n v="12"/>
    <x v="0"/>
    <n v="100"/>
    <n v="100000"/>
    <x v="0"/>
    <n v="3.8"/>
    <x v="1"/>
    <n v="0.75"/>
    <s v="Average"/>
  </r>
  <r>
    <s v="FL250154"/>
    <s v="Anne Edwards"/>
    <s v="Female"/>
    <n v="38"/>
    <s v="30-45"/>
    <x v="9"/>
    <s v="Japanese"/>
    <s v="DevOps"/>
    <n v="20"/>
    <x v="4"/>
    <n v="75"/>
    <n v="75000"/>
    <x v="1"/>
    <n v="4"/>
    <x v="0"/>
    <n v="0.71"/>
    <s v="Top Performer"/>
  </r>
  <r>
    <s v="FL250155"/>
    <s v="Mitchell Martin"/>
    <s v="Male"/>
    <n v="47"/>
    <s v="46-55"/>
    <x v="12"/>
    <s v="Korean"/>
    <s v="DevOps"/>
    <n v="29"/>
    <x v="3"/>
    <n v="40"/>
    <n v="40000"/>
    <x v="1"/>
    <n v="4.8"/>
    <x v="1"/>
    <n v="0.95"/>
    <s v="Top Performer"/>
  </r>
  <r>
    <s v="FL250156"/>
    <s v="Mitchell Patrick"/>
    <s v="Male"/>
    <n v="60"/>
    <s v="55+"/>
    <x v="11"/>
    <s v="Portuguese"/>
    <s v="Web Development"/>
    <n v="15"/>
    <x v="4"/>
    <n v="100"/>
    <n v="100000"/>
    <x v="0"/>
    <n v="4"/>
    <x v="0"/>
    <n v="0.8"/>
    <s v="Top Performer"/>
  </r>
  <r>
    <s v="FL250157"/>
    <s v="Rebecca Lyons"/>
    <s v="Female"/>
    <n v="43"/>
    <s v="30-45"/>
    <x v="0"/>
    <s v="Italian"/>
    <s v="Data Analysis"/>
    <n v="9"/>
    <x v="0"/>
    <n v="20"/>
    <n v="20000"/>
    <x v="2"/>
    <n v="3"/>
    <x v="0"/>
    <n v="0.6"/>
    <s v="Average"/>
  </r>
  <r>
    <s v="FL250158"/>
    <s v="Christian Lopez"/>
    <s v="Male"/>
    <n v="56"/>
    <s v="55+"/>
    <x v="17"/>
    <s v="Afrikaans"/>
    <s v="Data Analysis"/>
    <n v="25"/>
    <x v="3"/>
    <n v="100"/>
    <n v="100000"/>
    <x v="0"/>
    <n v="4.8"/>
    <x v="0"/>
    <n v="0.62"/>
    <s v="Top Performer"/>
  </r>
  <r>
    <s v="FL250159"/>
    <s v="Nathan Blair"/>
    <s v="Male"/>
    <n v="42"/>
    <s v="30-45"/>
    <x v="13"/>
    <s v="Russian"/>
    <s v="DevOps"/>
    <n v="2"/>
    <x v="2"/>
    <n v="50"/>
    <n v="50000"/>
    <x v="1"/>
    <n v="2.5"/>
    <x v="0"/>
    <n v="0.95"/>
    <s v="Needs Imporovement"/>
  </r>
  <r>
    <s v="FL250160"/>
    <s v="Patricia Lopez"/>
    <s v="Female"/>
    <n v="20"/>
    <s v="18-29"/>
    <x v="20"/>
    <s v="Spanish"/>
    <s v="Graphic Design"/>
    <n v="0"/>
    <x v="2"/>
    <n v="40"/>
    <n v="40000"/>
    <x v="1"/>
    <n v="1.8"/>
    <x v="0"/>
    <n v="0.79"/>
    <s v="Needs Imporovement"/>
  </r>
  <r>
    <s v="FL250161"/>
    <s v="Michelle Wu"/>
    <s v="Female"/>
    <n v="47"/>
    <s v="46-55"/>
    <x v="4"/>
    <s v="Indonesian"/>
    <s v="UI/UX Design"/>
    <n v="12"/>
    <x v="0"/>
    <n v="40"/>
    <n v="40000"/>
    <x v="1"/>
    <n v="3.8"/>
    <x v="0"/>
    <n v="0.62"/>
    <s v="Average"/>
  </r>
  <r>
    <s v="FL250162"/>
    <s v="Donald Mitchell"/>
    <s v="Male"/>
    <n v="54"/>
    <s v="46-55"/>
    <x v="8"/>
    <s v="Spanish"/>
    <s v="Data Analysis"/>
    <n v="12"/>
    <x v="0"/>
    <n v="30"/>
    <n v="30000"/>
    <x v="2"/>
    <n v="3.8"/>
    <x v="0"/>
    <n v="0.68"/>
    <s v="Average"/>
  </r>
  <r>
    <s v="FL250163"/>
    <s v="Sean Gordon"/>
    <s v="Male"/>
    <n v="56"/>
    <s v="55+"/>
    <x v="4"/>
    <s v="Indonesian"/>
    <s v="DevOps"/>
    <n v="15"/>
    <x v="4"/>
    <n v="75"/>
    <n v="75000"/>
    <x v="1"/>
    <n v="4"/>
    <x v="0"/>
    <n v="0.85"/>
    <s v="Top Performer"/>
  </r>
  <r>
    <s v="FL250164"/>
    <s v="Gregory Clarke"/>
    <s v="Male"/>
    <n v="59"/>
    <s v="55+"/>
    <x v="7"/>
    <s v="English"/>
    <s v="DevOps"/>
    <n v="29"/>
    <x v="3"/>
    <n v="75"/>
    <n v="75000"/>
    <x v="1"/>
    <n v="4.8"/>
    <x v="0"/>
    <n v="0.8"/>
    <s v="Top Performer"/>
  </r>
  <r>
    <s v="FL250165"/>
    <s v="Steven Whitney"/>
    <s v="Male"/>
    <n v="56"/>
    <s v="55+"/>
    <x v="9"/>
    <s v="Japanese"/>
    <s v="Cybersecurity"/>
    <n v="15"/>
    <x v="4"/>
    <n v="40"/>
    <n v="40000"/>
    <x v="1"/>
    <n v="4"/>
    <x v="1"/>
    <n v="0.92"/>
    <s v="Top Performer"/>
  </r>
  <r>
    <s v="FL250166"/>
    <s v="Robin Acosta"/>
    <s v="Female"/>
    <n v="31"/>
    <s v="30-45"/>
    <x v="17"/>
    <s v="Afrikaans"/>
    <s v="Web Development"/>
    <n v="15"/>
    <x v="4"/>
    <n v="75"/>
    <n v="75000"/>
    <x v="1"/>
    <n v="4"/>
    <x v="1"/>
    <n v="0.65"/>
    <s v="Top Performer"/>
  </r>
  <r>
    <s v="FL250167"/>
    <s v="John Smith"/>
    <s v="Male"/>
    <n v="60"/>
    <s v="55+"/>
    <x v="12"/>
    <s v="Korean"/>
    <s v="Mobile Apps"/>
    <n v="33"/>
    <x v="1"/>
    <n v="40"/>
    <n v="40000"/>
    <x v="1"/>
    <n v="5"/>
    <x v="1"/>
    <n v="0.87"/>
    <s v="Top Performer"/>
  </r>
  <r>
    <s v="FL250168"/>
    <s v="Susan Baker"/>
    <s v="Female"/>
    <n v="31"/>
    <s v="30-45"/>
    <x v="14"/>
    <s v="English"/>
    <s v="Web Development"/>
    <n v="10"/>
    <x v="0"/>
    <n v="75"/>
    <n v="75000"/>
    <x v="1"/>
    <n v="3.8"/>
    <x v="0"/>
    <n v="0.7"/>
    <s v="Average"/>
  </r>
  <r>
    <s v="FL250169"/>
    <s v="Anthony Larsen"/>
    <s v="Male"/>
    <n v="60"/>
    <s v="55+"/>
    <x v="8"/>
    <s v="Spanish"/>
    <s v="Cybersecurity"/>
    <n v="20"/>
    <x v="4"/>
    <n v="40"/>
    <n v="40000"/>
    <x v="1"/>
    <n v="4"/>
    <x v="0"/>
    <n v="0.87"/>
    <s v="Top Performer"/>
  </r>
  <r>
    <s v="FL250170"/>
    <s v="Nicholas Carpenter"/>
    <s v="Male"/>
    <n v="46"/>
    <s v="46-55"/>
    <x v="15"/>
    <s v="French"/>
    <s v="DevOps"/>
    <n v="23"/>
    <x v="3"/>
    <n v="20"/>
    <n v="20000"/>
    <x v="2"/>
    <n v="4"/>
    <x v="0"/>
    <n v="0.72"/>
    <s v="Top Performer"/>
  </r>
  <r>
    <s v="FL250171"/>
    <s v="Debra Salazar"/>
    <s v="Female"/>
    <n v="56"/>
    <s v="55+"/>
    <x v="3"/>
    <s v="Dutch"/>
    <s v="Blockchain Development"/>
    <n v="20"/>
    <x v="4"/>
    <n v="40"/>
    <n v="40000"/>
    <x v="1"/>
    <n v="4"/>
    <x v="0"/>
    <n v="0.8"/>
    <s v="Top Performer"/>
  </r>
  <r>
    <s v="FL250172"/>
    <s v="William Smith"/>
    <s v="Male"/>
    <n v="34"/>
    <s v="30-45"/>
    <x v="9"/>
    <s v="Japanese"/>
    <s v="UI/UX Design"/>
    <n v="0"/>
    <x v="2"/>
    <n v="20"/>
    <n v="20000"/>
    <x v="2"/>
    <n v="1.8"/>
    <x v="0"/>
    <n v="0.66"/>
    <s v="Needs Imporovement"/>
  </r>
  <r>
    <s v="FL250173"/>
    <s v="Caroline Gross"/>
    <s v="Female"/>
    <n v="42"/>
    <s v="30-45"/>
    <x v="3"/>
    <s v="Dutch"/>
    <s v="Graphic Design"/>
    <n v="7"/>
    <x v="0"/>
    <n v="40"/>
    <n v="40000"/>
    <x v="1"/>
    <n v="3"/>
    <x v="1"/>
    <n v="0.6"/>
    <s v="Average"/>
  </r>
  <r>
    <s v="FL250174"/>
    <s v="Jeremy Sawyer"/>
    <s v="Male"/>
    <n v="31"/>
    <s v="30-45"/>
    <x v="7"/>
    <s v="English"/>
    <s v="Data Analysis"/>
    <n v="4"/>
    <x v="2"/>
    <n v="75"/>
    <n v="75000"/>
    <x v="1"/>
    <n v="2.5"/>
    <x v="1"/>
    <n v="0.64"/>
    <s v="Needs Imporovement"/>
  </r>
  <r>
    <s v="FL250175"/>
    <s v="Eduardo Burns"/>
    <s v="Male"/>
    <n v="29"/>
    <s v="18-29"/>
    <x v="11"/>
    <s v="Portuguese"/>
    <s v="UI/UX Design"/>
    <n v="9"/>
    <x v="0"/>
    <n v="20"/>
    <n v="20000"/>
    <x v="2"/>
    <n v="3"/>
    <x v="0"/>
    <n v="0.68"/>
    <s v="Average"/>
  </r>
  <r>
    <s v="FL250176"/>
    <s v="Amanda Jones"/>
    <s v="Female"/>
    <n v="57"/>
    <s v="55+"/>
    <x v="1"/>
    <s v="English"/>
    <s v="Graphic Design"/>
    <n v="17"/>
    <x v="4"/>
    <n v="20"/>
    <n v="20000"/>
    <x v="2"/>
    <n v="4"/>
    <x v="0"/>
    <n v="0.63"/>
    <s v="Top Performer"/>
  </r>
  <r>
    <s v="FL250177"/>
    <s v="Frederick Ware"/>
    <s v="Male"/>
    <n v="47"/>
    <s v="46-55"/>
    <x v="10"/>
    <s v="Hindi"/>
    <s v="DevOps"/>
    <n v="8"/>
    <x v="0"/>
    <n v="20"/>
    <n v="20000"/>
    <x v="2"/>
    <n v="3"/>
    <x v="1"/>
    <n v="0.72"/>
    <s v="Average"/>
  </r>
  <r>
    <s v="FL250178"/>
    <s v="Michael Black"/>
    <s v="Male"/>
    <n v="47"/>
    <s v="46-55"/>
    <x v="17"/>
    <s v="Afrikaans"/>
    <s v="AI"/>
    <n v="14"/>
    <x v="4"/>
    <n v="30"/>
    <n v="30000"/>
    <x v="2"/>
    <n v="3.8"/>
    <x v="1"/>
    <n v="0.86"/>
    <s v="Average"/>
  </r>
  <r>
    <s v="FL250179"/>
    <s v="Patricia Sanders"/>
    <s v="Female"/>
    <n v="45"/>
    <s v="30-45"/>
    <x v="15"/>
    <s v="French"/>
    <s v="Graphic Design"/>
    <n v="21"/>
    <x v="3"/>
    <n v="30"/>
    <n v="30000"/>
    <x v="2"/>
    <n v="4"/>
    <x v="1"/>
    <n v="0.73"/>
    <s v="Top Performer"/>
  </r>
  <r>
    <s v="FL250180"/>
    <s v="Marc Joseph"/>
    <s v="Male"/>
    <n v="24"/>
    <s v="18-29"/>
    <x v="6"/>
    <s v="Turkish"/>
    <s v="Machine Learning"/>
    <n v="1"/>
    <x v="2"/>
    <n v="30"/>
    <n v="30000"/>
    <x v="2"/>
    <n v="1.8"/>
    <x v="0"/>
    <n v="0.95"/>
    <s v="Needs Imporovement"/>
  </r>
  <r>
    <s v="FL250181"/>
    <s v="Vanessa White"/>
    <s v="Female"/>
    <n v="31"/>
    <s v="30-45"/>
    <x v="8"/>
    <s v="Spanish"/>
    <s v="Mobile Apps"/>
    <n v="12"/>
    <x v="0"/>
    <n v="20"/>
    <n v="20000"/>
    <x v="2"/>
    <n v="3.8"/>
    <x v="0"/>
    <n v="0.9"/>
    <s v="Average"/>
  </r>
  <r>
    <s v="FL250182"/>
    <s v="Jennifer Garcia"/>
    <s v="Female"/>
    <n v="20"/>
    <s v="18-29"/>
    <x v="19"/>
    <s v="Spanish"/>
    <s v="Graphic Design"/>
    <n v="2"/>
    <x v="2"/>
    <n v="20"/>
    <n v="20000"/>
    <x v="2"/>
    <n v="2.5"/>
    <x v="0"/>
    <n v="0.78"/>
    <s v="Needs Imporovement"/>
  </r>
  <r>
    <s v="FL250183"/>
    <s v="Michael Zavala"/>
    <s v="Male"/>
    <n v="38"/>
    <s v="30-45"/>
    <x v="9"/>
    <s v="Japanese"/>
    <s v="Web Development"/>
    <n v="3"/>
    <x v="2"/>
    <n v="30"/>
    <n v="30000"/>
    <x v="2"/>
    <n v="2.5"/>
    <x v="0"/>
    <n v="0.97"/>
    <s v="Needs Imporovement"/>
  </r>
  <r>
    <s v="FL250184"/>
    <s v="Kimberly Williams"/>
    <s v="Female"/>
    <n v="33"/>
    <s v="30-45"/>
    <x v="2"/>
    <s v="German"/>
    <s v="UI/UX Design"/>
    <n v="11"/>
    <x v="0"/>
    <n v="80"/>
    <n v="80000"/>
    <x v="1"/>
    <n v="3.8"/>
    <x v="1"/>
    <n v="0.65"/>
    <s v="Average"/>
  </r>
  <r>
    <s v="FL250185"/>
    <s v="Elizabeth Jenkins"/>
    <s v="Female"/>
    <n v="31"/>
    <s v="30-45"/>
    <x v="1"/>
    <s v="English"/>
    <s v="Web Development"/>
    <n v="4"/>
    <x v="2"/>
    <n v="40"/>
    <n v="40000"/>
    <x v="1"/>
    <n v="2.5"/>
    <x v="1"/>
    <n v="0.78"/>
    <s v="Needs Imporovement"/>
  </r>
  <r>
    <s v="FL250186"/>
    <s v="Brandon Ford"/>
    <s v="Male"/>
    <n v="41"/>
    <s v="30-45"/>
    <x v="20"/>
    <s v="Spanish"/>
    <s v="Machine Learning"/>
    <n v="21"/>
    <x v="3"/>
    <n v="50"/>
    <n v="50000"/>
    <x v="1"/>
    <n v="4"/>
    <x v="1"/>
    <n v="0.65"/>
    <s v="Top Performer"/>
  </r>
  <r>
    <s v="FL250187"/>
    <s v="Justin House"/>
    <s v="Male"/>
    <n v="54"/>
    <s v="46-55"/>
    <x v="6"/>
    <s v="Turkish"/>
    <s v="Web Development"/>
    <n v="0"/>
    <x v="2"/>
    <n v="20"/>
    <n v="20000"/>
    <x v="2"/>
    <n v="1.8"/>
    <x v="0"/>
    <n v="0.3"/>
    <s v="Needs Imporovement"/>
  </r>
  <r>
    <s v="FL250188"/>
    <s v="Henry Mullen"/>
    <s v="Male"/>
    <n v="50"/>
    <s v="46-55"/>
    <x v="19"/>
    <s v="Spanish"/>
    <s v="Data Analysis"/>
    <n v="6"/>
    <x v="0"/>
    <n v="30"/>
    <n v="30000"/>
    <x v="2"/>
    <n v="3"/>
    <x v="1"/>
    <n v="0.95"/>
    <s v="Average"/>
  </r>
  <r>
    <s v="FL250189"/>
    <s v="Jesse Cochran"/>
    <s v="Male"/>
    <n v="48"/>
    <s v="46-55"/>
    <x v="11"/>
    <s v="Portuguese"/>
    <s v="Machine Learning"/>
    <n v="18"/>
    <x v="4"/>
    <n v="40"/>
    <n v="40000"/>
    <x v="1"/>
    <n v="4"/>
    <x v="1"/>
    <n v="0.88"/>
    <s v="Top Performer"/>
  </r>
  <r>
    <s v="FL250190"/>
    <s v="Melissa Rich"/>
    <s v="Female"/>
    <n v="49"/>
    <s v="46-55"/>
    <x v="19"/>
    <s v="Spanish"/>
    <s v="Graphic Design"/>
    <n v="25"/>
    <x v="3"/>
    <n v="70"/>
    <n v="70000"/>
    <x v="1"/>
    <n v="4.8"/>
    <x v="0"/>
    <n v="0.9"/>
    <s v="Top Performer"/>
  </r>
  <r>
    <s v="FL250191"/>
    <s v="Patrick Dunlap"/>
    <s v="Male"/>
    <n v="21"/>
    <s v="18-29"/>
    <x v="12"/>
    <s v="Korean"/>
    <s v="Graphic Design"/>
    <n v="1"/>
    <x v="2"/>
    <n v="75"/>
    <n v="75000"/>
    <x v="1"/>
    <n v="1.8"/>
    <x v="0"/>
    <n v="0.92"/>
    <s v="Needs Imporovement"/>
  </r>
  <r>
    <s v="FL250192"/>
    <s v="Troy Carson"/>
    <s v="Male"/>
    <n v="58"/>
    <s v="55+"/>
    <x v="1"/>
    <s v="English"/>
    <s v="Graphic Design"/>
    <n v="20"/>
    <x v="4"/>
    <n v="75"/>
    <n v="75000"/>
    <x v="1"/>
    <n v="4"/>
    <x v="0"/>
    <n v="0.75"/>
    <s v="Top Performer"/>
  </r>
  <r>
    <s v="FL250193"/>
    <s v="Matthew Smith"/>
    <s v="Male"/>
    <n v="41"/>
    <s v="30-45"/>
    <x v="0"/>
    <s v="Italian"/>
    <s v="DevOps"/>
    <n v="22"/>
    <x v="3"/>
    <n v="30"/>
    <n v="30000"/>
    <x v="2"/>
    <n v="4"/>
    <x v="0"/>
    <n v="0.74"/>
    <s v="Top Performer"/>
  </r>
  <r>
    <s v="FL250194"/>
    <s v="Jennifer Cherry"/>
    <s v="Female"/>
    <n v="58"/>
    <s v="55+"/>
    <x v="13"/>
    <s v="Russian"/>
    <s v="Blockchain Development"/>
    <n v="25"/>
    <x v="3"/>
    <n v="30"/>
    <n v="30000"/>
    <x v="2"/>
    <n v="4.8"/>
    <x v="1"/>
    <n v="0.71"/>
    <s v="Top Performer"/>
  </r>
  <r>
    <s v="FL250195"/>
    <s v="Brandi Tucker"/>
    <s v="Female"/>
    <n v="50"/>
    <s v="46-55"/>
    <x v="17"/>
    <s v="Afrikaans"/>
    <s v="Graphic Design"/>
    <n v="20"/>
    <x v="4"/>
    <n v="40"/>
    <n v="40000"/>
    <x v="1"/>
    <n v="4"/>
    <x v="1"/>
    <n v="0.89"/>
    <s v="Top Performer"/>
  </r>
  <r>
    <s v="FL250196"/>
    <s v="Zachary Burke"/>
    <s v="Male"/>
    <n v="52"/>
    <s v="46-55"/>
    <x v="4"/>
    <s v="Indonesian"/>
    <s v="Web Development"/>
    <n v="33"/>
    <x v="1"/>
    <n v="100"/>
    <n v="100000"/>
    <x v="0"/>
    <n v="5"/>
    <x v="1"/>
    <n v="0.66"/>
    <s v="Top Performer"/>
  </r>
  <r>
    <s v="FL250197"/>
    <s v="Thomas Jones"/>
    <s v="Male"/>
    <n v="34"/>
    <s v="30-45"/>
    <x v="3"/>
    <s v="Dutch"/>
    <s v="Data Analysis"/>
    <n v="6"/>
    <x v="0"/>
    <n v="100"/>
    <n v="100000"/>
    <x v="0"/>
    <n v="3"/>
    <x v="0"/>
    <n v="0.6"/>
    <s v="Average"/>
  </r>
  <r>
    <s v="FL250198"/>
    <s v="Brian Dunn"/>
    <s v="Male"/>
    <n v="32"/>
    <s v="30-45"/>
    <x v="15"/>
    <s v="French"/>
    <s v="Machine Learning"/>
    <n v="11"/>
    <x v="0"/>
    <n v="40"/>
    <n v="40000"/>
    <x v="1"/>
    <n v="3.8"/>
    <x v="1"/>
    <n v="0.86"/>
    <s v="Average"/>
  </r>
  <r>
    <s v="FL250199"/>
    <s v="Shirley Strickland"/>
    <s v="Female"/>
    <n v="50"/>
    <s v="46-55"/>
    <x v="10"/>
    <s v="Hindi"/>
    <s v="Graphic Design"/>
    <n v="28"/>
    <x v="3"/>
    <n v="100"/>
    <n v="100000"/>
    <x v="0"/>
    <n v="4.8"/>
    <x v="1"/>
    <n v="0.86"/>
    <s v="Top Performer"/>
  </r>
  <r>
    <s v="FL250200"/>
    <s v="Nicole Meyers"/>
    <s v="Female"/>
    <n v="39"/>
    <s v="30-45"/>
    <x v="8"/>
    <s v="Spanish"/>
    <s v="Data Analysis"/>
    <n v="11"/>
    <x v="0"/>
    <n v="100"/>
    <n v="100000"/>
    <x v="0"/>
    <n v="3.8"/>
    <x v="1"/>
    <n v="0.82"/>
    <s v="Average"/>
  </r>
  <r>
    <s v="FL250201"/>
    <s v="Jill Stephens"/>
    <s v="Female"/>
    <n v="25"/>
    <s v="18-29"/>
    <x v="20"/>
    <s v="Spanish"/>
    <s v="AI"/>
    <n v="2"/>
    <x v="2"/>
    <n v="100"/>
    <n v="100000"/>
    <x v="0"/>
    <n v="2.5"/>
    <x v="0"/>
    <n v="0.87"/>
    <s v="Needs Imporovement"/>
  </r>
  <r>
    <s v="FL250202"/>
    <s v="Heidi Miranda"/>
    <s v="Female"/>
    <n v="55"/>
    <s v="46-55"/>
    <x v="18"/>
    <s v="Mandarin"/>
    <s v="Machine Learning"/>
    <n v="7"/>
    <x v="0"/>
    <n v="100"/>
    <n v="100000"/>
    <x v="0"/>
    <n v="3"/>
    <x v="1"/>
    <n v="0.8"/>
    <s v="Average"/>
  </r>
  <r>
    <s v="FL250203"/>
    <s v="Jesus Martinez"/>
    <s v="Male"/>
    <n v="42"/>
    <s v="30-45"/>
    <x v="0"/>
    <s v="Italian"/>
    <s v="DevOps"/>
    <n v="10"/>
    <x v="0"/>
    <n v="100"/>
    <n v="100000"/>
    <x v="0"/>
    <n v="3.8"/>
    <x v="1"/>
    <n v="0.71"/>
    <s v="Average"/>
  </r>
  <r>
    <s v="FL250204"/>
    <s v="Adam Payne"/>
    <s v="Male"/>
    <n v="43"/>
    <s v="30-45"/>
    <x v="13"/>
    <s v="Russian"/>
    <s v="Mobile Apps"/>
    <n v="6"/>
    <x v="0"/>
    <n v="50"/>
    <n v="50000"/>
    <x v="1"/>
    <n v="3"/>
    <x v="0"/>
    <n v="0.77"/>
    <s v="Average"/>
  </r>
  <r>
    <s v="FL250205"/>
    <s v="Walter Williams"/>
    <s v="Male"/>
    <n v="54"/>
    <s v="46-55"/>
    <x v="0"/>
    <s v="Italian"/>
    <s v="DevOps"/>
    <n v="29"/>
    <x v="3"/>
    <n v="30"/>
    <n v="30000"/>
    <x v="2"/>
    <n v="4.8"/>
    <x v="0"/>
    <n v="0.68"/>
    <s v="Top Performer"/>
  </r>
  <r>
    <s v="FL250206"/>
    <s v="Shannon Farmer"/>
    <s v="Female"/>
    <n v="21"/>
    <s v="18-29"/>
    <x v="16"/>
    <s v="Arabic"/>
    <s v="Graphic Design"/>
    <n v="0"/>
    <x v="2"/>
    <n v="20"/>
    <n v="20000"/>
    <x v="2"/>
    <n v="1.8"/>
    <x v="0"/>
    <n v="0.91"/>
    <s v="Needs Imporovement"/>
  </r>
  <r>
    <s v="FL250207"/>
    <s v="Peter Reyes"/>
    <s v="Male"/>
    <n v="46"/>
    <s v="46-55"/>
    <x v="14"/>
    <s v="English"/>
    <s v="UI/UX Design"/>
    <n v="5"/>
    <x v="0"/>
    <n v="20"/>
    <n v="20000"/>
    <x v="2"/>
    <n v="3"/>
    <x v="0"/>
    <n v="0.75"/>
    <s v="Average"/>
  </r>
  <r>
    <s v="FL250208"/>
    <s v="Kristen Knight"/>
    <s v="Female"/>
    <n v="30"/>
    <s v="30-45"/>
    <x v="20"/>
    <s v="Spanish"/>
    <s v="Blockchain Development"/>
    <n v="11"/>
    <x v="0"/>
    <n v="40"/>
    <n v="40000"/>
    <x v="1"/>
    <n v="3.8"/>
    <x v="0"/>
    <n v="0.9"/>
    <s v="Average"/>
  </r>
  <r>
    <s v="FL250209"/>
    <s v="William Moore Jr."/>
    <s v="Male"/>
    <n v="36"/>
    <s v="30-45"/>
    <x v="18"/>
    <s v="Mandarin"/>
    <s v="Machine Learning"/>
    <n v="11"/>
    <x v="0"/>
    <n v="75"/>
    <n v="75000"/>
    <x v="1"/>
    <n v="3.8"/>
    <x v="0"/>
    <n v="0.93"/>
    <s v="Average"/>
  </r>
  <r>
    <s v="FL250210"/>
    <s v="Jennifer Rowe"/>
    <s v="Female"/>
    <n v="47"/>
    <s v="46-55"/>
    <x v="2"/>
    <s v="German"/>
    <s v="Data Analysis"/>
    <n v="15"/>
    <x v="4"/>
    <n v="40"/>
    <n v="40000"/>
    <x v="1"/>
    <n v="4"/>
    <x v="1"/>
    <n v="0.94"/>
    <s v="Top Performer"/>
  </r>
  <r>
    <s v="FL250211"/>
    <s v="Mikayla Henry"/>
    <s v="Female"/>
    <n v="43"/>
    <s v="30-45"/>
    <x v="14"/>
    <s v="English"/>
    <s v="Mobile Apps"/>
    <n v="1"/>
    <x v="2"/>
    <n v="50"/>
    <n v="50000"/>
    <x v="1"/>
    <n v="1.8"/>
    <x v="1"/>
    <n v="0.64"/>
    <s v="Needs Imporovement"/>
  </r>
  <r>
    <s v="FL250212"/>
    <s v="Jacob Kerr"/>
    <s v="Male"/>
    <n v="57"/>
    <s v="55+"/>
    <x v="12"/>
    <s v="Korean"/>
    <s v="Cybersecurity"/>
    <n v="8"/>
    <x v="0"/>
    <n v="20"/>
    <n v="20000"/>
    <x v="2"/>
    <n v="3"/>
    <x v="1"/>
    <n v="0.84"/>
    <s v="Average"/>
  </r>
  <r>
    <s v="FL250213"/>
    <s v="Ryan Johnson"/>
    <s v="Male"/>
    <n v="52"/>
    <s v="46-55"/>
    <x v="0"/>
    <s v="Italian"/>
    <s v="Machine Learning"/>
    <n v="30"/>
    <x v="3"/>
    <n v="20"/>
    <n v="20000"/>
    <x v="2"/>
    <n v="5"/>
    <x v="0"/>
    <n v="0.87"/>
    <s v="Top Performer"/>
  </r>
  <r>
    <s v="FL250214"/>
    <s v="Michael Ruiz"/>
    <s v="Male"/>
    <n v="48"/>
    <s v="46-55"/>
    <x v="2"/>
    <s v="German"/>
    <s v="Blockchain Development"/>
    <n v="8"/>
    <x v="0"/>
    <n v="40"/>
    <n v="40000"/>
    <x v="1"/>
    <n v="3"/>
    <x v="0"/>
    <n v="0.64"/>
    <s v="Average"/>
  </r>
  <r>
    <s v="FL250215"/>
    <s v="Monica Roberts"/>
    <s v="Female"/>
    <n v="22"/>
    <s v="18-29"/>
    <x v="4"/>
    <s v="Indonesian"/>
    <s v="Machine Learning"/>
    <n v="0"/>
    <x v="2"/>
    <n v="100"/>
    <n v="100000"/>
    <x v="0"/>
    <n v="1.8"/>
    <x v="1"/>
    <n v="0.64"/>
    <s v="Needs Imporovement"/>
  </r>
  <r>
    <s v="FL250216"/>
    <s v="Danny Brown"/>
    <s v="Male"/>
    <n v="35"/>
    <s v="30-45"/>
    <x v="10"/>
    <s v="Hindi"/>
    <s v="Machine Learning"/>
    <n v="12"/>
    <x v="0"/>
    <n v="20"/>
    <n v="20000"/>
    <x v="2"/>
    <n v="3.8"/>
    <x v="1"/>
    <n v="0.8"/>
    <s v="Average"/>
  </r>
  <r>
    <s v="FL250217"/>
    <s v="Karen Larsen"/>
    <s v="Female"/>
    <n v="58"/>
    <s v="55+"/>
    <x v="20"/>
    <s v="Spanish"/>
    <s v="Mobile Apps"/>
    <n v="4"/>
    <x v="2"/>
    <n v="50"/>
    <n v="50000"/>
    <x v="1"/>
    <n v="2.5"/>
    <x v="0"/>
    <n v="0.9"/>
    <s v="Needs Imporovement"/>
  </r>
  <r>
    <s v="FL250218"/>
    <s v="Robert Evans"/>
    <s v="Male"/>
    <n v="39"/>
    <s v="30-45"/>
    <x v="12"/>
    <s v="Korean"/>
    <s v="Web Development"/>
    <n v="14"/>
    <x v="4"/>
    <n v="100"/>
    <n v="100000"/>
    <x v="0"/>
    <n v="3.8"/>
    <x v="1"/>
    <n v="0.92"/>
    <s v="Average"/>
  </r>
  <r>
    <s v="FL250219"/>
    <s v="Sean Poole"/>
    <s v="Male"/>
    <n v="32"/>
    <s v="30-45"/>
    <x v="4"/>
    <s v="Indonesian"/>
    <s v="Graphic Design"/>
    <n v="14"/>
    <x v="4"/>
    <n v="50"/>
    <n v="50000"/>
    <x v="1"/>
    <n v="3.8"/>
    <x v="0"/>
    <n v="0.96"/>
    <s v="Average"/>
  </r>
  <r>
    <s v="FL250220"/>
    <s v="Richard Quinn"/>
    <s v="Male"/>
    <n v="37"/>
    <s v="30-45"/>
    <x v="14"/>
    <s v="English"/>
    <s v="UI/UX Design"/>
    <n v="2"/>
    <x v="2"/>
    <n v="30"/>
    <n v="30000"/>
    <x v="2"/>
    <n v="2.5"/>
    <x v="1"/>
    <n v="0.35"/>
    <s v="Needs Imporovement"/>
  </r>
  <r>
    <s v="FL250221"/>
    <s v="Jennifer Gonzalez"/>
    <s v="Female"/>
    <n v="21"/>
    <s v="18-29"/>
    <x v="18"/>
    <s v="Mandarin"/>
    <s v="Cybersecurity"/>
    <n v="2"/>
    <x v="2"/>
    <n v="100"/>
    <n v="100000"/>
    <x v="0"/>
    <n v="2.5"/>
    <x v="1"/>
    <n v="0.35"/>
    <s v="Needs Imporovement"/>
  </r>
  <r>
    <s v="FL250222"/>
    <s v="James Skinner"/>
    <s v="Male"/>
    <n v="41"/>
    <s v="30-45"/>
    <x v="12"/>
    <s v="Korean"/>
    <s v="Machine Learning"/>
    <n v="4"/>
    <x v="2"/>
    <n v="75"/>
    <n v="75000"/>
    <x v="1"/>
    <n v="2.5"/>
    <x v="0"/>
    <n v="0.85"/>
    <s v="Needs Imporovement"/>
  </r>
  <r>
    <s v="FL250223"/>
    <s v="Michelle Hill"/>
    <s v="Female"/>
    <n v="21"/>
    <s v="18-29"/>
    <x v="14"/>
    <s v="English"/>
    <s v="AI"/>
    <n v="0"/>
    <x v="2"/>
    <n v="40"/>
    <n v="40000"/>
    <x v="1"/>
    <n v="1.8"/>
    <x v="0"/>
    <n v="0.79"/>
    <s v="Needs Imporovement"/>
  </r>
  <r>
    <s v="FL250224"/>
    <s v="Jacqueline Williams"/>
    <s v="Female"/>
    <n v="58"/>
    <s v="55+"/>
    <x v="18"/>
    <s v="Mandarin"/>
    <s v="Machine Learning"/>
    <n v="9"/>
    <x v="0"/>
    <n v="30"/>
    <n v="30000"/>
    <x v="2"/>
    <n v="3"/>
    <x v="1"/>
    <n v="0.65"/>
    <s v="Average"/>
  </r>
  <r>
    <s v="FL250225"/>
    <s v="Darrell Johnson"/>
    <s v="Male"/>
    <n v="60"/>
    <s v="55+"/>
    <x v="14"/>
    <s v="English"/>
    <s v="Machine Learning"/>
    <n v="3"/>
    <x v="2"/>
    <n v="40"/>
    <n v="40000"/>
    <x v="1"/>
    <n v="2.5"/>
    <x v="0"/>
    <n v="0.63"/>
    <s v="Needs Imporovement"/>
  </r>
  <r>
    <s v="FL250226"/>
    <s v="Ryan Crawford"/>
    <s v="Male"/>
    <n v="27"/>
    <s v="18-29"/>
    <x v="17"/>
    <s v="Afrikaans"/>
    <s v="Web Development"/>
    <n v="2"/>
    <x v="2"/>
    <n v="40"/>
    <n v="40000"/>
    <x v="1"/>
    <n v="2.5"/>
    <x v="0"/>
    <n v="0.35"/>
    <s v="Needs Imporovement"/>
  </r>
  <r>
    <s v="FL250227"/>
    <s v="Chelsea Barber"/>
    <s v="Female"/>
    <n v="29"/>
    <s v="18-29"/>
    <x v="2"/>
    <s v="German"/>
    <s v="Machine Learning"/>
    <n v="10"/>
    <x v="0"/>
    <n v="40"/>
    <n v="40000"/>
    <x v="1"/>
    <n v="3.8"/>
    <x v="0"/>
    <n v="0.78"/>
    <s v="Average"/>
  </r>
  <r>
    <s v="FL250228"/>
    <s v="Elaine Martinez"/>
    <s v="Female"/>
    <n v="54"/>
    <s v="46-55"/>
    <x v="14"/>
    <s v="English"/>
    <s v="Graphic Design"/>
    <n v="33"/>
    <x v="1"/>
    <n v="75"/>
    <n v="75000"/>
    <x v="1"/>
    <n v="5"/>
    <x v="1"/>
    <n v="0.62"/>
    <s v="Top Performer"/>
  </r>
  <r>
    <s v="FL250229"/>
    <s v="Joseph Kent"/>
    <s v="Male"/>
    <n v="52"/>
    <s v="46-55"/>
    <x v="19"/>
    <s v="Spanish"/>
    <s v="Machine Learning"/>
    <n v="12"/>
    <x v="0"/>
    <n v="40"/>
    <n v="40000"/>
    <x v="1"/>
    <n v="3.8"/>
    <x v="0"/>
    <n v="0.76"/>
    <s v="Average"/>
  </r>
  <r>
    <s v="FL250230"/>
    <s v="Megan Welch"/>
    <s v="Female"/>
    <n v="55"/>
    <s v="46-55"/>
    <x v="4"/>
    <s v="Indonesian"/>
    <s v="Blockchain Development"/>
    <n v="18"/>
    <x v="4"/>
    <n v="100"/>
    <n v="100000"/>
    <x v="0"/>
    <n v="4"/>
    <x v="0"/>
    <n v="0.97"/>
    <s v="Top Performer"/>
  </r>
  <r>
    <s v="FL250231"/>
    <s v="Stephen Ramirez"/>
    <s v="Male"/>
    <n v="37"/>
    <s v="30-45"/>
    <x v="11"/>
    <s v="Portuguese"/>
    <s v="Blockchain Development"/>
    <n v="4"/>
    <x v="2"/>
    <n v="45"/>
    <n v="45000"/>
    <x v="1"/>
    <n v="2.5"/>
    <x v="0"/>
    <n v="0.35"/>
    <s v="Needs Imporovement"/>
  </r>
  <r>
    <s v="FL250232"/>
    <s v="Chloe Gray"/>
    <s v="Female"/>
    <n v="34"/>
    <s v="30-45"/>
    <x v="16"/>
    <s v="Arabic"/>
    <s v="Data Analysis"/>
    <n v="11"/>
    <x v="0"/>
    <n v="50"/>
    <n v="50000"/>
    <x v="1"/>
    <n v="3.8"/>
    <x v="1"/>
    <n v="0.82"/>
    <s v="Average"/>
  </r>
  <r>
    <s v="FL250233"/>
    <s v="Michael Williams Jr."/>
    <s v="Male"/>
    <n v="20"/>
    <s v="18-29"/>
    <x v="15"/>
    <s v="French"/>
    <s v="Data Analysis"/>
    <n v="1"/>
    <x v="2"/>
    <n v="50"/>
    <n v="50000"/>
    <x v="1"/>
    <n v="1.8"/>
    <x v="0"/>
    <n v="0.71"/>
    <s v="Needs Imporovement"/>
  </r>
  <r>
    <s v="FL250234"/>
    <s v="Matthew Martin"/>
    <s v="Male"/>
    <n v="22"/>
    <s v="18-29"/>
    <x v="19"/>
    <s v="Spanish"/>
    <s v="UI/UX Design"/>
    <n v="2"/>
    <x v="2"/>
    <n v="40"/>
    <n v="40000"/>
    <x v="1"/>
    <n v="2.5"/>
    <x v="1"/>
    <n v="0.35"/>
    <s v="Needs Imporovement"/>
  </r>
  <r>
    <s v="FL250235"/>
    <s v="Julia Murphy"/>
    <s v="Female"/>
    <n v="23"/>
    <s v="18-29"/>
    <x v="12"/>
    <s v="Korean"/>
    <s v="Graphic Design"/>
    <n v="2"/>
    <x v="2"/>
    <n v="50"/>
    <n v="50000"/>
    <x v="1"/>
    <n v="2.5"/>
    <x v="1"/>
    <n v="0.35"/>
    <s v="Needs Imporovement"/>
  </r>
  <r>
    <s v="FL250236"/>
    <s v="Anna Evans"/>
    <s v="Female"/>
    <n v="53"/>
    <s v="46-55"/>
    <x v="12"/>
    <s v="Korean"/>
    <s v="Blockchain Development"/>
    <n v="34"/>
    <x v="1"/>
    <n v="30"/>
    <n v="30000"/>
    <x v="2"/>
    <n v="5"/>
    <x v="1"/>
    <n v="1"/>
    <s v="Top Performer"/>
  </r>
  <r>
    <s v="FL250237"/>
    <s v="Brenda Fleming"/>
    <s v="Female"/>
    <n v="56"/>
    <s v="55+"/>
    <x v="12"/>
    <s v="Korean"/>
    <s v="Graphic Design"/>
    <n v="27"/>
    <x v="3"/>
    <n v="100"/>
    <n v="100000"/>
    <x v="0"/>
    <n v="4.8"/>
    <x v="1"/>
    <n v="0.69"/>
    <s v="Top Performer"/>
  </r>
  <r>
    <s v="FL250238"/>
    <s v="Daniel Harrington"/>
    <s v="Male"/>
    <n v="27"/>
    <s v="18-29"/>
    <x v="14"/>
    <s v="English"/>
    <s v="AI"/>
    <n v="4"/>
    <x v="2"/>
    <n v="75"/>
    <n v="75000"/>
    <x v="1"/>
    <n v="2.5"/>
    <x v="0"/>
    <n v="0.88"/>
    <s v="Needs Imporovement"/>
  </r>
  <r>
    <s v="FL250239"/>
    <s v="Daniel Barnett"/>
    <s v="Male"/>
    <n v="34"/>
    <s v="30-45"/>
    <x v="0"/>
    <s v="Italian"/>
    <s v="Mobile Apps"/>
    <n v="11"/>
    <x v="0"/>
    <n v="40"/>
    <n v="40000"/>
    <x v="1"/>
    <n v="3.8"/>
    <x v="0"/>
    <n v="0.67"/>
    <s v="Average"/>
  </r>
  <r>
    <s v="FL250240"/>
    <s v="Mark Cummings"/>
    <s v="Male"/>
    <n v="29"/>
    <s v="18-29"/>
    <x v="5"/>
    <s v="English"/>
    <s v="Web Development"/>
    <n v="4"/>
    <x v="2"/>
    <n v="50"/>
    <n v="50000"/>
    <x v="1"/>
    <n v="2.5"/>
    <x v="0"/>
    <n v="0.35"/>
    <s v="Needs Imporovement"/>
  </r>
  <r>
    <s v="FL250241"/>
    <s v="Christopher Guerra"/>
    <s v="Male"/>
    <n v="34"/>
    <s v="30-45"/>
    <x v="10"/>
    <s v="Hindi"/>
    <s v="AI"/>
    <n v="11"/>
    <x v="0"/>
    <n v="60"/>
    <n v="60000"/>
    <x v="1"/>
    <n v="3.8"/>
    <x v="1"/>
    <n v="0.75"/>
    <s v="Average"/>
  </r>
  <r>
    <s v="FL250242"/>
    <s v="Sarah Ho"/>
    <s v="Female"/>
    <n v="32"/>
    <s v="30-45"/>
    <x v="19"/>
    <s v="Spanish"/>
    <s v="AI"/>
    <n v="1"/>
    <x v="2"/>
    <n v="100"/>
    <n v="100000"/>
    <x v="0"/>
    <n v="1.8"/>
    <x v="0"/>
    <n v="0.67"/>
    <s v="Needs Imporovement"/>
  </r>
  <r>
    <s v="FL250243"/>
    <s v="Veronica Thomas"/>
    <s v="Female"/>
    <n v="21"/>
    <s v="18-29"/>
    <x v="17"/>
    <s v="Afrikaans"/>
    <s v="Machine Learning"/>
    <n v="2"/>
    <x v="2"/>
    <n v="20"/>
    <n v="20000"/>
    <x v="2"/>
    <n v="2.5"/>
    <x v="0"/>
    <n v="0.86"/>
    <s v="Needs Imporovement"/>
  </r>
  <r>
    <s v="FL250244"/>
    <s v="Mitchell Watson"/>
    <s v="Male"/>
    <n v="20"/>
    <s v="18-29"/>
    <x v="19"/>
    <s v="Spanish"/>
    <s v="Graphic Design"/>
    <n v="2"/>
    <x v="2"/>
    <n v="20"/>
    <n v="20000"/>
    <x v="2"/>
    <n v="2.5"/>
    <x v="0"/>
    <n v="0.69"/>
    <s v="Needs Imporovement"/>
  </r>
  <r>
    <s v="FL250245"/>
    <s v="Monica Murphy"/>
    <s v="Female"/>
    <n v="35"/>
    <s v="30-45"/>
    <x v="5"/>
    <s v="English"/>
    <s v="Mobile Apps"/>
    <n v="10"/>
    <x v="0"/>
    <n v="50"/>
    <n v="50000"/>
    <x v="1"/>
    <n v="3.8"/>
    <x v="1"/>
    <n v="0.85"/>
    <s v="Average"/>
  </r>
  <r>
    <s v="FL250246"/>
    <s v="Kristen Williams"/>
    <s v="Female"/>
    <n v="47"/>
    <s v="46-55"/>
    <x v="5"/>
    <s v="English"/>
    <s v="UI/UX Design"/>
    <n v="18"/>
    <x v="4"/>
    <n v="40"/>
    <n v="40000"/>
    <x v="1"/>
    <n v="4"/>
    <x v="0"/>
    <n v="0.6"/>
    <s v="Top Performer"/>
  </r>
  <r>
    <s v="FL250247"/>
    <s v="Nicole Wright"/>
    <s v="Female"/>
    <n v="41"/>
    <s v="30-45"/>
    <x v="6"/>
    <s v="Turkish"/>
    <s v="Blockchain Development"/>
    <n v="4"/>
    <x v="2"/>
    <n v="40"/>
    <n v="40000"/>
    <x v="1"/>
    <n v="2.5"/>
    <x v="1"/>
    <n v="0.7"/>
    <s v="Needs Imporovement"/>
  </r>
  <r>
    <s v="FL250248"/>
    <s v="Andrew Ruiz"/>
    <s v="Male"/>
    <n v="58"/>
    <s v="55+"/>
    <x v="8"/>
    <s v="Spanish"/>
    <s v="Web Development"/>
    <n v="23"/>
    <x v="3"/>
    <n v="75"/>
    <n v="75000"/>
    <x v="1"/>
    <n v="4"/>
    <x v="0"/>
    <n v="0.85"/>
    <s v="Top Performer"/>
  </r>
  <r>
    <s v="FL250249"/>
    <s v="Zachary Jackson"/>
    <s v="Male"/>
    <n v="34"/>
    <s v="30-45"/>
    <x v="18"/>
    <s v="Mandarin"/>
    <s v="Data Analysis"/>
    <n v="6"/>
    <x v="0"/>
    <n v="75"/>
    <n v="75000"/>
    <x v="1"/>
    <n v="3"/>
    <x v="1"/>
    <n v="0.81"/>
    <s v="Average"/>
  </r>
  <r>
    <s v="FL250250"/>
    <s v="Stephanie Carter"/>
    <s v="Female"/>
    <n v="50"/>
    <s v="46-55"/>
    <x v="10"/>
    <s v="Hindi"/>
    <s v="Mobile Apps"/>
    <n v="5"/>
    <x v="0"/>
    <n v="100"/>
    <n v="100000"/>
    <x v="0"/>
    <n v="3"/>
    <x v="1"/>
    <n v="0.6"/>
    <s v="Average"/>
  </r>
  <r>
    <s v="FL250251"/>
    <s v="Amy Olson"/>
    <s v="Female"/>
    <n v="42"/>
    <s v="30-45"/>
    <x v="19"/>
    <s v="Spanish"/>
    <s v="DevOps"/>
    <n v="19"/>
    <x v="4"/>
    <n v="75"/>
    <n v="75000"/>
    <x v="1"/>
    <n v="4"/>
    <x v="0"/>
    <n v="0.78"/>
    <s v="Top Performer"/>
  </r>
  <r>
    <s v="FL250252"/>
    <s v="Fred Stark"/>
    <s v="Male"/>
    <n v="43"/>
    <s v="30-45"/>
    <x v="2"/>
    <s v="German"/>
    <s v="UI/UX Design"/>
    <n v="6"/>
    <x v="0"/>
    <n v="50"/>
    <n v="50000"/>
    <x v="1"/>
    <n v="3"/>
    <x v="0"/>
    <n v="0.81"/>
    <s v="Average"/>
  </r>
  <r>
    <s v="FL250253"/>
    <s v="Jacob Gill"/>
    <s v="Male"/>
    <n v="34"/>
    <s v="30-45"/>
    <x v="2"/>
    <s v="German"/>
    <s v="Data Analysis"/>
    <n v="8"/>
    <x v="0"/>
    <n v="75"/>
    <n v="75000"/>
    <x v="1"/>
    <n v="3"/>
    <x v="1"/>
    <n v="0.71"/>
    <s v="Average"/>
  </r>
  <r>
    <s v="FL250254"/>
    <s v="Anthony Nichols"/>
    <s v="Male"/>
    <n v="24"/>
    <s v="18-29"/>
    <x v="20"/>
    <s v="Spanish"/>
    <s v="Mobile Apps"/>
    <n v="3"/>
    <x v="2"/>
    <n v="75"/>
    <n v="75000"/>
    <x v="1"/>
    <n v="2.5"/>
    <x v="0"/>
    <n v="0.35"/>
    <s v="Needs Imporovement"/>
  </r>
  <r>
    <s v="FL250255"/>
    <s v="William Knapp"/>
    <s v="Male"/>
    <n v="48"/>
    <s v="46-55"/>
    <x v="17"/>
    <s v="Afrikaans"/>
    <s v="UI/UX Design"/>
    <n v="8"/>
    <x v="0"/>
    <n v="30"/>
    <n v="30000"/>
    <x v="2"/>
    <n v="3"/>
    <x v="1"/>
    <n v="0.99"/>
    <s v="Average"/>
  </r>
  <r>
    <s v="FL250256"/>
    <s v="Elizabeth Walker"/>
    <s v="Female"/>
    <n v="39"/>
    <s v="30-45"/>
    <x v="12"/>
    <s v="Korean"/>
    <s v="Data Analysis"/>
    <n v="12"/>
    <x v="0"/>
    <n v="20"/>
    <n v="20000"/>
    <x v="2"/>
    <n v="3.8"/>
    <x v="1"/>
    <n v="0.66"/>
    <s v="Average"/>
  </r>
  <r>
    <s v="FL250257"/>
    <s v="Brenda Reeves"/>
    <s v="Female"/>
    <n v="57"/>
    <s v="55+"/>
    <x v="1"/>
    <s v="English"/>
    <s v="Blockchain Development"/>
    <n v="30"/>
    <x v="3"/>
    <n v="30"/>
    <n v="30000"/>
    <x v="2"/>
    <n v="5"/>
    <x v="1"/>
    <n v="0.8"/>
    <s v="Top Performer"/>
  </r>
  <r>
    <s v="FL250258"/>
    <s v="Carrie Little"/>
    <s v="Female"/>
    <n v="44"/>
    <s v="30-45"/>
    <x v="14"/>
    <s v="English"/>
    <s v="Web Development"/>
    <n v="21"/>
    <x v="3"/>
    <n v="100"/>
    <n v="100000"/>
    <x v="0"/>
    <n v="4"/>
    <x v="0"/>
    <n v="0.83"/>
    <s v="Top Performer"/>
  </r>
  <r>
    <s v="FL250259"/>
    <s v="Steven Jackson"/>
    <s v="Male"/>
    <n v="37"/>
    <s v="30-45"/>
    <x v="11"/>
    <s v="Portuguese"/>
    <s v="UI/UX Design"/>
    <n v="17"/>
    <x v="4"/>
    <n v="20"/>
    <n v="20000"/>
    <x v="2"/>
    <n v="4"/>
    <x v="1"/>
    <n v="0.87"/>
    <s v="Top Performer"/>
  </r>
  <r>
    <s v="FL250260"/>
    <s v="Mark Perry"/>
    <s v="Male"/>
    <n v="50"/>
    <s v="46-55"/>
    <x v="6"/>
    <s v="Turkish"/>
    <s v="Data Analysis"/>
    <n v="9"/>
    <x v="0"/>
    <n v="30"/>
    <n v="30000"/>
    <x v="2"/>
    <n v="3"/>
    <x v="0"/>
    <n v="0.76"/>
    <s v="Average"/>
  </r>
  <r>
    <s v="FL250261"/>
    <s v="Cameron Spencer"/>
    <s v="Male"/>
    <n v="50"/>
    <s v="46-55"/>
    <x v="20"/>
    <s v="Spanish"/>
    <s v="UI/UX Design"/>
    <n v="2"/>
    <x v="2"/>
    <n v="50"/>
    <n v="50000"/>
    <x v="1"/>
    <n v="2.5"/>
    <x v="0"/>
    <n v="0.89"/>
    <s v="Needs Imporovement"/>
  </r>
  <r>
    <s v="FL250262"/>
    <s v="Jennifer Holmes"/>
    <s v="Female"/>
    <n v="28"/>
    <s v="18-29"/>
    <x v="15"/>
    <s v="French"/>
    <s v="Graphic Design"/>
    <n v="1"/>
    <x v="2"/>
    <n v="20"/>
    <n v="20000"/>
    <x v="2"/>
    <n v="1.8"/>
    <x v="1"/>
    <n v="0.94"/>
    <s v="Needs Imporovement"/>
  </r>
  <r>
    <s v="FL250263"/>
    <s v="Jacob Joseph"/>
    <s v="Male"/>
    <n v="48"/>
    <s v="46-55"/>
    <x v="0"/>
    <s v="Italian"/>
    <s v="Web Development"/>
    <n v="23"/>
    <x v="3"/>
    <n v="70"/>
    <n v="70000"/>
    <x v="1"/>
    <n v="4"/>
    <x v="0"/>
    <n v="0.68"/>
    <s v="Top Performer"/>
  </r>
  <r>
    <s v="FL250264"/>
    <s v="Jeffery Tucker"/>
    <s v="Male"/>
    <n v="42"/>
    <s v="30-45"/>
    <x v="2"/>
    <s v="German"/>
    <s v="DevOps"/>
    <n v="8"/>
    <x v="0"/>
    <n v="30"/>
    <n v="30000"/>
    <x v="2"/>
    <n v="3"/>
    <x v="1"/>
    <n v="0.96"/>
    <s v="Average"/>
  </r>
  <r>
    <s v="FL250265"/>
    <s v="Jacqueline Drake"/>
    <s v="Female"/>
    <n v="37"/>
    <s v="30-45"/>
    <x v="14"/>
    <s v="English"/>
    <s v="Data Analysis"/>
    <n v="6"/>
    <x v="0"/>
    <n v="20"/>
    <n v="20000"/>
    <x v="2"/>
    <n v="3"/>
    <x v="1"/>
    <n v="0.91"/>
    <s v="Average"/>
  </r>
  <r>
    <s v="FL250266"/>
    <s v="Brian Bautista"/>
    <s v="Male"/>
    <n v="21"/>
    <s v="18-29"/>
    <x v="10"/>
    <s v="Hindi"/>
    <s v="Blockchain Development"/>
    <n v="1"/>
    <x v="2"/>
    <n v="100"/>
    <n v="100000"/>
    <x v="0"/>
    <n v="1.8"/>
    <x v="1"/>
    <n v="0.92"/>
    <s v="Needs Imporovement"/>
  </r>
  <r>
    <s v="FL250267"/>
    <s v="Dakota Wells"/>
    <s v="Male"/>
    <n v="50"/>
    <s v="46-55"/>
    <x v="12"/>
    <s v="Korean"/>
    <s v="Web Development"/>
    <n v="19"/>
    <x v="4"/>
    <n v="40"/>
    <n v="40000"/>
    <x v="1"/>
    <n v="4"/>
    <x v="1"/>
    <n v="0.82"/>
    <s v="Top Performer"/>
  </r>
  <r>
    <s v="FL250268"/>
    <s v="Julie White"/>
    <s v="Female"/>
    <n v="22"/>
    <s v="18-29"/>
    <x v="8"/>
    <s v="Spanish"/>
    <s v="AI"/>
    <n v="2"/>
    <x v="2"/>
    <n v="30"/>
    <n v="30000"/>
    <x v="2"/>
    <n v="2.5"/>
    <x v="0"/>
    <n v="0.35"/>
    <s v="Needs Imporovement"/>
  </r>
  <r>
    <s v="FL250269"/>
    <s v="Barbara Keith"/>
    <s v="Female"/>
    <n v="39"/>
    <s v="30-45"/>
    <x v="9"/>
    <s v="Japanese"/>
    <s v="Web Development"/>
    <n v="21"/>
    <x v="3"/>
    <n v="100"/>
    <n v="100000"/>
    <x v="0"/>
    <n v="4"/>
    <x v="0"/>
    <n v="0.91"/>
    <s v="Top Performer"/>
  </r>
  <r>
    <s v="FL250270"/>
    <s v="Heather Camacho"/>
    <s v="Female"/>
    <n v="25"/>
    <s v="18-29"/>
    <x v="9"/>
    <s v="Japanese"/>
    <s v="Machine Learning"/>
    <n v="3"/>
    <x v="2"/>
    <n v="50"/>
    <n v="50000"/>
    <x v="1"/>
    <n v="2.5"/>
    <x v="1"/>
    <n v="0.86"/>
    <s v="Needs Imporovement"/>
  </r>
  <r>
    <s v="FL250271"/>
    <s v="Melanie Harris"/>
    <s v="Female"/>
    <n v="47"/>
    <s v="46-55"/>
    <x v="17"/>
    <s v="Afrikaans"/>
    <s v="Mobile Apps"/>
    <n v="14"/>
    <x v="4"/>
    <n v="40"/>
    <n v="40000"/>
    <x v="1"/>
    <n v="3.8"/>
    <x v="0"/>
    <n v="0.69"/>
    <s v="Average"/>
  </r>
  <r>
    <s v="FL250272"/>
    <s v="Jacqueline Peterson"/>
    <s v="Female"/>
    <n v="35"/>
    <s v="30-45"/>
    <x v="17"/>
    <s v="Afrikaans"/>
    <s v="UI/UX Design"/>
    <n v="10"/>
    <x v="0"/>
    <n v="100"/>
    <n v="100000"/>
    <x v="0"/>
    <n v="3.8"/>
    <x v="1"/>
    <n v="0.84"/>
    <s v="Average"/>
  </r>
  <r>
    <s v="FL250273"/>
    <s v="Nancy Long"/>
    <s v="Female"/>
    <n v="44"/>
    <s v="30-45"/>
    <x v="7"/>
    <s v="English"/>
    <s v="Cybersecurity"/>
    <n v="5"/>
    <x v="0"/>
    <n v="100"/>
    <n v="100000"/>
    <x v="0"/>
    <n v="3"/>
    <x v="0"/>
    <n v="0.6"/>
    <s v="Average"/>
  </r>
  <r>
    <s v="FL250274"/>
    <s v="Mr. Juan Mitchell"/>
    <s v="Male"/>
    <n v="35"/>
    <s v="30-45"/>
    <x v="3"/>
    <s v="Dutch"/>
    <s v="Blockchain Development"/>
    <n v="6"/>
    <x v="0"/>
    <n v="75"/>
    <n v="75000"/>
    <x v="1"/>
    <n v="3"/>
    <x v="1"/>
    <n v="0.97"/>
    <s v="Average"/>
  </r>
  <r>
    <s v="FL250275"/>
    <s v="William Gaines"/>
    <s v="Male"/>
    <n v="59"/>
    <s v="55+"/>
    <x v="15"/>
    <s v="French"/>
    <s v="Web Development"/>
    <n v="21"/>
    <x v="3"/>
    <n v="100"/>
    <n v="100000"/>
    <x v="0"/>
    <n v="4"/>
    <x v="1"/>
    <n v="0.7"/>
    <s v="Top Performer"/>
  </r>
  <r>
    <s v="FL250276"/>
    <s v="Haley Yates"/>
    <s v="Female"/>
    <n v="26"/>
    <s v="18-29"/>
    <x v="18"/>
    <s v="Mandarin"/>
    <s v="UI/UX Design"/>
    <n v="4"/>
    <x v="2"/>
    <n v="100"/>
    <n v="100000"/>
    <x v="0"/>
    <n v="2.5"/>
    <x v="0"/>
    <n v="0.81"/>
    <s v="Needs Imporovement"/>
  </r>
  <r>
    <s v="FL250277"/>
    <s v="Richard Mcguire"/>
    <s v="Male"/>
    <n v="44"/>
    <s v="30-45"/>
    <x v="13"/>
    <s v="Russian"/>
    <s v="Machine Learning"/>
    <n v="18"/>
    <x v="4"/>
    <n v="20"/>
    <n v="20000"/>
    <x v="2"/>
    <n v="4"/>
    <x v="1"/>
    <n v="0.88"/>
    <s v="Top Performer"/>
  </r>
  <r>
    <s v="FL250278"/>
    <s v="Stephanie Fisher"/>
    <s v="Female"/>
    <n v="31"/>
    <s v="30-45"/>
    <x v="17"/>
    <s v="Afrikaans"/>
    <s v="UI/UX Design"/>
    <n v="12"/>
    <x v="0"/>
    <n v="40"/>
    <n v="40000"/>
    <x v="1"/>
    <n v="3.8"/>
    <x v="1"/>
    <n v="1"/>
    <s v="Average"/>
  </r>
  <r>
    <s v="FL250279"/>
    <s v="Anthony Goodwin DDS"/>
    <s v="Male"/>
    <n v="60"/>
    <s v="55+"/>
    <x v="6"/>
    <s v="Turkish"/>
    <s v="Data Analysis"/>
    <n v="6"/>
    <x v="0"/>
    <n v="50"/>
    <n v="50000"/>
    <x v="1"/>
    <n v="3"/>
    <x v="0"/>
    <n v="0.95"/>
    <s v="Average"/>
  </r>
  <r>
    <s v="FL250280"/>
    <s v="Meagan Walters"/>
    <s v="Female"/>
    <n v="23"/>
    <s v="18-29"/>
    <x v="7"/>
    <s v="English"/>
    <s v="Blockchain Development"/>
    <n v="4"/>
    <x v="2"/>
    <n v="20"/>
    <n v="20000"/>
    <x v="2"/>
    <n v="2.5"/>
    <x v="0"/>
    <n v="0.71"/>
    <s v="Needs Imporovement"/>
  </r>
  <r>
    <s v="FL250281"/>
    <s v="David Powell"/>
    <s v="Male"/>
    <n v="42"/>
    <s v="30-45"/>
    <x v="4"/>
    <s v="Indonesian"/>
    <s v="UI/UX Design"/>
    <n v="13"/>
    <x v="4"/>
    <n v="20"/>
    <n v="20000"/>
    <x v="2"/>
    <n v="3.8"/>
    <x v="0"/>
    <n v="0.85"/>
    <s v="Average"/>
  </r>
  <r>
    <s v="FL250282"/>
    <s v="Kelly Jones"/>
    <s v="Female"/>
    <n v="48"/>
    <s v="46-55"/>
    <x v="10"/>
    <s v="Hindi"/>
    <s v="Mobile Apps"/>
    <n v="6"/>
    <x v="0"/>
    <n v="30"/>
    <n v="30000"/>
    <x v="2"/>
    <n v="3"/>
    <x v="0"/>
    <n v="0.96"/>
    <s v="Average"/>
  </r>
  <r>
    <s v="FL250283"/>
    <s v="Dr. Michael Aguilar"/>
    <s v="Male"/>
    <n v="42"/>
    <s v="30-45"/>
    <x v="3"/>
    <s v="Dutch"/>
    <s v="Graphic Design"/>
    <n v="10"/>
    <x v="0"/>
    <n v="20"/>
    <n v="20000"/>
    <x v="2"/>
    <n v="3.8"/>
    <x v="1"/>
    <n v="0.92"/>
    <s v="Average"/>
  </r>
  <r>
    <s v="FL250284"/>
    <s v="Alex Novak"/>
    <s v="Male"/>
    <n v="52"/>
    <s v="46-55"/>
    <x v="12"/>
    <s v="Korean"/>
    <s v="Cybersecurity"/>
    <n v="20"/>
    <x v="4"/>
    <n v="50"/>
    <n v="50000"/>
    <x v="1"/>
    <n v="4"/>
    <x v="0"/>
    <n v="0.79"/>
    <s v="Top Performer"/>
  </r>
  <r>
    <s v="FL250285"/>
    <s v="Ann Contreras"/>
    <s v="Female"/>
    <n v="55"/>
    <s v="46-55"/>
    <x v="9"/>
    <s v="Japanese"/>
    <s v="Web Development"/>
    <n v="20"/>
    <x v="4"/>
    <n v="75"/>
    <n v="75000"/>
    <x v="1"/>
    <n v="4"/>
    <x v="0"/>
    <n v="0.85"/>
    <s v="Top Performer"/>
  </r>
  <r>
    <s v="FL250286"/>
    <s v="Mary Reed"/>
    <s v="Female"/>
    <n v="58"/>
    <s v="55+"/>
    <x v="17"/>
    <s v="Afrikaans"/>
    <s v="Cybersecurity"/>
    <n v="11"/>
    <x v="0"/>
    <n v="50"/>
    <n v="50000"/>
    <x v="1"/>
    <n v="3.8"/>
    <x v="0"/>
    <n v="0.75"/>
    <s v="Average"/>
  </r>
  <r>
    <s v="FL250287"/>
    <s v="Lauren Ross"/>
    <s v="Female"/>
    <n v="46"/>
    <s v="46-55"/>
    <x v="12"/>
    <s v="Korean"/>
    <s v="Machine Learning"/>
    <n v="12"/>
    <x v="0"/>
    <n v="20"/>
    <n v="20000"/>
    <x v="2"/>
    <n v="3.8"/>
    <x v="0"/>
    <n v="0.89"/>
    <s v="Average"/>
  </r>
  <r>
    <s v="FL250288"/>
    <s v="Candice Wise"/>
    <s v="Female"/>
    <n v="45"/>
    <s v="30-45"/>
    <x v="20"/>
    <s v="Spanish"/>
    <s v="Machine Learning"/>
    <n v="1"/>
    <x v="2"/>
    <n v="100"/>
    <n v="100000"/>
    <x v="0"/>
    <n v="1.8"/>
    <x v="1"/>
    <n v="1"/>
    <s v="Needs Imporovement"/>
  </r>
  <r>
    <s v="FL250289"/>
    <s v="Joyce Humphrey"/>
    <s v="Female"/>
    <n v="56"/>
    <s v="55+"/>
    <x v="10"/>
    <s v="Hindi"/>
    <s v="Machine Learning"/>
    <n v="2"/>
    <x v="2"/>
    <n v="30"/>
    <n v="30000"/>
    <x v="2"/>
    <n v="2.5"/>
    <x v="1"/>
    <n v="0.81"/>
    <s v="Needs Imporovement"/>
  </r>
  <r>
    <s v="FL250290"/>
    <s v="James Carr"/>
    <s v="Male"/>
    <n v="44"/>
    <s v="30-45"/>
    <x v="7"/>
    <s v="English"/>
    <s v="Blockchain Development"/>
    <n v="13"/>
    <x v="4"/>
    <n v="100"/>
    <n v="100000"/>
    <x v="0"/>
    <n v="3.8"/>
    <x v="1"/>
    <n v="0.95"/>
    <s v="Average"/>
  </r>
  <r>
    <s v="FL250291"/>
    <s v="Joseph Mendoza"/>
    <s v="Male"/>
    <n v="46"/>
    <s v="46-55"/>
    <x v="4"/>
    <s v="Indonesian"/>
    <s v="UI/UX Design"/>
    <n v="0"/>
    <x v="2"/>
    <n v="40"/>
    <n v="40000"/>
    <x v="1"/>
    <n v="1.8"/>
    <x v="0"/>
    <n v="0.88"/>
    <s v="Needs Imporovement"/>
  </r>
  <r>
    <s v="FL250292"/>
    <s v="Cathy Baldwin"/>
    <s v="Female"/>
    <n v="27"/>
    <s v="18-29"/>
    <x v="9"/>
    <s v="Japanese"/>
    <s v="Web Development"/>
    <n v="7"/>
    <x v="0"/>
    <n v="30"/>
    <n v="30000"/>
    <x v="2"/>
    <n v="3"/>
    <x v="1"/>
    <n v="0.66"/>
    <s v="Average"/>
  </r>
  <r>
    <s v="FL250293"/>
    <s v="Christine Hart"/>
    <s v="Female"/>
    <n v="49"/>
    <s v="46-55"/>
    <x v="10"/>
    <s v="Hindi"/>
    <s v="Blockchain Development"/>
    <n v="13"/>
    <x v="4"/>
    <n v="100"/>
    <n v="100000"/>
    <x v="0"/>
    <n v="3.8"/>
    <x v="1"/>
    <n v="0.84"/>
    <s v="Average"/>
  </r>
  <r>
    <s v="FL250294"/>
    <s v="Mike Stanley"/>
    <s v="Male"/>
    <n v="53"/>
    <s v="46-55"/>
    <x v="19"/>
    <s v="Spanish"/>
    <s v="Web Development"/>
    <n v="21"/>
    <x v="3"/>
    <n v="50"/>
    <n v="50000"/>
    <x v="1"/>
    <n v="4"/>
    <x v="0"/>
    <n v="0.85"/>
    <s v="Top Performer"/>
  </r>
  <r>
    <s v="FL250295"/>
    <s v="Jeffrey Edwards"/>
    <s v="Male"/>
    <n v="56"/>
    <s v="55+"/>
    <x v="1"/>
    <s v="English"/>
    <s v="Web Development"/>
    <n v="19"/>
    <x v="4"/>
    <n v="40"/>
    <n v="40000"/>
    <x v="1"/>
    <n v="4"/>
    <x v="1"/>
    <n v="0.82"/>
    <s v="Top Performer"/>
  </r>
  <r>
    <s v="FL250296"/>
    <s v="Amy Lee"/>
    <s v="Female"/>
    <n v="56"/>
    <s v="55+"/>
    <x v="7"/>
    <s v="English"/>
    <s v="DevOps"/>
    <n v="34"/>
    <x v="1"/>
    <n v="70"/>
    <n v="70000"/>
    <x v="1"/>
    <n v="5"/>
    <x v="1"/>
    <n v="0.84"/>
    <s v="Top Performer"/>
  </r>
  <r>
    <s v="FL250297"/>
    <s v="Mark Thompson"/>
    <s v="Male"/>
    <n v="38"/>
    <s v="30-45"/>
    <x v="17"/>
    <s v="Afrikaans"/>
    <s v="Data Analysis"/>
    <n v="3"/>
    <x v="2"/>
    <n v="100"/>
    <n v="100000"/>
    <x v="0"/>
    <n v="2.5"/>
    <x v="0"/>
    <n v="0.73"/>
    <s v="Needs Imporovement"/>
  </r>
  <r>
    <s v="FL250298"/>
    <s v="Alex Wilson"/>
    <s v="Male"/>
    <n v="20"/>
    <s v="18-29"/>
    <x v="12"/>
    <s v="Korean"/>
    <s v="Mobile Apps"/>
    <n v="0"/>
    <x v="2"/>
    <n v="30"/>
    <n v="30000"/>
    <x v="2"/>
    <n v="1.8"/>
    <x v="0"/>
    <n v="0.93"/>
    <s v="Needs Imporovement"/>
  </r>
  <r>
    <s v="FL250299"/>
    <s v="Nancy Mendez"/>
    <s v="Female"/>
    <n v="38"/>
    <s v="30-45"/>
    <x v="14"/>
    <s v="English"/>
    <s v="Machine Learning"/>
    <n v="20"/>
    <x v="4"/>
    <n v="50"/>
    <n v="50000"/>
    <x v="1"/>
    <n v="4"/>
    <x v="1"/>
    <n v="0.64"/>
    <s v="Top Performer"/>
  </r>
  <r>
    <s v="FL250300"/>
    <s v="Beth Crane"/>
    <s v="Female"/>
    <n v="44"/>
    <s v="30-45"/>
    <x v="3"/>
    <s v="Dutch"/>
    <s v="Mobile Apps"/>
    <n v="6"/>
    <x v="0"/>
    <n v="40"/>
    <n v="40000"/>
    <x v="1"/>
    <n v="3"/>
    <x v="0"/>
    <n v="0.76"/>
    <s v="Average"/>
  </r>
  <r>
    <s v="FL250301"/>
    <s v="Miguel Rogers"/>
    <s v="Male"/>
    <n v="46"/>
    <s v="46-55"/>
    <x v="10"/>
    <s v="Hindi"/>
    <s v="Machine Learning"/>
    <n v="13"/>
    <x v="4"/>
    <n v="100"/>
    <n v="100000"/>
    <x v="0"/>
    <n v="3.8"/>
    <x v="1"/>
    <n v="0.97"/>
    <s v="Average"/>
  </r>
  <r>
    <s v="FL250302"/>
    <s v="Thomas Robles"/>
    <s v="Male"/>
    <n v="36"/>
    <s v="30-45"/>
    <x v="17"/>
    <s v="Afrikaans"/>
    <s v="Data Analysis"/>
    <n v="9"/>
    <x v="0"/>
    <n v="75"/>
    <n v="75000"/>
    <x v="1"/>
    <n v="3"/>
    <x v="0"/>
    <n v="0.95"/>
    <s v="Average"/>
  </r>
  <r>
    <s v="FL250303"/>
    <s v="Joel Brown III"/>
    <s v="Male"/>
    <n v="33"/>
    <s v="30-45"/>
    <x v="13"/>
    <s v="Russian"/>
    <s v="Web Development"/>
    <n v="2"/>
    <x v="2"/>
    <n v="75"/>
    <n v="75000"/>
    <x v="1"/>
    <n v="2.5"/>
    <x v="0"/>
    <n v="0.65"/>
    <s v="Needs Imporovement"/>
  </r>
  <r>
    <s v="FL250304"/>
    <s v="Olivia Schultz"/>
    <s v="Female"/>
    <n v="37"/>
    <s v="30-45"/>
    <x v="14"/>
    <s v="English"/>
    <s v="Graphic Design"/>
    <n v="0"/>
    <x v="2"/>
    <n v="50"/>
    <n v="50000"/>
    <x v="1"/>
    <n v="1.8"/>
    <x v="0"/>
    <n v="0.77"/>
    <s v="Needs Imporovement"/>
  </r>
  <r>
    <s v="FL250305"/>
    <s v="Clayton Pena"/>
    <s v="Male"/>
    <n v="20"/>
    <s v="18-29"/>
    <x v="16"/>
    <s v="Arabic"/>
    <s v="Data Analysis"/>
    <n v="0"/>
    <x v="2"/>
    <n v="20"/>
    <n v="20000"/>
    <x v="2"/>
    <n v="1.8"/>
    <x v="0"/>
    <n v="0.3"/>
    <s v="Needs Imporovement"/>
  </r>
  <r>
    <s v="FL250306"/>
    <s v="Ashley Salazar"/>
    <s v="Female"/>
    <n v="48"/>
    <s v="46-55"/>
    <x v="18"/>
    <s v="Mandarin"/>
    <s v="Data Analysis"/>
    <n v="2"/>
    <x v="2"/>
    <n v="75"/>
    <n v="75000"/>
    <x v="1"/>
    <n v="2.5"/>
    <x v="0"/>
    <n v="0.67"/>
    <s v="Needs Imporovement"/>
  </r>
  <r>
    <s v="FL250307"/>
    <s v="Robert Lucas"/>
    <s v="Male"/>
    <n v="27"/>
    <s v="18-29"/>
    <x v="15"/>
    <s v="French"/>
    <s v="Cybersecurity"/>
    <n v="2"/>
    <x v="2"/>
    <n v="50"/>
    <n v="50000"/>
    <x v="1"/>
    <n v="2.5"/>
    <x v="0"/>
    <n v="0.84"/>
    <s v="Needs Imporovement"/>
  </r>
  <r>
    <s v="FL250308"/>
    <s v="David Cox"/>
    <s v="Male"/>
    <n v="34"/>
    <s v="30-45"/>
    <x v="12"/>
    <s v="Korean"/>
    <s v="Mobile Apps"/>
    <n v="1"/>
    <x v="2"/>
    <n v="30"/>
    <n v="30000"/>
    <x v="2"/>
    <n v="1.8"/>
    <x v="1"/>
    <n v="0.87"/>
    <s v="Needs Imporovement"/>
  </r>
  <r>
    <s v="FL250309"/>
    <s v="Christian Campbell"/>
    <s v="Male"/>
    <n v="55"/>
    <s v="46-55"/>
    <x v="11"/>
    <s v="Portuguese"/>
    <s v="Machine Learning"/>
    <n v="14"/>
    <x v="4"/>
    <n v="30"/>
    <n v="30000"/>
    <x v="2"/>
    <n v="3.8"/>
    <x v="1"/>
    <n v="0.91"/>
    <s v="Average"/>
  </r>
  <r>
    <s v="FL250310"/>
    <s v="Mrs. Angela Ward"/>
    <s v="Female"/>
    <n v="44"/>
    <s v="30-45"/>
    <x v="17"/>
    <s v="Afrikaans"/>
    <s v="Machine Learning"/>
    <n v="14"/>
    <x v="4"/>
    <n v="75"/>
    <n v="75000"/>
    <x v="1"/>
    <n v="3.8"/>
    <x v="0"/>
    <n v="0.78"/>
    <s v="Average"/>
  </r>
  <r>
    <s v="FL250311"/>
    <s v="Lucas Chen"/>
    <s v="Male"/>
    <n v="31"/>
    <s v="30-45"/>
    <x v="3"/>
    <s v="Dutch"/>
    <s v="UI/UX Design"/>
    <n v="2"/>
    <x v="2"/>
    <n v="50"/>
    <n v="50000"/>
    <x v="1"/>
    <n v="2.5"/>
    <x v="0"/>
    <n v="0.35"/>
    <s v="Needs Imporovement"/>
  </r>
  <r>
    <s v="FL250312"/>
    <s v="Ruben Nelson"/>
    <s v="Male"/>
    <n v="34"/>
    <s v="30-45"/>
    <x v="1"/>
    <s v="English"/>
    <s v="DevOps"/>
    <n v="1"/>
    <x v="2"/>
    <n v="40"/>
    <n v="40000"/>
    <x v="1"/>
    <n v="1.8"/>
    <x v="0"/>
    <n v="0.74"/>
    <s v="Needs Imporovement"/>
  </r>
  <r>
    <s v="FL250313"/>
    <s v="Brenda Briggs"/>
    <s v="Female"/>
    <n v="47"/>
    <s v="46-55"/>
    <x v="11"/>
    <s v="Portuguese"/>
    <s v="DevOps"/>
    <n v="13"/>
    <x v="4"/>
    <n v="20"/>
    <n v="20000"/>
    <x v="2"/>
    <n v="3.8"/>
    <x v="0"/>
    <n v="0.91"/>
    <s v="Average"/>
  </r>
  <r>
    <s v="FL250314"/>
    <s v="Ronald Smith"/>
    <s v="Male"/>
    <n v="50"/>
    <s v="46-55"/>
    <x v="5"/>
    <s v="English"/>
    <s v="Graphic Design"/>
    <n v="23"/>
    <x v="3"/>
    <n v="40"/>
    <n v="40000"/>
    <x v="1"/>
    <n v="4"/>
    <x v="1"/>
    <n v="0.71"/>
    <s v="Top Performer"/>
  </r>
  <r>
    <s v="FL250315"/>
    <s v="Dakota Giles"/>
    <s v="Male"/>
    <n v="39"/>
    <s v="30-45"/>
    <x v="2"/>
    <s v="German"/>
    <s v="Cybersecurity"/>
    <n v="10"/>
    <x v="0"/>
    <n v="75"/>
    <n v="75000"/>
    <x v="1"/>
    <n v="3.8"/>
    <x v="1"/>
    <n v="0.87"/>
    <s v="Average"/>
  </r>
  <r>
    <s v="FL250316"/>
    <s v="Angela Castillo"/>
    <s v="Female"/>
    <n v="26"/>
    <s v="18-29"/>
    <x v="8"/>
    <s v="Spanish"/>
    <s v="Blockchain Development"/>
    <n v="3"/>
    <x v="2"/>
    <n v="100"/>
    <n v="100000"/>
    <x v="0"/>
    <n v="2.5"/>
    <x v="1"/>
    <n v="0.61"/>
    <s v="Needs Imporovement"/>
  </r>
  <r>
    <s v="FL250317"/>
    <s v="Allen Lee"/>
    <s v="Male"/>
    <n v="23"/>
    <s v="18-29"/>
    <x v="3"/>
    <s v="Dutch"/>
    <s v="DevOps"/>
    <n v="0"/>
    <x v="2"/>
    <n v="100"/>
    <n v="100000"/>
    <x v="0"/>
    <n v="1.8"/>
    <x v="0"/>
    <n v="0.3"/>
    <s v="Needs Imporovement"/>
  </r>
  <r>
    <s v="FL250318"/>
    <s v="Michael Rogers"/>
    <s v="Male"/>
    <n v="32"/>
    <s v="30-45"/>
    <x v="2"/>
    <s v="German"/>
    <s v="Graphic Design"/>
    <n v="0"/>
    <x v="2"/>
    <n v="100"/>
    <n v="100000"/>
    <x v="0"/>
    <n v="1.8"/>
    <x v="1"/>
    <n v="0.81"/>
    <s v="Needs Imporovement"/>
  </r>
  <r>
    <s v="FL250319"/>
    <s v="Danielle Costa"/>
    <s v="Female"/>
    <n v="55"/>
    <s v="46-55"/>
    <x v="13"/>
    <s v="Russian"/>
    <s v="Data Analysis"/>
    <n v="17"/>
    <x v="4"/>
    <n v="30"/>
    <n v="30000"/>
    <x v="2"/>
    <n v="4"/>
    <x v="1"/>
    <n v="0.85"/>
    <s v="Top Performer"/>
  </r>
  <r>
    <s v="FL250320"/>
    <s v="William Nunez"/>
    <s v="Male"/>
    <n v="32"/>
    <s v="30-45"/>
    <x v="8"/>
    <s v="Spanish"/>
    <s v="Machine Learning"/>
    <n v="9"/>
    <x v="0"/>
    <n v="40"/>
    <n v="40000"/>
    <x v="1"/>
    <n v="3"/>
    <x v="1"/>
    <n v="0.84"/>
    <s v="Average"/>
  </r>
  <r>
    <s v="FL250321"/>
    <s v="Christopher Riggs"/>
    <s v="Male"/>
    <n v="30"/>
    <s v="30-45"/>
    <x v="12"/>
    <s v="Korean"/>
    <s v="Blockchain Development"/>
    <n v="4"/>
    <x v="2"/>
    <n v="20"/>
    <n v="20000"/>
    <x v="2"/>
    <n v="2.5"/>
    <x v="0"/>
    <n v="0.35"/>
    <s v="Needs Imporovement"/>
  </r>
  <r>
    <s v="FL250322"/>
    <s v="Kathryn Myers"/>
    <s v="Female"/>
    <n v="37"/>
    <s v="30-45"/>
    <x v="14"/>
    <s v="English"/>
    <s v="Cybersecurity"/>
    <n v="0"/>
    <x v="2"/>
    <n v="40"/>
    <n v="40000"/>
    <x v="1"/>
    <n v="1.8"/>
    <x v="1"/>
    <n v="0.3"/>
    <s v="Needs Imporovement"/>
  </r>
  <r>
    <s v="FL250323"/>
    <s v="Robert Walls"/>
    <s v="Male"/>
    <n v="52"/>
    <s v="46-55"/>
    <x v="11"/>
    <s v="Portuguese"/>
    <s v="Graphic Design"/>
    <n v="33"/>
    <x v="1"/>
    <n v="80"/>
    <n v="80000"/>
    <x v="1"/>
    <n v="5"/>
    <x v="1"/>
    <n v="0.6"/>
    <s v="Top Performer"/>
  </r>
  <r>
    <s v="FL250324"/>
    <s v="Justin Johnson"/>
    <s v="Male"/>
    <n v="48"/>
    <s v="46-55"/>
    <x v="10"/>
    <s v="Hindi"/>
    <s v="Cybersecurity"/>
    <n v="18"/>
    <x v="4"/>
    <n v="50"/>
    <n v="50000"/>
    <x v="1"/>
    <n v="4"/>
    <x v="1"/>
    <n v="0.64"/>
    <s v="Top Performer"/>
  </r>
  <r>
    <s v="FL250325"/>
    <s v="Paula Stevens"/>
    <s v="Female"/>
    <n v="28"/>
    <s v="18-29"/>
    <x v="9"/>
    <s v="Japanese"/>
    <s v="Mobile Apps"/>
    <n v="9"/>
    <x v="0"/>
    <n v="40"/>
    <n v="40000"/>
    <x v="1"/>
    <n v="3"/>
    <x v="1"/>
    <n v="0.64"/>
    <s v="Average"/>
  </r>
  <r>
    <s v="FL250326"/>
    <s v="Jennifer Allen"/>
    <s v="Female"/>
    <n v="58"/>
    <s v="55+"/>
    <x v="20"/>
    <s v="Spanish"/>
    <s v="Data Analysis"/>
    <n v="40"/>
    <x v="1"/>
    <n v="75"/>
    <n v="75000"/>
    <x v="1"/>
    <n v="5"/>
    <x v="1"/>
    <n v="1"/>
    <s v="Top Performer"/>
  </r>
  <r>
    <s v="FL250327"/>
    <s v="Mark Hudson"/>
    <s v="Male"/>
    <n v="30"/>
    <s v="30-45"/>
    <x v="8"/>
    <s v="Spanish"/>
    <s v="Web Development"/>
    <n v="1"/>
    <x v="2"/>
    <n v="40"/>
    <n v="40000"/>
    <x v="1"/>
    <n v="1.8"/>
    <x v="1"/>
    <n v="1"/>
    <s v="Needs Imporovement"/>
  </r>
  <r>
    <s v="FL250328"/>
    <s v="Jessica Smith"/>
    <s v="Female"/>
    <n v="47"/>
    <s v="46-55"/>
    <x v="18"/>
    <s v="Mandarin"/>
    <s v="Mobile Apps"/>
    <n v="5"/>
    <x v="0"/>
    <n v="20"/>
    <n v="20000"/>
    <x v="2"/>
    <n v="3"/>
    <x v="0"/>
    <n v="0.6"/>
    <s v="Average"/>
  </r>
  <r>
    <s v="FL250329"/>
    <s v="Mike Dean"/>
    <s v="Male"/>
    <n v="44"/>
    <s v="30-45"/>
    <x v="8"/>
    <s v="Spanish"/>
    <s v="AI"/>
    <n v="4"/>
    <x v="2"/>
    <n v="50"/>
    <n v="50000"/>
    <x v="1"/>
    <n v="2.5"/>
    <x v="1"/>
    <n v="0.83"/>
    <s v="Needs Imporovement"/>
  </r>
  <r>
    <s v="FL250330"/>
    <s v="Jose Wilson"/>
    <s v="Male"/>
    <n v="56"/>
    <s v="55+"/>
    <x v="0"/>
    <s v="Italian"/>
    <s v="Machine Learning"/>
    <n v="13"/>
    <x v="4"/>
    <n v="40"/>
    <n v="40000"/>
    <x v="1"/>
    <n v="3.8"/>
    <x v="1"/>
    <n v="0.87"/>
    <s v="Average"/>
  </r>
  <r>
    <s v="FL250331"/>
    <s v="Tammy Hill"/>
    <s v="Female"/>
    <n v="53"/>
    <s v="46-55"/>
    <x v="5"/>
    <s v="English"/>
    <s v="Mobile Apps"/>
    <n v="33"/>
    <x v="1"/>
    <n v="100"/>
    <n v="100000"/>
    <x v="0"/>
    <n v="5"/>
    <x v="0"/>
    <n v="0.75"/>
    <s v="Top Performer"/>
  </r>
  <r>
    <s v="FL250332"/>
    <s v="Nathaniel Flores"/>
    <s v="Male"/>
    <n v="59"/>
    <s v="55+"/>
    <x v="7"/>
    <s v="English"/>
    <s v="Mobile Apps"/>
    <n v="22"/>
    <x v="3"/>
    <n v="40"/>
    <n v="40000"/>
    <x v="1"/>
    <n v="4"/>
    <x v="1"/>
    <n v="0.61"/>
    <s v="Top Performer"/>
  </r>
  <r>
    <s v="FL250333"/>
    <s v="Edwin Carter"/>
    <s v="Male"/>
    <n v="60"/>
    <s v="55+"/>
    <x v="5"/>
    <s v="English"/>
    <s v="DevOps"/>
    <n v="34"/>
    <x v="1"/>
    <n v="80"/>
    <n v="80000"/>
    <x v="1"/>
    <n v="5"/>
    <x v="0"/>
    <n v="0.93"/>
    <s v="Top Performer"/>
  </r>
  <r>
    <s v="FL250334"/>
    <s v="Patricia Miller"/>
    <s v="Female"/>
    <n v="33"/>
    <s v="30-45"/>
    <x v="2"/>
    <s v="German"/>
    <s v="Mobile Apps"/>
    <n v="8"/>
    <x v="0"/>
    <n v="30"/>
    <n v="30000"/>
    <x v="2"/>
    <n v="3"/>
    <x v="1"/>
    <n v="0.6"/>
    <s v="Average"/>
  </r>
  <r>
    <s v="FL250335"/>
    <s v="Rebecca Schneider"/>
    <s v="Female"/>
    <n v="21"/>
    <s v="18-29"/>
    <x v="8"/>
    <s v="Spanish"/>
    <s v="Web Development"/>
    <n v="1"/>
    <x v="2"/>
    <n v="20"/>
    <n v="20000"/>
    <x v="2"/>
    <n v="1.8"/>
    <x v="0"/>
    <n v="0.99"/>
    <s v="Needs Imporovement"/>
  </r>
  <r>
    <s v="FL250336"/>
    <s v="John Greene"/>
    <s v="Male"/>
    <n v="54"/>
    <s v="46-55"/>
    <x v="7"/>
    <s v="English"/>
    <s v="UI/UX Design"/>
    <n v="20"/>
    <x v="4"/>
    <n v="50"/>
    <n v="50000"/>
    <x v="1"/>
    <n v="4"/>
    <x v="0"/>
    <n v="0.73"/>
    <s v="Top Performer"/>
  </r>
  <r>
    <s v="FL250337"/>
    <s v="Brittany Mcdowell"/>
    <s v="Female"/>
    <n v="33"/>
    <s v="30-45"/>
    <x v="5"/>
    <s v="English"/>
    <s v="Graphic Design"/>
    <n v="11"/>
    <x v="0"/>
    <n v="75"/>
    <n v="75000"/>
    <x v="1"/>
    <n v="3.8"/>
    <x v="0"/>
    <n v="0.96"/>
    <s v="Average"/>
  </r>
  <r>
    <s v="FL250338"/>
    <s v="Lori Miller"/>
    <s v="Female"/>
    <n v="57"/>
    <s v="55+"/>
    <x v="6"/>
    <s v="Turkish"/>
    <s v="Data Analysis"/>
    <n v="2"/>
    <x v="2"/>
    <n v="40"/>
    <n v="40000"/>
    <x v="1"/>
    <n v="2.5"/>
    <x v="0"/>
    <n v="0.6"/>
    <s v="Needs Imporovement"/>
  </r>
  <r>
    <s v="FL250339"/>
    <s v="Joseph Robinson"/>
    <s v="Male"/>
    <n v="36"/>
    <s v="30-45"/>
    <x v="12"/>
    <s v="Korean"/>
    <s v="Graphic Design"/>
    <n v="6"/>
    <x v="0"/>
    <n v="20"/>
    <n v="20000"/>
    <x v="2"/>
    <n v="3"/>
    <x v="1"/>
    <n v="0.64"/>
    <s v="Average"/>
  </r>
  <r>
    <s v="FL250340"/>
    <s v="Aaron Pruitt"/>
    <s v="Male"/>
    <n v="50"/>
    <s v="46-55"/>
    <x v="2"/>
    <s v="German"/>
    <s v="Blockchain Development"/>
    <n v="20"/>
    <x v="4"/>
    <n v="30"/>
    <n v="30000"/>
    <x v="2"/>
    <n v="4"/>
    <x v="0"/>
    <n v="0.85"/>
    <s v="Top Performer"/>
  </r>
  <r>
    <s v="FL250341"/>
    <s v="Victoria Miller"/>
    <s v="Female"/>
    <n v="37"/>
    <s v="30-45"/>
    <x v="14"/>
    <s v="English"/>
    <s v="DevOps"/>
    <n v="5"/>
    <x v="0"/>
    <n v="20"/>
    <n v="20000"/>
    <x v="2"/>
    <n v="3"/>
    <x v="0"/>
    <n v="0.6"/>
    <s v="Average"/>
  </r>
  <r>
    <s v="FL250342"/>
    <s v="Clarence Vega"/>
    <s v="Male"/>
    <n v="53"/>
    <s v="46-55"/>
    <x v="0"/>
    <s v="Italian"/>
    <s v="AI"/>
    <n v="4"/>
    <x v="2"/>
    <n v="30"/>
    <n v="30000"/>
    <x v="2"/>
    <n v="2.5"/>
    <x v="0"/>
    <n v="0.99"/>
    <s v="Needs Imporovement"/>
  </r>
  <r>
    <s v="FL250343"/>
    <s v="Deborah Day"/>
    <s v="Female"/>
    <n v="22"/>
    <s v="18-29"/>
    <x v="0"/>
    <s v="Italian"/>
    <s v="Blockchain Development"/>
    <n v="3"/>
    <x v="2"/>
    <n v="40"/>
    <n v="40000"/>
    <x v="1"/>
    <n v="2.5"/>
    <x v="0"/>
    <n v="0.35"/>
    <s v="Needs Imporovement"/>
  </r>
  <r>
    <s v="FL250344"/>
    <s v="Nicole Rocha"/>
    <s v="Female"/>
    <n v="55"/>
    <s v="46-55"/>
    <x v="3"/>
    <s v="Dutch"/>
    <s v="Mobile Apps"/>
    <n v="33"/>
    <x v="1"/>
    <n v="40"/>
    <n v="40000"/>
    <x v="1"/>
    <n v="5"/>
    <x v="1"/>
    <n v="0.71"/>
    <s v="Top Performer"/>
  </r>
  <r>
    <s v="FL250345"/>
    <s v="Elijah Green"/>
    <s v="Male"/>
    <n v="22"/>
    <s v="18-29"/>
    <x v="1"/>
    <s v="English"/>
    <s v="Cybersecurity"/>
    <n v="1"/>
    <x v="2"/>
    <n v="50"/>
    <n v="50000"/>
    <x v="1"/>
    <n v="1.8"/>
    <x v="0"/>
    <n v="0.72"/>
    <s v="Needs Imporovement"/>
  </r>
  <r>
    <s v="FL250346"/>
    <s v="Emily Johnson"/>
    <s v="Female"/>
    <n v="45"/>
    <s v="30-45"/>
    <x v="6"/>
    <s v="Turkish"/>
    <s v="Web Development"/>
    <n v="23"/>
    <x v="3"/>
    <n v="50"/>
    <n v="50000"/>
    <x v="1"/>
    <n v="4"/>
    <x v="0"/>
    <n v="0.66"/>
    <s v="Top Performer"/>
  </r>
  <r>
    <s v="FL250347"/>
    <s v="Richard Velasquez Jr."/>
    <s v="Male"/>
    <n v="36"/>
    <s v="30-45"/>
    <x v="15"/>
    <s v="French"/>
    <s v="Data Analysis"/>
    <n v="13"/>
    <x v="4"/>
    <n v="40"/>
    <n v="40000"/>
    <x v="1"/>
    <n v="3.8"/>
    <x v="0"/>
    <n v="0.78"/>
    <s v="Average"/>
  </r>
  <r>
    <s v="FL250348"/>
    <s v="Kurt Wilson"/>
    <s v="Male"/>
    <n v="23"/>
    <s v="18-29"/>
    <x v="1"/>
    <s v="English"/>
    <s v="DevOps"/>
    <n v="1"/>
    <x v="2"/>
    <n v="20"/>
    <n v="20000"/>
    <x v="2"/>
    <n v="1.8"/>
    <x v="1"/>
    <n v="1"/>
    <s v="Needs Imporovement"/>
  </r>
  <r>
    <s v="FL250349"/>
    <s v="Jeremiah Rodriguez"/>
    <s v="Male"/>
    <n v="55"/>
    <s v="46-55"/>
    <x v="0"/>
    <s v="Italian"/>
    <s v="DevOps"/>
    <n v="15"/>
    <x v="4"/>
    <n v="40"/>
    <n v="40000"/>
    <x v="1"/>
    <n v="4"/>
    <x v="1"/>
    <n v="0.85"/>
    <s v="Top Performer"/>
  </r>
  <r>
    <s v="FL250350"/>
    <s v="Lauren Lang"/>
    <s v="Female"/>
    <n v="50"/>
    <s v="46-55"/>
    <x v="11"/>
    <s v="Portuguese"/>
    <s v="Mobile Apps"/>
    <n v="18"/>
    <x v="4"/>
    <n v="75"/>
    <n v="75000"/>
    <x v="1"/>
    <n v="4"/>
    <x v="0"/>
    <n v="0.67"/>
    <s v="Top Performer"/>
  </r>
  <r>
    <s v="FL250351"/>
    <s v="Matthew Phillips"/>
    <s v="Male"/>
    <n v="48"/>
    <s v="46-55"/>
    <x v="5"/>
    <s v="English"/>
    <s v="Machine Learning"/>
    <n v="21"/>
    <x v="3"/>
    <n v="50"/>
    <n v="50000"/>
    <x v="1"/>
    <n v="4"/>
    <x v="0"/>
    <n v="0.78"/>
    <s v="Top Performer"/>
  </r>
  <r>
    <s v="FL250352"/>
    <s v="Michael Andersen"/>
    <s v="Male"/>
    <n v="23"/>
    <s v="18-29"/>
    <x v="3"/>
    <s v="Dutch"/>
    <s v="DevOps"/>
    <n v="1"/>
    <x v="2"/>
    <n v="40"/>
    <n v="40000"/>
    <x v="1"/>
    <n v="1.8"/>
    <x v="1"/>
    <n v="0.78"/>
    <s v="Needs Imporovement"/>
  </r>
  <r>
    <s v="FL250353"/>
    <s v="Amanda Mayo"/>
    <s v="Female"/>
    <n v="49"/>
    <s v="46-55"/>
    <x v="14"/>
    <s v="English"/>
    <s v="Web Development"/>
    <n v="25"/>
    <x v="3"/>
    <n v="30"/>
    <n v="30000"/>
    <x v="2"/>
    <n v="4.8"/>
    <x v="0"/>
    <n v="0.75"/>
    <s v="Top Performer"/>
  </r>
  <r>
    <s v="FL250354"/>
    <s v="Jessica Vance"/>
    <s v="Female"/>
    <n v="47"/>
    <s v="46-55"/>
    <x v="0"/>
    <s v="Italian"/>
    <s v="Cybersecurity"/>
    <n v="12"/>
    <x v="0"/>
    <n v="50"/>
    <n v="50000"/>
    <x v="1"/>
    <n v="3.8"/>
    <x v="1"/>
    <n v="0.67"/>
    <s v="Average"/>
  </r>
  <r>
    <s v="FL250355"/>
    <s v="Alexa Gallegos"/>
    <s v="Female"/>
    <n v="56"/>
    <s v="55+"/>
    <x v="9"/>
    <s v="Japanese"/>
    <s v="Graphic Design"/>
    <n v="32"/>
    <x v="1"/>
    <n v="40"/>
    <n v="40000"/>
    <x v="1"/>
    <n v="5"/>
    <x v="1"/>
    <n v="0.86"/>
    <s v="Top Performer"/>
  </r>
  <r>
    <s v="FL250356"/>
    <s v="Charles Pratt"/>
    <s v="Male"/>
    <n v="58"/>
    <s v="55+"/>
    <x v="8"/>
    <s v="Spanish"/>
    <s v="UI/UX Design"/>
    <n v="30"/>
    <x v="3"/>
    <n v="100"/>
    <n v="100000"/>
    <x v="0"/>
    <n v="5"/>
    <x v="0"/>
    <n v="0.77"/>
    <s v="Top Performer"/>
  </r>
  <r>
    <s v="FL250357"/>
    <s v="Brian Baker"/>
    <s v="Male"/>
    <n v="32"/>
    <s v="30-45"/>
    <x v="12"/>
    <s v="Korean"/>
    <s v="UI/UX Design"/>
    <n v="10"/>
    <x v="0"/>
    <n v="30"/>
    <n v="30000"/>
    <x v="2"/>
    <n v="3.8"/>
    <x v="0"/>
    <n v="0.61"/>
    <s v="Average"/>
  </r>
  <r>
    <s v="FL250358"/>
    <s v="Christina Norman"/>
    <s v="Female"/>
    <n v="52"/>
    <s v="46-55"/>
    <x v="10"/>
    <s v="Hindi"/>
    <s v="UI/UX Design"/>
    <n v="0"/>
    <x v="2"/>
    <n v="40"/>
    <n v="40000"/>
    <x v="1"/>
    <n v="1.8"/>
    <x v="0"/>
    <n v="0.9"/>
    <s v="Needs Imporovement"/>
  </r>
  <r>
    <s v="FL250359"/>
    <s v="Laura Kelly"/>
    <s v="Female"/>
    <n v="22"/>
    <s v="18-29"/>
    <x v="18"/>
    <s v="Mandarin"/>
    <s v="Data Analysis"/>
    <n v="1"/>
    <x v="2"/>
    <n v="50"/>
    <n v="50000"/>
    <x v="1"/>
    <n v="1.8"/>
    <x v="0"/>
    <n v="0.98"/>
    <s v="Needs Imporovement"/>
  </r>
  <r>
    <s v="FL250360"/>
    <s v="John Webb"/>
    <s v="Male"/>
    <n v="20"/>
    <s v="18-29"/>
    <x v="10"/>
    <s v="Hindi"/>
    <s v="Cybersecurity"/>
    <n v="2"/>
    <x v="2"/>
    <n v="30"/>
    <n v="30000"/>
    <x v="2"/>
    <n v="2.5"/>
    <x v="1"/>
    <n v="0.99"/>
    <s v="Needs Imporovement"/>
  </r>
  <r>
    <s v="FL250361"/>
    <s v="Christopher Burton"/>
    <s v="Male"/>
    <n v="56"/>
    <s v="55+"/>
    <x v="3"/>
    <s v="Dutch"/>
    <s v="Data Analysis"/>
    <n v="9"/>
    <x v="0"/>
    <n v="40"/>
    <n v="40000"/>
    <x v="1"/>
    <n v="3"/>
    <x v="0"/>
    <n v="0.61"/>
    <s v="Average"/>
  </r>
  <r>
    <s v="FL250362"/>
    <s v="Bradley Aguilar"/>
    <s v="Male"/>
    <n v="41"/>
    <s v="30-45"/>
    <x v="9"/>
    <s v="Japanese"/>
    <s v="Data Analysis"/>
    <n v="22"/>
    <x v="3"/>
    <n v="50"/>
    <n v="50000"/>
    <x v="1"/>
    <n v="4"/>
    <x v="1"/>
    <n v="0.61"/>
    <s v="Top Performer"/>
  </r>
  <r>
    <s v="FL250363"/>
    <s v="Arthur Vasquez"/>
    <s v="Male"/>
    <n v="25"/>
    <s v="18-29"/>
    <x v="8"/>
    <s v="Spanish"/>
    <s v="Blockchain Development"/>
    <n v="5"/>
    <x v="0"/>
    <n v="30"/>
    <n v="30000"/>
    <x v="2"/>
    <n v="3"/>
    <x v="0"/>
    <n v="0.91"/>
    <s v="Average"/>
  </r>
  <r>
    <s v="FL250364"/>
    <s v="Angela Castro"/>
    <s v="Female"/>
    <n v="44"/>
    <s v="30-45"/>
    <x v="14"/>
    <s v="English"/>
    <s v="Cybersecurity"/>
    <n v="6"/>
    <x v="0"/>
    <n v="75"/>
    <n v="75000"/>
    <x v="1"/>
    <n v="3"/>
    <x v="1"/>
    <n v="0.72"/>
    <s v="Average"/>
  </r>
  <r>
    <s v="FL250365"/>
    <s v="Summer Yoder"/>
    <s v="Female"/>
    <n v="46"/>
    <s v="46-55"/>
    <x v="1"/>
    <s v="English"/>
    <s v="Web Development"/>
    <n v="26"/>
    <x v="3"/>
    <n v="100"/>
    <n v="100000"/>
    <x v="0"/>
    <n v="4.8"/>
    <x v="1"/>
    <n v="0.9"/>
    <s v="Top Performer"/>
  </r>
  <r>
    <s v="FL250366"/>
    <s v="Jackie Allen"/>
    <s v="Female"/>
    <n v="40"/>
    <s v="30-45"/>
    <x v="12"/>
    <s v="Korean"/>
    <s v="Blockchain Development"/>
    <n v="2"/>
    <x v="2"/>
    <n v="40"/>
    <n v="40000"/>
    <x v="1"/>
    <n v="2.5"/>
    <x v="0"/>
    <n v="0.96"/>
    <s v="Needs Imporovement"/>
  </r>
  <r>
    <s v="FL250367"/>
    <s v="Brandon Williams"/>
    <s v="Male"/>
    <n v="31"/>
    <s v="30-45"/>
    <x v="18"/>
    <s v="Mandarin"/>
    <s v="AI"/>
    <n v="9"/>
    <x v="0"/>
    <n v="40"/>
    <n v="40000"/>
    <x v="1"/>
    <n v="3"/>
    <x v="1"/>
    <n v="0.72"/>
    <s v="Average"/>
  </r>
  <r>
    <s v="FL250368"/>
    <s v="Manuel Torres"/>
    <s v="Male"/>
    <n v="31"/>
    <s v="30-45"/>
    <x v="9"/>
    <s v="Japanese"/>
    <s v="Data Analysis"/>
    <n v="11"/>
    <x v="0"/>
    <n v="60"/>
    <n v="60000"/>
    <x v="1"/>
    <n v="3.8"/>
    <x v="0"/>
    <n v="0.75"/>
    <s v="Average"/>
  </r>
  <r>
    <s v="FL250369"/>
    <s v="Scott Keller"/>
    <s v="Male"/>
    <n v="33"/>
    <s v="30-45"/>
    <x v="12"/>
    <s v="Korean"/>
    <s v="Machine Learning"/>
    <n v="9"/>
    <x v="0"/>
    <n v="40"/>
    <n v="40000"/>
    <x v="1"/>
    <n v="3"/>
    <x v="1"/>
    <n v="0.63"/>
    <s v="Average"/>
  </r>
  <r>
    <s v="FL250370"/>
    <s v="Deborah Brown"/>
    <s v="Female"/>
    <n v="31"/>
    <s v="30-45"/>
    <x v="11"/>
    <s v="Portuguese"/>
    <s v="Machine Learning"/>
    <n v="3"/>
    <x v="2"/>
    <n v="20"/>
    <n v="20000"/>
    <x v="2"/>
    <n v="2.5"/>
    <x v="0"/>
    <n v="0.35"/>
    <s v="Needs Imporovement"/>
  </r>
  <r>
    <s v="FL250371"/>
    <s v="Jennifer Lara"/>
    <s v="Female"/>
    <n v="49"/>
    <s v="46-55"/>
    <x v="0"/>
    <s v="Italian"/>
    <s v="Data Analysis"/>
    <n v="15"/>
    <x v="4"/>
    <n v="75"/>
    <n v="75000"/>
    <x v="1"/>
    <n v="4"/>
    <x v="0"/>
    <n v="0.83"/>
    <s v="Top Performer"/>
  </r>
  <r>
    <s v="FL250372"/>
    <s v="Jason Scott"/>
    <s v="Male"/>
    <n v="35"/>
    <s v="30-45"/>
    <x v="19"/>
    <s v="Spanish"/>
    <s v="Graphic Design"/>
    <n v="12"/>
    <x v="0"/>
    <n v="20"/>
    <n v="20000"/>
    <x v="2"/>
    <n v="3.8"/>
    <x v="0"/>
    <n v="0.94"/>
    <s v="Average"/>
  </r>
  <r>
    <s v="FL250373"/>
    <s v="Gregory Garrison"/>
    <s v="Male"/>
    <n v="45"/>
    <s v="30-45"/>
    <x v="10"/>
    <s v="Hindi"/>
    <s v="Data Analysis"/>
    <n v="19"/>
    <x v="4"/>
    <n v="40"/>
    <n v="40000"/>
    <x v="1"/>
    <n v="4"/>
    <x v="1"/>
    <n v="0.78"/>
    <s v="Top Performer"/>
  </r>
  <r>
    <s v="FL250374"/>
    <s v="Chelsea Anderson"/>
    <s v="Female"/>
    <n v="39"/>
    <s v="30-45"/>
    <x v="3"/>
    <s v="Dutch"/>
    <s v="Data Analysis"/>
    <n v="13"/>
    <x v="4"/>
    <n v="30"/>
    <n v="30000"/>
    <x v="2"/>
    <n v="3.8"/>
    <x v="1"/>
    <n v="0.75"/>
    <s v="Average"/>
  </r>
  <r>
    <s v="FL250375"/>
    <s v="Gerald Johnson"/>
    <s v="Male"/>
    <n v="24"/>
    <s v="18-29"/>
    <x v="8"/>
    <s v="Spanish"/>
    <s v="Blockchain Development"/>
    <n v="1"/>
    <x v="2"/>
    <n v="50"/>
    <n v="50000"/>
    <x v="1"/>
    <n v="1.8"/>
    <x v="1"/>
    <n v="0.82"/>
    <s v="Needs Imporovement"/>
  </r>
  <r>
    <s v="FL250376"/>
    <s v="Kevin Ellis"/>
    <s v="Male"/>
    <n v="24"/>
    <s v="18-29"/>
    <x v="2"/>
    <s v="German"/>
    <s v="Cybersecurity"/>
    <n v="3"/>
    <x v="2"/>
    <n v="30"/>
    <n v="30000"/>
    <x v="2"/>
    <n v="2.5"/>
    <x v="0"/>
    <n v="0.66"/>
    <s v="Needs Imporovement"/>
  </r>
  <r>
    <s v="FL250377"/>
    <s v="Mitchell Keller"/>
    <s v="Male"/>
    <n v="50"/>
    <s v="46-55"/>
    <x v="1"/>
    <s v="English"/>
    <s v="Graphic Design"/>
    <n v="26"/>
    <x v="3"/>
    <n v="100"/>
    <n v="100000"/>
    <x v="0"/>
    <n v="4.8"/>
    <x v="1"/>
    <n v="0.82"/>
    <s v="Top Performer"/>
  </r>
  <r>
    <s v="FL250378"/>
    <s v="Mary Brown"/>
    <s v="Female"/>
    <n v="23"/>
    <s v="18-29"/>
    <x v="2"/>
    <s v="German"/>
    <s v="Machine Learning"/>
    <n v="4"/>
    <x v="2"/>
    <n v="20"/>
    <n v="20000"/>
    <x v="2"/>
    <n v="2.5"/>
    <x v="1"/>
    <n v="0.84"/>
    <s v="Needs Imporovement"/>
  </r>
  <r>
    <s v="FL250379"/>
    <s v="Ronald Walls"/>
    <s v="Male"/>
    <n v="27"/>
    <s v="18-29"/>
    <x v="14"/>
    <s v="English"/>
    <s v="Cybersecurity"/>
    <n v="8"/>
    <x v="0"/>
    <n v="20"/>
    <n v="20000"/>
    <x v="2"/>
    <n v="3"/>
    <x v="0"/>
    <n v="0.81"/>
    <s v="Average"/>
  </r>
  <r>
    <s v="FL250380"/>
    <s v="Anthony Avila"/>
    <s v="Male"/>
    <n v="58"/>
    <s v="55+"/>
    <x v="17"/>
    <s v="Afrikaans"/>
    <s v="AI"/>
    <n v="10"/>
    <x v="0"/>
    <n v="75"/>
    <n v="75000"/>
    <x v="1"/>
    <n v="3.8"/>
    <x v="0"/>
    <n v="0.71"/>
    <s v="Average"/>
  </r>
  <r>
    <s v="FL250381"/>
    <s v="Douglas Goodwin"/>
    <s v="Male"/>
    <n v="37"/>
    <s v="30-45"/>
    <x v="0"/>
    <s v="Italian"/>
    <s v="Machine Learning"/>
    <n v="5"/>
    <x v="0"/>
    <n v="40"/>
    <n v="40000"/>
    <x v="1"/>
    <n v="3"/>
    <x v="1"/>
    <n v="0.61"/>
    <s v="Average"/>
  </r>
  <r>
    <s v="FL250382"/>
    <s v="James Mills"/>
    <s v="Male"/>
    <n v="39"/>
    <s v="30-45"/>
    <x v="20"/>
    <s v="Spanish"/>
    <s v="Blockchain Development"/>
    <n v="18"/>
    <x v="4"/>
    <n v="75"/>
    <n v="75000"/>
    <x v="1"/>
    <n v="4"/>
    <x v="1"/>
    <n v="0.66"/>
    <s v="Top Performer"/>
  </r>
  <r>
    <s v="FL250383"/>
    <s v="Nicole Marks"/>
    <s v="Female"/>
    <n v="46"/>
    <s v="46-55"/>
    <x v="16"/>
    <s v="Arabic"/>
    <s v="Data Analysis"/>
    <n v="10"/>
    <x v="0"/>
    <n v="20"/>
    <n v="20000"/>
    <x v="2"/>
    <n v="3.8"/>
    <x v="1"/>
    <n v="0.97"/>
    <s v="Average"/>
  </r>
  <r>
    <s v="FL250384"/>
    <s v="Phyllis Dawson"/>
    <s v="Female"/>
    <n v="22"/>
    <s v="18-29"/>
    <x v="7"/>
    <s v="English"/>
    <s v="UI/UX Design"/>
    <n v="0"/>
    <x v="2"/>
    <n v="20"/>
    <n v="20000"/>
    <x v="2"/>
    <n v="1.8"/>
    <x v="0"/>
    <n v="0.74"/>
    <s v="Needs Imporovement"/>
  </r>
  <r>
    <s v="FL250385"/>
    <s v="Renee Arnold"/>
    <s v="Female"/>
    <n v="39"/>
    <s v="30-45"/>
    <x v="19"/>
    <s v="Spanish"/>
    <s v="Blockchain Development"/>
    <n v="21"/>
    <x v="3"/>
    <n v="30"/>
    <n v="30000"/>
    <x v="2"/>
    <n v="4"/>
    <x v="0"/>
    <n v="0.61"/>
    <s v="Top Performer"/>
  </r>
  <r>
    <s v="FL250386"/>
    <s v="Eric Robinson"/>
    <s v="Male"/>
    <n v="59"/>
    <s v="55+"/>
    <x v="16"/>
    <s v="Arabic"/>
    <s v="Blockchain Development"/>
    <n v="25"/>
    <x v="3"/>
    <n v="20"/>
    <n v="20000"/>
    <x v="2"/>
    <n v="4.8"/>
    <x v="0"/>
    <n v="0.9"/>
    <s v="Top Performer"/>
  </r>
  <r>
    <s v="FL250387"/>
    <s v="Paul Brown"/>
    <s v="Male"/>
    <n v="21"/>
    <s v="18-29"/>
    <x v="3"/>
    <s v="Dutch"/>
    <s v="DevOps"/>
    <n v="0"/>
    <x v="2"/>
    <n v="40"/>
    <n v="40000"/>
    <x v="1"/>
    <n v="1.8"/>
    <x v="1"/>
    <n v="0.97"/>
    <s v="Needs Imporovement"/>
  </r>
  <r>
    <s v="FL250388"/>
    <s v="Sarah Proctor"/>
    <s v="Female"/>
    <n v="23"/>
    <s v="18-29"/>
    <x v="14"/>
    <s v="English"/>
    <s v="DevOps"/>
    <n v="5"/>
    <x v="0"/>
    <n v="100"/>
    <n v="100000"/>
    <x v="0"/>
    <n v="3"/>
    <x v="1"/>
    <n v="0.6"/>
    <s v="Average"/>
  </r>
  <r>
    <s v="FL250389"/>
    <s v="Matthew Hicks"/>
    <s v="Male"/>
    <n v="27"/>
    <s v="18-29"/>
    <x v="16"/>
    <s v="Arabic"/>
    <s v="Web Development"/>
    <n v="1"/>
    <x v="2"/>
    <n v="20"/>
    <n v="20000"/>
    <x v="2"/>
    <n v="1.8"/>
    <x v="0"/>
    <n v="0.76"/>
    <s v="Needs Imporovement"/>
  </r>
  <r>
    <s v="FL250390"/>
    <s v="Christopher Black"/>
    <s v="Male"/>
    <n v="27"/>
    <s v="18-29"/>
    <x v="18"/>
    <s v="Mandarin"/>
    <s v="Cybersecurity"/>
    <n v="4"/>
    <x v="2"/>
    <n v="40"/>
    <n v="40000"/>
    <x v="1"/>
    <n v="2.5"/>
    <x v="0"/>
    <n v="0.92"/>
    <s v="Needs Imporovement"/>
  </r>
  <r>
    <s v="FL250391"/>
    <s v="Joanne Reyes"/>
    <s v="Female"/>
    <n v="48"/>
    <s v="46-55"/>
    <x v="17"/>
    <s v="Afrikaans"/>
    <s v="Data Analysis"/>
    <n v="21"/>
    <x v="3"/>
    <n v="40"/>
    <n v="40000"/>
    <x v="1"/>
    <n v="4"/>
    <x v="0"/>
    <n v="0.85"/>
    <s v="Top Performer"/>
  </r>
  <r>
    <s v="FL250392"/>
    <s v="Isaac Gray"/>
    <s v="Male"/>
    <n v="21"/>
    <s v="18-29"/>
    <x v="17"/>
    <s v="Afrikaans"/>
    <s v="AI"/>
    <n v="1"/>
    <x v="2"/>
    <n v="20"/>
    <n v="20000"/>
    <x v="2"/>
    <n v="1.8"/>
    <x v="1"/>
    <n v="0.66"/>
    <s v="Needs Imporovement"/>
  </r>
  <r>
    <s v="FL250393"/>
    <s v="Joshua Roberts"/>
    <s v="Male"/>
    <n v="37"/>
    <s v="30-45"/>
    <x v="0"/>
    <s v="Italian"/>
    <s v="DevOps"/>
    <n v="5"/>
    <x v="0"/>
    <n v="50"/>
    <n v="50000"/>
    <x v="1"/>
    <n v="3"/>
    <x v="0"/>
    <n v="0.83"/>
    <s v="Average"/>
  </r>
  <r>
    <s v="FL250394"/>
    <s v="Elizabeth Estrada"/>
    <s v="Female"/>
    <n v="31"/>
    <s v="30-45"/>
    <x v="2"/>
    <s v="German"/>
    <s v="UI/UX Design"/>
    <n v="10"/>
    <x v="0"/>
    <n v="50"/>
    <n v="50000"/>
    <x v="1"/>
    <n v="3.8"/>
    <x v="0"/>
    <n v="0.75"/>
    <s v="Average"/>
  </r>
  <r>
    <s v="FL250395"/>
    <s v="Lori Malone"/>
    <s v="Female"/>
    <n v="41"/>
    <s v="30-45"/>
    <x v="16"/>
    <s v="Arabic"/>
    <s v="Blockchain Development"/>
    <n v="21"/>
    <x v="3"/>
    <n v="70"/>
    <n v="70000"/>
    <x v="1"/>
    <n v="4"/>
    <x v="1"/>
    <n v="0.85"/>
    <s v="Top Performer"/>
  </r>
  <r>
    <s v="FL250396"/>
    <s v="Anthony Huynh MD"/>
    <s v="Male"/>
    <n v="31"/>
    <s v="30-45"/>
    <x v="13"/>
    <s v="Russian"/>
    <s v="Cybersecurity"/>
    <n v="0"/>
    <x v="2"/>
    <n v="20"/>
    <n v="20000"/>
    <x v="2"/>
    <n v="1.8"/>
    <x v="1"/>
    <n v="0.82"/>
    <s v="Needs Imporovement"/>
  </r>
  <r>
    <s v="FL250397"/>
    <s v="Mindy York"/>
    <s v="Female"/>
    <n v="58"/>
    <s v="55+"/>
    <x v="8"/>
    <s v="Spanish"/>
    <s v="Data Analysis"/>
    <n v="0"/>
    <x v="2"/>
    <n v="50"/>
    <n v="50000"/>
    <x v="1"/>
    <n v="1.8"/>
    <x v="0"/>
    <n v="0.77"/>
    <s v="Needs Imporovement"/>
  </r>
  <r>
    <s v="FL250398"/>
    <s v="Ms. Christine Cherry"/>
    <s v="Female"/>
    <n v="45"/>
    <s v="30-45"/>
    <x v="3"/>
    <s v="Dutch"/>
    <s v="Data Analysis"/>
    <n v="17"/>
    <x v="4"/>
    <n v="50"/>
    <n v="50000"/>
    <x v="1"/>
    <n v="4"/>
    <x v="1"/>
    <n v="0.73"/>
    <s v="Top Performer"/>
  </r>
  <r>
    <s v="FL250399"/>
    <s v="Daniel Foster"/>
    <s v="Male"/>
    <n v="51"/>
    <s v="46-55"/>
    <x v="12"/>
    <s v="Korean"/>
    <s v="Cybersecurity"/>
    <n v="5"/>
    <x v="0"/>
    <n v="80"/>
    <n v="80000"/>
    <x v="1"/>
    <n v="3"/>
    <x v="1"/>
    <n v="0.88"/>
    <s v="Average"/>
  </r>
  <r>
    <s v="FL250400"/>
    <s v="Mr. David Valencia"/>
    <s v="Male"/>
    <n v="54"/>
    <s v="46-55"/>
    <x v="5"/>
    <s v="English"/>
    <s v="UI/UX Design"/>
    <n v="3"/>
    <x v="2"/>
    <n v="30"/>
    <n v="30000"/>
    <x v="2"/>
    <n v="2.5"/>
    <x v="0"/>
    <n v="0.81"/>
    <s v="Needs Imporovement"/>
  </r>
  <r>
    <s v="FL250401"/>
    <s v="Ethan Adams"/>
    <s v="Male"/>
    <n v="22"/>
    <s v="18-29"/>
    <x v="13"/>
    <s v="Russian"/>
    <s v="Data Analysis"/>
    <n v="1"/>
    <x v="2"/>
    <n v="20"/>
    <n v="20000"/>
    <x v="2"/>
    <n v="1.8"/>
    <x v="0"/>
    <n v="0.78"/>
    <s v="Needs Imporovement"/>
  </r>
  <r>
    <s v="FL250402"/>
    <s v="Brett Moore"/>
    <s v="Male"/>
    <n v="36"/>
    <s v="30-45"/>
    <x v="6"/>
    <s v="Turkish"/>
    <s v="Cybersecurity"/>
    <n v="2"/>
    <x v="2"/>
    <n v="75"/>
    <n v="75000"/>
    <x v="1"/>
    <n v="2.5"/>
    <x v="0"/>
    <n v="0.92"/>
    <s v="Needs Imporovement"/>
  </r>
  <r>
    <s v="FL250403"/>
    <s v="Phillip Griffin"/>
    <s v="Male"/>
    <n v="50"/>
    <s v="46-55"/>
    <x v="2"/>
    <s v="German"/>
    <s v="DevOps"/>
    <n v="32"/>
    <x v="1"/>
    <n v="30"/>
    <n v="30000"/>
    <x v="2"/>
    <n v="5"/>
    <x v="0"/>
    <n v="0.64"/>
    <s v="Top Performer"/>
  </r>
  <r>
    <s v="FL250404"/>
    <s v="Stacie Wall"/>
    <s v="Female"/>
    <n v="41"/>
    <s v="30-45"/>
    <x v="1"/>
    <s v="English"/>
    <s v="Blockchain Development"/>
    <n v="14"/>
    <x v="4"/>
    <n v="30"/>
    <n v="30000"/>
    <x v="2"/>
    <n v="3.8"/>
    <x v="1"/>
    <n v="0.78"/>
    <s v="Average"/>
  </r>
  <r>
    <s v="FL250405"/>
    <s v="Jacob Austin"/>
    <s v="Male"/>
    <n v="31"/>
    <s v="30-45"/>
    <x v="17"/>
    <s v="Afrikaans"/>
    <s v="Web Development"/>
    <n v="10"/>
    <x v="0"/>
    <n v="20"/>
    <n v="20000"/>
    <x v="2"/>
    <n v="3.8"/>
    <x v="1"/>
    <n v="0.85"/>
    <s v="Average"/>
  </r>
  <r>
    <s v="FL250406"/>
    <s v="Sabrina Davidson"/>
    <s v="Female"/>
    <n v="51"/>
    <s v="46-55"/>
    <x v="3"/>
    <s v="Dutch"/>
    <s v="Cybersecurity"/>
    <n v="27"/>
    <x v="3"/>
    <n v="50"/>
    <n v="50000"/>
    <x v="1"/>
    <n v="4.8"/>
    <x v="0"/>
    <n v="0.78"/>
    <s v="Top Performer"/>
  </r>
  <r>
    <s v="FL250407"/>
    <s v="Dustin Douglas"/>
    <s v="Male"/>
    <n v="21"/>
    <s v="18-29"/>
    <x v="15"/>
    <s v="French"/>
    <s v="AI"/>
    <n v="2"/>
    <x v="2"/>
    <n v="30"/>
    <n v="30000"/>
    <x v="2"/>
    <n v="2.5"/>
    <x v="1"/>
    <n v="0.98"/>
    <s v="Needs Imporovement"/>
  </r>
  <r>
    <s v="FL250408"/>
    <s v="Steven Norris"/>
    <s v="Male"/>
    <n v="51"/>
    <s v="46-55"/>
    <x v="9"/>
    <s v="Japanese"/>
    <s v="AI"/>
    <n v="33"/>
    <x v="1"/>
    <n v="40"/>
    <n v="40000"/>
    <x v="1"/>
    <n v="5"/>
    <x v="1"/>
    <n v="0.63"/>
    <s v="Top Performer"/>
  </r>
  <r>
    <s v="FL250409"/>
    <s v="Mindy Sullivan"/>
    <s v="Female"/>
    <n v="37"/>
    <s v="30-45"/>
    <x v="4"/>
    <s v="Indonesian"/>
    <s v="Graphic Design"/>
    <n v="11"/>
    <x v="0"/>
    <n v="40"/>
    <n v="40000"/>
    <x v="1"/>
    <n v="3.8"/>
    <x v="0"/>
    <n v="0.73"/>
    <s v="Average"/>
  </r>
  <r>
    <s v="FL250410"/>
    <s v="Elizabeth Stone"/>
    <s v="Female"/>
    <n v="20"/>
    <s v="18-29"/>
    <x v="20"/>
    <s v="Spanish"/>
    <s v="Graphic Design"/>
    <n v="2"/>
    <x v="2"/>
    <n v="30"/>
    <n v="30000"/>
    <x v="2"/>
    <n v="2.5"/>
    <x v="0"/>
    <n v="0.94"/>
    <s v="Needs Imporovement"/>
  </r>
  <r>
    <s v="FL250411"/>
    <s v="Diane Flores"/>
    <s v="Female"/>
    <n v="50"/>
    <s v="46-55"/>
    <x v="1"/>
    <s v="English"/>
    <s v="Web Development"/>
    <n v="31"/>
    <x v="1"/>
    <n v="50"/>
    <n v="50000"/>
    <x v="1"/>
    <n v="5"/>
    <x v="1"/>
    <n v="0.81"/>
    <s v="Top Performer"/>
  </r>
  <r>
    <s v="FL250412"/>
    <s v="Jessica Erickson"/>
    <s v="Female"/>
    <n v="58"/>
    <s v="55+"/>
    <x v="6"/>
    <s v="Turkish"/>
    <s v="Graphic Design"/>
    <n v="17"/>
    <x v="4"/>
    <n v="50"/>
    <n v="50000"/>
    <x v="1"/>
    <n v="4"/>
    <x v="1"/>
    <n v="0.61"/>
    <s v="Top Performer"/>
  </r>
  <r>
    <s v="FL250413"/>
    <s v="Sara Moses"/>
    <s v="Female"/>
    <n v="40"/>
    <s v="30-45"/>
    <x v="11"/>
    <s v="Portuguese"/>
    <s v="UI/UX Design"/>
    <n v="2"/>
    <x v="2"/>
    <n v="100"/>
    <n v="100000"/>
    <x v="0"/>
    <n v="2.5"/>
    <x v="0"/>
    <n v="0.35"/>
    <s v="Needs Imporovement"/>
  </r>
  <r>
    <s v="FL250414"/>
    <s v="Allison Henderson"/>
    <s v="Female"/>
    <n v="26"/>
    <s v="18-29"/>
    <x v="16"/>
    <s v="Arabic"/>
    <s v="Web Development"/>
    <n v="2"/>
    <x v="2"/>
    <n v="20"/>
    <n v="20000"/>
    <x v="2"/>
    <n v="2.5"/>
    <x v="0"/>
    <n v="0.83"/>
    <s v="Needs Imporovement"/>
  </r>
  <r>
    <s v="FL250415"/>
    <s v="Susan Dixon"/>
    <s v="Female"/>
    <n v="44"/>
    <s v="30-45"/>
    <x v="12"/>
    <s v="Korean"/>
    <s v="Cybersecurity"/>
    <n v="22"/>
    <x v="3"/>
    <n v="30"/>
    <n v="30000"/>
    <x v="2"/>
    <n v="4"/>
    <x v="1"/>
    <n v="0.85"/>
    <s v="Top Performer"/>
  </r>
  <r>
    <s v="FL250416"/>
    <s v="David Morrison"/>
    <s v="Male"/>
    <n v="42"/>
    <s v="30-45"/>
    <x v="19"/>
    <s v="Spanish"/>
    <s v="Machine Learning"/>
    <n v="8"/>
    <x v="0"/>
    <n v="50"/>
    <n v="50000"/>
    <x v="1"/>
    <n v="3"/>
    <x v="0"/>
    <n v="0.68"/>
    <s v="Average"/>
  </r>
  <r>
    <s v="FL250417"/>
    <s v="Jason Carter"/>
    <s v="Male"/>
    <n v="38"/>
    <s v="30-45"/>
    <x v="19"/>
    <s v="Spanish"/>
    <s v="Data Analysis"/>
    <n v="9"/>
    <x v="0"/>
    <n v="50"/>
    <n v="50000"/>
    <x v="1"/>
    <n v="3"/>
    <x v="0"/>
    <n v="0.74"/>
    <s v="Average"/>
  </r>
  <r>
    <s v="FL250418"/>
    <s v="James Jacobs"/>
    <s v="Male"/>
    <n v="51"/>
    <s v="46-55"/>
    <x v="16"/>
    <s v="Arabic"/>
    <s v="Web Development"/>
    <n v="32"/>
    <x v="1"/>
    <n v="100"/>
    <n v="100000"/>
    <x v="0"/>
    <n v="5"/>
    <x v="0"/>
    <n v="0.91"/>
    <s v="Top Performer"/>
  </r>
  <r>
    <s v="FL250419"/>
    <s v="Kathleen Quinn"/>
    <s v="Female"/>
    <n v="36"/>
    <s v="30-45"/>
    <x v="15"/>
    <s v="French"/>
    <s v="AI"/>
    <n v="8"/>
    <x v="0"/>
    <n v="100"/>
    <n v="100000"/>
    <x v="0"/>
    <n v="3"/>
    <x v="1"/>
    <n v="0.97"/>
    <s v="Average"/>
  </r>
  <r>
    <s v="FL250420"/>
    <s v="Natalie Frank MD"/>
    <s v="Female"/>
    <n v="37"/>
    <s v="30-45"/>
    <x v="1"/>
    <s v="English"/>
    <s v="Mobile Apps"/>
    <n v="10"/>
    <x v="0"/>
    <n v="30"/>
    <n v="30000"/>
    <x v="2"/>
    <n v="3.8"/>
    <x v="0"/>
    <n v="0.96"/>
    <s v="Average"/>
  </r>
  <r>
    <s v="FL250421"/>
    <s v="Michael Reed"/>
    <s v="Male"/>
    <n v="31"/>
    <s v="30-45"/>
    <x v="17"/>
    <s v="Afrikaans"/>
    <s v="DevOps"/>
    <n v="0"/>
    <x v="2"/>
    <n v="50"/>
    <n v="50000"/>
    <x v="1"/>
    <n v="1.8"/>
    <x v="1"/>
    <n v="0.73"/>
    <s v="Needs Imporovement"/>
  </r>
  <r>
    <s v="FL250422"/>
    <s v="Sheila Smith"/>
    <s v="Female"/>
    <n v="47"/>
    <s v="46-55"/>
    <x v="10"/>
    <s v="Hindi"/>
    <s v="Cybersecurity"/>
    <n v="22"/>
    <x v="3"/>
    <n v="90"/>
    <n v="90000"/>
    <x v="0"/>
    <n v="4"/>
    <x v="1"/>
    <n v="0.72"/>
    <s v="Top Performer"/>
  </r>
  <r>
    <s v="FL250423"/>
    <s v="Morgan Ford"/>
    <s v="Female"/>
    <n v="60"/>
    <s v="55+"/>
    <x v="19"/>
    <s v="Spanish"/>
    <s v="UI/UX Design"/>
    <n v="34"/>
    <x v="1"/>
    <n v="100"/>
    <n v="100000"/>
    <x v="0"/>
    <n v="5"/>
    <x v="1"/>
    <n v="0.74"/>
    <s v="Top Performer"/>
  </r>
  <r>
    <s v="FL250424"/>
    <s v="Linda Schultz"/>
    <s v="Female"/>
    <n v="48"/>
    <s v="46-55"/>
    <x v="8"/>
    <s v="Spanish"/>
    <s v="Mobile Apps"/>
    <n v="5"/>
    <x v="0"/>
    <n v="30"/>
    <n v="30000"/>
    <x v="2"/>
    <n v="3"/>
    <x v="0"/>
    <n v="0.6"/>
    <s v="Average"/>
  </r>
  <r>
    <s v="FL250425"/>
    <s v="Regina Daniel"/>
    <s v="Female"/>
    <n v="24"/>
    <s v="18-29"/>
    <x v="10"/>
    <s v="Hindi"/>
    <s v="AI"/>
    <n v="3"/>
    <x v="2"/>
    <n v="20"/>
    <n v="20000"/>
    <x v="2"/>
    <n v="2.5"/>
    <x v="1"/>
    <n v="0.35"/>
    <s v="Needs Imporovement"/>
  </r>
  <r>
    <s v="FL250426"/>
    <s v="Allison Perkins"/>
    <s v="Female"/>
    <n v="35"/>
    <s v="30-45"/>
    <x v="3"/>
    <s v="Dutch"/>
    <s v="Machine Learning"/>
    <n v="10"/>
    <x v="0"/>
    <n v="75"/>
    <n v="75000"/>
    <x v="1"/>
    <n v="3.8"/>
    <x v="0"/>
    <n v="0.74"/>
    <s v="Average"/>
  </r>
  <r>
    <s v="FL250427"/>
    <s v="Bradley Weaver"/>
    <s v="Male"/>
    <n v="35"/>
    <s v="30-45"/>
    <x v="5"/>
    <s v="English"/>
    <s v="DevOps"/>
    <n v="15"/>
    <x v="4"/>
    <n v="100"/>
    <n v="100000"/>
    <x v="0"/>
    <n v="4"/>
    <x v="1"/>
    <n v="0.71"/>
    <s v="Top Performer"/>
  </r>
  <r>
    <s v="FL250428"/>
    <s v="Sarah Hall"/>
    <s v="Female"/>
    <n v="29"/>
    <s v="18-29"/>
    <x v="3"/>
    <s v="Dutch"/>
    <s v="UI/UX Design"/>
    <n v="6"/>
    <x v="0"/>
    <n v="50"/>
    <n v="50000"/>
    <x v="1"/>
    <n v="3"/>
    <x v="0"/>
    <n v="0.83"/>
    <s v="Average"/>
  </r>
  <r>
    <s v="FL250429"/>
    <s v="Diana Walton"/>
    <s v="Female"/>
    <n v="36"/>
    <s v="30-45"/>
    <x v="0"/>
    <s v="Italian"/>
    <s v="Machine Learning"/>
    <n v="1"/>
    <x v="2"/>
    <n v="75"/>
    <n v="75000"/>
    <x v="1"/>
    <n v="1.8"/>
    <x v="0"/>
    <n v="0.63"/>
    <s v="Needs Imporovement"/>
  </r>
  <r>
    <s v="FL250430"/>
    <s v="Donna Davis"/>
    <s v="Female"/>
    <n v="44"/>
    <s v="30-45"/>
    <x v="14"/>
    <s v="English"/>
    <s v="AI"/>
    <n v="0"/>
    <x v="2"/>
    <n v="20"/>
    <n v="20000"/>
    <x v="2"/>
    <n v="1.8"/>
    <x v="0"/>
    <n v="0.84"/>
    <s v="Needs Imporovement"/>
  </r>
  <r>
    <s v="FL250431"/>
    <s v="Christopher Mcclain"/>
    <s v="Male"/>
    <n v="44"/>
    <s v="30-45"/>
    <x v="17"/>
    <s v="Afrikaans"/>
    <s v="Web Development"/>
    <n v="20"/>
    <x v="4"/>
    <n v="80"/>
    <n v="80000"/>
    <x v="1"/>
    <n v="4"/>
    <x v="0"/>
    <n v="0.93"/>
    <s v="Top Performer"/>
  </r>
  <r>
    <s v="FL250432"/>
    <s v="Dr. Paul Williamson"/>
    <s v="Male"/>
    <n v="40"/>
    <s v="30-45"/>
    <x v="10"/>
    <s v="Hindi"/>
    <s v="AI"/>
    <n v="13"/>
    <x v="4"/>
    <n v="100"/>
    <n v="100000"/>
    <x v="0"/>
    <n v="3.8"/>
    <x v="1"/>
    <n v="0.75"/>
    <s v="Average"/>
  </r>
  <r>
    <s v="FL250433"/>
    <s v="Barbara Brown"/>
    <s v="Female"/>
    <n v="53"/>
    <s v="46-55"/>
    <x v="3"/>
    <s v="Dutch"/>
    <s v="Machine Learning"/>
    <n v="13"/>
    <x v="4"/>
    <n v="50"/>
    <n v="50000"/>
    <x v="1"/>
    <n v="3.8"/>
    <x v="1"/>
    <n v="0.93"/>
    <s v="Average"/>
  </r>
  <r>
    <s v="FL250434"/>
    <s v="Kimberly Allen"/>
    <s v="Female"/>
    <n v="35"/>
    <s v="30-45"/>
    <x v="2"/>
    <s v="German"/>
    <s v="Blockchain Development"/>
    <n v="0"/>
    <x v="2"/>
    <n v="30"/>
    <n v="30000"/>
    <x v="2"/>
    <n v="1.8"/>
    <x v="0"/>
    <n v="0.97"/>
    <s v="Needs Imporovement"/>
  </r>
  <r>
    <s v="FL250435"/>
    <s v="Elizabeth Edwards"/>
    <s v="Female"/>
    <n v="27"/>
    <s v="18-29"/>
    <x v="8"/>
    <s v="Spanish"/>
    <s v="Machine Learning"/>
    <n v="7"/>
    <x v="0"/>
    <n v="75"/>
    <n v="75000"/>
    <x v="1"/>
    <n v="3"/>
    <x v="1"/>
    <n v="0.92"/>
    <s v="Average"/>
  </r>
  <r>
    <s v="FL250436"/>
    <s v="Anthony Downs"/>
    <s v="Male"/>
    <n v="34"/>
    <s v="30-45"/>
    <x v="1"/>
    <s v="English"/>
    <s v="DevOps"/>
    <n v="6"/>
    <x v="0"/>
    <n v="50"/>
    <n v="50000"/>
    <x v="1"/>
    <n v="3"/>
    <x v="1"/>
    <n v="0.92"/>
    <s v="Average"/>
  </r>
  <r>
    <s v="FL250437"/>
    <s v="Jack Ortega"/>
    <s v="Male"/>
    <n v="24"/>
    <s v="18-29"/>
    <x v="10"/>
    <s v="Hindi"/>
    <s v="Cybersecurity"/>
    <n v="2"/>
    <x v="2"/>
    <n v="75"/>
    <n v="75000"/>
    <x v="1"/>
    <n v="2.5"/>
    <x v="0"/>
    <n v="0.68"/>
    <s v="Needs Imporovement"/>
  </r>
  <r>
    <s v="FL250438"/>
    <s v="Marvin Moore"/>
    <s v="Male"/>
    <n v="57"/>
    <s v="55+"/>
    <x v="5"/>
    <s v="English"/>
    <s v="UI/UX Design"/>
    <n v="13"/>
    <x v="4"/>
    <n v="100"/>
    <n v="100000"/>
    <x v="0"/>
    <n v="3.8"/>
    <x v="0"/>
    <n v="0.95"/>
    <s v="Average"/>
  </r>
  <r>
    <s v="FL250439"/>
    <s v="Tony French"/>
    <s v="Male"/>
    <n v="28"/>
    <s v="18-29"/>
    <x v="12"/>
    <s v="Korean"/>
    <s v="UI/UX Design"/>
    <n v="7"/>
    <x v="0"/>
    <n v="100"/>
    <n v="100000"/>
    <x v="0"/>
    <n v="3"/>
    <x v="0"/>
    <n v="0.76"/>
    <s v="Average"/>
  </r>
  <r>
    <s v="FL250440"/>
    <s v="Stacy Hudson"/>
    <s v="Female"/>
    <n v="26"/>
    <s v="18-29"/>
    <x v="0"/>
    <s v="Italian"/>
    <s v="DevOps"/>
    <n v="7"/>
    <x v="0"/>
    <n v="100"/>
    <n v="100000"/>
    <x v="0"/>
    <n v="3"/>
    <x v="1"/>
    <n v="0.66"/>
    <s v="Average"/>
  </r>
  <r>
    <s v="FL250441"/>
    <s v="Scott Washington"/>
    <s v="Male"/>
    <n v="34"/>
    <s v="30-45"/>
    <x v="8"/>
    <s v="Spanish"/>
    <s v="Mobile Apps"/>
    <n v="15"/>
    <x v="4"/>
    <n v="75"/>
    <n v="75000"/>
    <x v="1"/>
    <n v="4"/>
    <x v="0"/>
    <n v="0.73"/>
    <s v="Top Performer"/>
  </r>
  <r>
    <s v="FL250442"/>
    <s v="Timothy Wright"/>
    <s v="Male"/>
    <n v="43"/>
    <s v="30-45"/>
    <x v="9"/>
    <s v="Japanese"/>
    <s v="AI"/>
    <n v="12"/>
    <x v="0"/>
    <n v="20"/>
    <n v="20000"/>
    <x v="2"/>
    <n v="3.8"/>
    <x v="0"/>
    <n v="0.99"/>
    <s v="Average"/>
  </r>
  <r>
    <s v="FL250443"/>
    <s v="Joseph Gonzalez"/>
    <s v="Male"/>
    <n v="31"/>
    <s v="30-45"/>
    <x v="18"/>
    <s v="Mandarin"/>
    <s v="Graphic Design"/>
    <n v="5"/>
    <x v="0"/>
    <n v="35"/>
    <n v="35000"/>
    <x v="2"/>
    <n v="3"/>
    <x v="1"/>
    <n v="0.94"/>
    <s v="Average"/>
  </r>
  <r>
    <s v="FL250444"/>
    <s v="Andrea Perez"/>
    <s v="Female"/>
    <n v="34"/>
    <s v="30-45"/>
    <x v="18"/>
    <s v="Mandarin"/>
    <s v="Blockchain Development"/>
    <n v="9"/>
    <x v="0"/>
    <n v="50"/>
    <n v="50000"/>
    <x v="1"/>
    <n v="3"/>
    <x v="0"/>
    <n v="0.84"/>
    <s v="Average"/>
  </r>
  <r>
    <s v="FL250445"/>
    <s v="Angel Collins"/>
    <s v="Female"/>
    <n v="32"/>
    <s v="30-45"/>
    <x v="13"/>
    <s v="Russian"/>
    <s v="Cybersecurity"/>
    <n v="10"/>
    <x v="0"/>
    <n v="20"/>
    <n v="20000"/>
    <x v="2"/>
    <n v="3.8"/>
    <x v="1"/>
    <n v="0.92"/>
    <s v="Average"/>
  </r>
  <r>
    <s v="FL250446"/>
    <s v="Daniel Terry"/>
    <s v="Male"/>
    <n v="24"/>
    <s v="18-29"/>
    <x v="16"/>
    <s v="Arabic"/>
    <s v="DevOps"/>
    <n v="6"/>
    <x v="0"/>
    <n v="75"/>
    <n v="75000"/>
    <x v="1"/>
    <n v="3"/>
    <x v="1"/>
    <n v="0.6"/>
    <s v="Average"/>
  </r>
  <r>
    <s v="FL250447"/>
    <s v="Steven Whitaker"/>
    <s v="Male"/>
    <n v="35"/>
    <s v="30-45"/>
    <x v="7"/>
    <s v="English"/>
    <s v="AI"/>
    <n v="8"/>
    <x v="0"/>
    <n v="50"/>
    <n v="50000"/>
    <x v="1"/>
    <n v="3"/>
    <x v="0"/>
    <n v="0.9"/>
    <s v="Average"/>
  </r>
  <r>
    <s v="FL250448"/>
    <s v="Denise Neal"/>
    <s v="Female"/>
    <n v="22"/>
    <s v="18-29"/>
    <x v="1"/>
    <s v="English"/>
    <s v="Mobile Apps"/>
    <n v="4"/>
    <x v="2"/>
    <n v="20"/>
    <n v="20000"/>
    <x v="2"/>
    <n v="2.5"/>
    <x v="0"/>
    <n v="0.73"/>
    <s v="Needs Imporovement"/>
  </r>
  <r>
    <s v="FL250449"/>
    <s v="Amanda Jacobs"/>
    <s v="Female"/>
    <n v="55"/>
    <s v="46-55"/>
    <x v="16"/>
    <s v="Arabic"/>
    <s v="AI"/>
    <n v="3"/>
    <x v="2"/>
    <n v="100"/>
    <n v="100000"/>
    <x v="0"/>
    <n v="2.5"/>
    <x v="1"/>
    <n v="0.73"/>
    <s v="Needs Imporovement"/>
  </r>
  <r>
    <s v="FL250450"/>
    <s v="Karen Mercer"/>
    <s v="Female"/>
    <n v="54"/>
    <s v="46-55"/>
    <x v="8"/>
    <s v="Spanish"/>
    <s v="Machine Learning"/>
    <n v="10"/>
    <x v="0"/>
    <n v="30"/>
    <n v="30000"/>
    <x v="2"/>
    <n v="3.8"/>
    <x v="1"/>
    <n v="0.78"/>
    <s v="Average"/>
  </r>
  <r>
    <s v="FL250451"/>
    <s v="Lindsay Hudson"/>
    <s v="Female"/>
    <n v="36"/>
    <s v="30-45"/>
    <x v="3"/>
    <s v="Dutch"/>
    <s v="Cybersecurity"/>
    <n v="11"/>
    <x v="0"/>
    <n v="30"/>
    <n v="30000"/>
    <x v="2"/>
    <n v="3.8"/>
    <x v="1"/>
    <n v="0.63"/>
    <s v="Average"/>
  </r>
  <r>
    <s v="FL250452"/>
    <s v="Stephanie Armstrong"/>
    <s v="Female"/>
    <n v="36"/>
    <s v="30-45"/>
    <x v="3"/>
    <s v="Dutch"/>
    <s v="AI"/>
    <n v="17"/>
    <x v="4"/>
    <n v="50"/>
    <n v="50000"/>
    <x v="1"/>
    <n v="4"/>
    <x v="1"/>
    <n v="0.64"/>
    <s v="Top Performer"/>
  </r>
  <r>
    <s v="FL250453"/>
    <s v="Dr. Jessica Campbell"/>
    <s v="Female"/>
    <n v="25"/>
    <s v="18-29"/>
    <x v="8"/>
    <s v="Spanish"/>
    <s v="Web Development"/>
    <n v="1"/>
    <x v="2"/>
    <n v="75"/>
    <n v="75000"/>
    <x v="1"/>
    <n v="1.8"/>
    <x v="1"/>
    <n v="0.3"/>
    <s v="Needs Imporovement"/>
  </r>
  <r>
    <s v="FL250454"/>
    <s v="Curtis Maxwell"/>
    <s v="Male"/>
    <n v="46"/>
    <s v="46-55"/>
    <x v="4"/>
    <s v="Indonesian"/>
    <s v="AI"/>
    <n v="16"/>
    <x v="4"/>
    <n v="20"/>
    <n v="20000"/>
    <x v="2"/>
    <n v="4"/>
    <x v="1"/>
    <n v="0.86"/>
    <s v="Top Performer"/>
  </r>
  <r>
    <s v="FL250455"/>
    <s v="Adam Kelly PhD"/>
    <s v="Male"/>
    <n v="41"/>
    <s v="30-45"/>
    <x v="8"/>
    <s v="Spanish"/>
    <s v="Machine Learning"/>
    <n v="11"/>
    <x v="0"/>
    <n v="40"/>
    <n v="40000"/>
    <x v="1"/>
    <n v="3.8"/>
    <x v="0"/>
    <n v="0.75"/>
    <s v="Average"/>
  </r>
  <r>
    <s v="FL250456"/>
    <s v="Julie Becker"/>
    <s v="Female"/>
    <n v="21"/>
    <s v="18-29"/>
    <x v="13"/>
    <s v="Russian"/>
    <s v="Mobile Apps"/>
    <n v="3"/>
    <x v="2"/>
    <n v="100"/>
    <n v="100000"/>
    <x v="0"/>
    <n v="2.5"/>
    <x v="0"/>
    <n v="0.96"/>
    <s v="Needs Imporovement"/>
  </r>
  <r>
    <s v="FL250457"/>
    <s v="James Moore"/>
    <s v="Male"/>
    <n v="29"/>
    <s v="18-29"/>
    <x v="5"/>
    <s v="English"/>
    <s v="Graphic Design"/>
    <n v="5"/>
    <x v="0"/>
    <n v="75"/>
    <n v="75000"/>
    <x v="1"/>
    <n v="3"/>
    <x v="0"/>
    <n v="0.6"/>
    <s v="Average"/>
  </r>
  <r>
    <s v="FL250458"/>
    <s v="Danielle Barrera"/>
    <s v="Female"/>
    <n v="44"/>
    <s v="30-45"/>
    <x v="5"/>
    <s v="English"/>
    <s v="Mobile Apps"/>
    <n v="3"/>
    <x v="2"/>
    <n v="50"/>
    <n v="50000"/>
    <x v="1"/>
    <n v="2.5"/>
    <x v="0"/>
    <n v="0.77"/>
    <s v="Needs Imporovement"/>
  </r>
  <r>
    <s v="FL250459"/>
    <s v="David Sanchez"/>
    <s v="Male"/>
    <n v="40"/>
    <s v="30-45"/>
    <x v="14"/>
    <s v="English"/>
    <s v="Machine Learning"/>
    <n v="1"/>
    <x v="2"/>
    <n v="100"/>
    <n v="100000"/>
    <x v="0"/>
    <n v="1.8"/>
    <x v="1"/>
    <n v="0.3"/>
    <s v="Needs Imporovement"/>
  </r>
  <r>
    <s v="FL250460"/>
    <s v="Tiffany Bowman"/>
    <s v="Female"/>
    <n v="27"/>
    <s v="18-29"/>
    <x v="16"/>
    <s v="Arabic"/>
    <s v="Data Analysis"/>
    <n v="1"/>
    <x v="2"/>
    <n v="30"/>
    <n v="30000"/>
    <x v="2"/>
    <n v="1.8"/>
    <x v="0"/>
    <n v="0.65"/>
    <s v="Needs Imporovement"/>
  </r>
  <r>
    <s v="FL250461"/>
    <s v="Jesus Quinn"/>
    <s v="Male"/>
    <n v="53"/>
    <s v="46-55"/>
    <x v="15"/>
    <s v="French"/>
    <s v="Mobile Apps"/>
    <n v="35"/>
    <x v="1"/>
    <n v="30"/>
    <n v="30000"/>
    <x v="2"/>
    <n v="5"/>
    <x v="1"/>
    <n v="0.62"/>
    <s v="Top Performer"/>
  </r>
  <r>
    <s v="FL250462"/>
    <s v="Mr. Danny Morris DDS"/>
    <s v="Male"/>
    <n v="20"/>
    <s v="18-29"/>
    <x v="6"/>
    <s v="Turkish"/>
    <s v="Data Analysis"/>
    <n v="1"/>
    <x v="2"/>
    <n v="50"/>
    <n v="50000"/>
    <x v="1"/>
    <n v="1.8"/>
    <x v="0"/>
    <n v="0.81"/>
    <s v="Needs Imporovement"/>
  </r>
  <r>
    <s v="FL250463"/>
    <s v="Nicole York"/>
    <s v="Female"/>
    <n v="39"/>
    <s v="30-45"/>
    <x v="9"/>
    <s v="Japanese"/>
    <s v="DevOps"/>
    <n v="12"/>
    <x v="0"/>
    <n v="50"/>
    <n v="50000"/>
    <x v="1"/>
    <n v="3.8"/>
    <x v="1"/>
    <n v="0.62"/>
    <s v="Average"/>
  </r>
  <r>
    <s v="FL250464"/>
    <s v="John Mathis"/>
    <s v="Male"/>
    <n v="26"/>
    <s v="18-29"/>
    <x v="19"/>
    <s v="Spanish"/>
    <s v="Web Development"/>
    <n v="8"/>
    <x v="0"/>
    <n v="40"/>
    <n v="40000"/>
    <x v="1"/>
    <n v="3"/>
    <x v="0"/>
    <n v="0.87"/>
    <s v="Average"/>
  </r>
  <r>
    <s v="FL250465"/>
    <s v="Julie Barnett"/>
    <s v="Female"/>
    <n v="49"/>
    <s v="46-55"/>
    <x v="11"/>
    <s v="Portuguese"/>
    <s v="Machine Learning"/>
    <n v="13"/>
    <x v="4"/>
    <n v="100"/>
    <n v="100000"/>
    <x v="0"/>
    <n v="3.8"/>
    <x v="0"/>
    <n v="0.75"/>
    <s v="Average"/>
  </r>
  <r>
    <s v="FL250466"/>
    <s v="Jasmine Harris"/>
    <s v="Female"/>
    <n v="20"/>
    <s v="18-29"/>
    <x v="16"/>
    <s v="Arabic"/>
    <s v="Data Analysis"/>
    <n v="0"/>
    <x v="2"/>
    <n v="30"/>
    <n v="30000"/>
    <x v="2"/>
    <n v="1.8"/>
    <x v="1"/>
    <n v="0.76"/>
    <s v="Needs Imporovement"/>
  </r>
  <r>
    <s v="FL250467"/>
    <s v="Mary Henry"/>
    <s v="Female"/>
    <n v="39"/>
    <s v="30-45"/>
    <x v="18"/>
    <s v="Mandarin"/>
    <s v="Blockchain Development"/>
    <n v="11"/>
    <x v="0"/>
    <n v="100"/>
    <n v="100000"/>
    <x v="0"/>
    <n v="3.8"/>
    <x v="0"/>
    <n v="0.7"/>
    <s v="Average"/>
  </r>
  <r>
    <s v="FL250468"/>
    <s v="Judith Riggs"/>
    <s v="Female"/>
    <n v="41"/>
    <s v="30-45"/>
    <x v="18"/>
    <s v="Mandarin"/>
    <s v="Machine Learning"/>
    <n v="19"/>
    <x v="4"/>
    <n v="100"/>
    <n v="100000"/>
    <x v="0"/>
    <n v="4"/>
    <x v="1"/>
    <n v="0.71"/>
    <s v="Top Performer"/>
  </r>
  <r>
    <s v="FL250469"/>
    <s v="Justin Ruiz"/>
    <s v="Male"/>
    <n v="59"/>
    <s v="55+"/>
    <x v="14"/>
    <s v="English"/>
    <s v="Mobile Apps"/>
    <n v="30"/>
    <x v="3"/>
    <n v="30"/>
    <n v="30000"/>
    <x v="2"/>
    <n v="5"/>
    <x v="1"/>
    <n v="0.83"/>
    <s v="Top Performer"/>
  </r>
  <r>
    <s v="FL250470"/>
    <s v="Jennifer Sullivan"/>
    <s v="Female"/>
    <n v="45"/>
    <s v="30-45"/>
    <x v="1"/>
    <s v="English"/>
    <s v="Blockchain Development"/>
    <n v="8"/>
    <x v="0"/>
    <n v="40"/>
    <n v="40000"/>
    <x v="1"/>
    <n v="3"/>
    <x v="0"/>
    <n v="0.78"/>
    <s v="Average"/>
  </r>
  <r>
    <s v="FL250471"/>
    <s v="Jesse Moran"/>
    <s v="Male"/>
    <n v="22"/>
    <s v="18-29"/>
    <x v="4"/>
    <s v="Indonesian"/>
    <s v="Cybersecurity"/>
    <n v="0"/>
    <x v="2"/>
    <n v="40"/>
    <n v="40000"/>
    <x v="1"/>
    <n v="1.8"/>
    <x v="1"/>
    <n v="0.78"/>
    <s v="Needs Imporovement"/>
  </r>
  <r>
    <s v="FL250472"/>
    <s v="Monica Smith"/>
    <s v="Female"/>
    <n v="48"/>
    <s v="46-55"/>
    <x v="10"/>
    <s v="Hindi"/>
    <s v="Mobile Apps"/>
    <n v="7"/>
    <x v="0"/>
    <n v="50"/>
    <n v="50000"/>
    <x v="1"/>
    <n v="3"/>
    <x v="1"/>
    <n v="0.6"/>
    <s v="Average"/>
  </r>
  <r>
    <s v="FL250473"/>
    <s v="Ian May"/>
    <s v="Male"/>
    <n v="36"/>
    <s v="30-45"/>
    <x v="15"/>
    <s v="French"/>
    <s v="Blockchain Development"/>
    <n v="11"/>
    <x v="0"/>
    <n v="40"/>
    <n v="40000"/>
    <x v="1"/>
    <n v="3.8"/>
    <x v="1"/>
    <n v="0.75"/>
    <s v="Average"/>
  </r>
  <r>
    <s v="FL250474"/>
    <s v="Kayla Meyers"/>
    <s v="Female"/>
    <n v="57"/>
    <s v="55+"/>
    <x v="18"/>
    <s v="Mandarin"/>
    <s v="Blockchain Development"/>
    <n v="15"/>
    <x v="4"/>
    <n v="75"/>
    <n v="75000"/>
    <x v="1"/>
    <n v="4"/>
    <x v="1"/>
    <n v="0.85"/>
    <s v="Top Performer"/>
  </r>
  <r>
    <s v="FL250475"/>
    <s v="John Bray"/>
    <s v="Male"/>
    <n v="42"/>
    <s v="30-45"/>
    <x v="5"/>
    <s v="English"/>
    <s v="UI/UX Design"/>
    <n v="14"/>
    <x v="4"/>
    <n v="30"/>
    <n v="30000"/>
    <x v="2"/>
    <n v="3.8"/>
    <x v="0"/>
    <n v="0.94"/>
    <s v="Average"/>
  </r>
  <r>
    <s v="FL250476"/>
    <s v="James Smith"/>
    <s v="Male"/>
    <n v="31"/>
    <s v="30-45"/>
    <x v="4"/>
    <s v="Indonesian"/>
    <s v="Cybersecurity"/>
    <n v="11"/>
    <x v="0"/>
    <n v="50"/>
    <n v="50000"/>
    <x v="1"/>
    <n v="3.8"/>
    <x v="0"/>
    <n v="0.62"/>
    <s v="Average"/>
  </r>
  <r>
    <s v="FL250477"/>
    <s v="Mark Duncan"/>
    <s v="Male"/>
    <n v="52"/>
    <s v="46-55"/>
    <x v="20"/>
    <s v="Spanish"/>
    <s v="Cybersecurity"/>
    <n v="31"/>
    <x v="1"/>
    <n v="30"/>
    <n v="30000"/>
    <x v="2"/>
    <n v="5"/>
    <x v="1"/>
    <n v="1"/>
    <s v="Top Performer"/>
  </r>
  <r>
    <s v="FL250478"/>
    <s v="Matthew Gay"/>
    <s v="Male"/>
    <n v="56"/>
    <s v="55+"/>
    <x v="3"/>
    <s v="Dutch"/>
    <s v="DevOps"/>
    <n v="16"/>
    <x v="4"/>
    <n v="30"/>
    <n v="30000"/>
    <x v="2"/>
    <n v="4"/>
    <x v="1"/>
    <n v="0.85"/>
    <s v="Top Performer"/>
  </r>
  <r>
    <s v="FL250479"/>
    <s v="Cheryl Freeman"/>
    <s v="Female"/>
    <n v="24"/>
    <s v="18-29"/>
    <x v="3"/>
    <s v="Dutch"/>
    <s v="DevOps"/>
    <n v="6"/>
    <x v="0"/>
    <n v="30"/>
    <n v="30000"/>
    <x v="2"/>
    <n v="3"/>
    <x v="1"/>
    <n v="0.84"/>
    <s v="Average"/>
  </r>
  <r>
    <s v="FL250480"/>
    <s v="Patrick Welch"/>
    <s v="Male"/>
    <n v="48"/>
    <s v="46-55"/>
    <x v="14"/>
    <s v="English"/>
    <s v="DevOps"/>
    <n v="21"/>
    <x v="3"/>
    <n v="75"/>
    <n v="75000"/>
    <x v="1"/>
    <n v="4"/>
    <x v="1"/>
    <n v="0.85"/>
    <s v="Top Performer"/>
  </r>
  <r>
    <s v="FL250481"/>
    <s v="Craig Levine"/>
    <s v="Male"/>
    <n v="59"/>
    <s v="55+"/>
    <x v="15"/>
    <s v="French"/>
    <s v="Cybersecurity"/>
    <n v="13"/>
    <x v="4"/>
    <n v="40"/>
    <n v="40000"/>
    <x v="1"/>
    <n v="3.8"/>
    <x v="0"/>
    <n v="0.65"/>
    <s v="Average"/>
  </r>
  <r>
    <s v="FL250482"/>
    <s v="Richard Harvey"/>
    <s v="Male"/>
    <n v="46"/>
    <s v="46-55"/>
    <x v="7"/>
    <s v="English"/>
    <s v="Web Development"/>
    <n v="7"/>
    <x v="0"/>
    <n v="40"/>
    <n v="40000"/>
    <x v="1"/>
    <n v="3"/>
    <x v="1"/>
    <n v="0.94"/>
    <s v="Average"/>
  </r>
  <r>
    <s v="FL250483"/>
    <s v="Bonnie Sherman"/>
    <s v="Female"/>
    <n v="38"/>
    <s v="30-45"/>
    <x v="3"/>
    <s v="Dutch"/>
    <s v="Mobile Apps"/>
    <n v="11"/>
    <x v="0"/>
    <n v="20"/>
    <n v="20000"/>
    <x v="2"/>
    <n v="3.8"/>
    <x v="0"/>
    <n v="0.69"/>
    <s v="Average"/>
  </r>
  <r>
    <s v="FL250484"/>
    <s v="Keith Trujillo"/>
    <s v="Male"/>
    <n v="25"/>
    <s v="18-29"/>
    <x v="3"/>
    <s v="Dutch"/>
    <s v="Mobile Apps"/>
    <n v="0"/>
    <x v="2"/>
    <n v="50"/>
    <n v="50000"/>
    <x v="1"/>
    <n v="1.8"/>
    <x v="1"/>
    <n v="0.65"/>
    <s v="Needs Imporovement"/>
  </r>
  <r>
    <s v="FL250485"/>
    <s v="Corey Combs"/>
    <s v="Male"/>
    <n v="31"/>
    <s v="30-45"/>
    <x v="16"/>
    <s v="Arabic"/>
    <s v="Mobile Apps"/>
    <n v="2"/>
    <x v="2"/>
    <n v="75"/>
    <n v="75000"/>
    <x v="1"/>
    <n v="2.5"/>
    <x v="0"/>
    <n v="0.6"/>
    <s v="Needs Imporovement"/>
  </r>
  <r>
    <s v="FL250486"/>
    <s v="Antonio King"/>
    <s v="Male"/>
    <n v="40"/>
    <s v="30-45"/>
    <x v="6"/>
    <s v="Turkish"/>
    <s v="DevOps"/>
    <n v="12"/>
    <x v="0"/>
    <n v="75"/>
    <n v="75000"/>
    <x v="1"/>
    <n v="3.8"/>
    <x v="0"/>
    <n v="0.75"/>
    <s v="Average"/>
  </r>
  <r>
    <s v="FL250487"/>
    <s v="Amy Lee"/>
    <s v="Female"/>
    <n v="48"/>
    <s v="46-55"/>
    <x v="13"/>
    <s v="Russian"/>
    <s v="Blockchain Development"/>
    <n v="13"/>
    <x v="4"/>
    <n v="100"/>
    <n v="100000"/>
    <x v="0"/>
    <n v="3.8"/>
    <x v="0"/>
    <n v="0.62"/>
    <s v="Average"/>
  </r>
  <r>
    <s v="FL250488"/>
    <s v="Jennifer Rogers"/>
    <s v="Female"/>
    <n v="24"/>
    <s v="18-29"/>
    <x v="17"/>
    <s v="Afrikaans"/>
    <s v="Mobile Apps"/>
    <n v="6"/>
    <x v="0"/>
    <n v="30"/>
    <n v="30000"/>
    <x v="2"/>
    <n v="3"/>
    <x v="1"/>
    <n v="0.6"/>
    <s v="Average"/>
  </r>
  <r>
    <s v="FL250489"/>
    <s v="Jeffrey Cooper"/>
    <s v="Male"/>
    <n v="33"/>
    <s v="30-45"/>
    <x v="4"/>
    <s v="Indonesian"/>
    <s v="Web Development"/>
    <n v="10"/>
    <x v="0"/>
    <n v="30"/>
    <n v="30000"/>
    <x v="2"/>
    <n v="3.8"/>
    <x v="1"/>
    <n v="0.89"/>
    <s v="Average"/>
  </r>
  <r>
    <s v="FL250490"/>
    <s v="Allison Williams"/>
    <s v="Female"/>
    <n v="43"/>
    <s v="30-45"/>
    <x v="11"/>
    <s v="Portuguese"/>
    <s v="UI/UX Design"/>
    <n v="2"/>
    <x v="2"/>
    <n v="40"/>
    <n v="40000"/>
    <x v="1"/>
    <n v="2.5"/>
    <x v="1"/>
    <n v="0.89"/>
    <s v="Needs Imporovement"/>
  </r>
  <r>
    <s v="FL250491"/>
    <s v="Raymond Sherman"/>
    <s v="Male"/>
    <n v="43"/>
    <s v="30-45"/>
    <x v="20"/>
    <s v="Spanish"/>
    <s v="Blockchain Development"/>
    <n v="4"/>
    <x v="2"/>
    <n v="50"/>
    <n v="50000"/>
    <x v="1"/>
    <n v="2.5"/>
    <x v="1"/>
    <n v="1"/>
    <s v="Needs Imporovement"/>
  </r>
  <r>
    <s v="FL250492"/>
    <s v="Jennifer Nelson"/>
    <s v="Female"/>
    <n v="33"/>
    <s v="30-45"/>
    <x v="1"/>
    <s v="English"/>
    <s v="Web Development"/>
    <n v="11"/>
    <x v="0"/>
    <n v="60"/>
    <n v="60000"/>
    <x v="1"/>
    <n v="3.8"/>
    <x v="1"/>
    <n v="0.75"/>
    <s v="Average"/>
  </r>
  <r>
    <s v="FL250493"/>
    <s v="Jennifer Carter"/>
    <s v="Female"/>
    <n v="49"/>
    <s v="46-55"/>
    <x v="13"/>
    <s v="Russian"/>
    <s v="UI/UX Design"/>
    <n v="14"/>
    <x v="4"/>
    <n v="40"/>
    <n v="40000"/>
    <x v="1"/>
    <n v="3.8"/>
    <x v="0"/>
    <n v="0.6"/>
    <s v="Average"/>
  </r>
  <r>
    <s v="FL250494"/>
    <s v="Todd Williams"/>
    <s v="Male"/>
    <n v="55"/>
    <s v="46-55"/>
    <x v="14"/>
    <s v="English"/>
    <s v="UI/UX Design"/>
    <n v="10"/>
    <x v="0"/>
    <n v="40"/>
    <n v="40000"/>
    <x v="1"/>
    <n v="3.8"/>
    <x v="0"/>
    <n v="0.85"/>
    <s v="Average"/>
  </r>
  <r>
    <s v="FL250495"/>
    <s v="Emily Horton"/>
    <s v="Female"/>
    <n v="33"/>
    <s v="30-45"/>
    <x v="12"/>
    <s v="Korean"/>
    <s v="Graphic Design"/>
    <n v="3"/>
    <x v="2"/>
    <n v="40"/>
    <n v="40000"/>
    <x v="1"/>
    <n v="2.5"/>
    <x v="0"/>
    <n v="0.83"/>
    <s v="Needs Imporovement"/>
  </r>
  <r>
    <s v="FL250496"/>
    <s v="Lance Lester"/>
    <s v="Male"/>
    <n v="32"/>
    <s v="30-45"/>
    <x v="8"/>
    <s v="Spanish"/>
    <s v="AI"/>
    <n v="3"/>
    <x v="2"/>
    <n v="30"/>
    <n v="30000"/>
    <x v="2"/>
    <n v="2.5"/>
    <x v="0"/>
    <n v="0.96"/>
    <s v="Needs Imporovement"/>
  </r>
  <r>
    <s v="FL250497"/>
    <s v="Kevin Flores"/>
    <s v="Male"/>
    <n v="58"/>
    <s v="55+"/>
    <x v="3"/>
    <s v="Dutch"/>
    <s v="Blockchain Development"/>
    <n v="33"/>
    <x v="1"/>
    <n v="80"/>
    <n v="80000"/>
    <x v="1"/>
    <n v="5"/>
    <x v="1"/>
    <n v="0.83"/>
    <s v="Top Performer"/>
  </r>
  <r>
    <s v="FL250498"/>
    <s v="Aaron Stewart PhD"/>
    <s v="Male"/>
    <n v="49"/>
    <s v="46-55"/>
    <x v="4"/>
    <s v="Indonesian"/>
    <s v="Data Analysis"/>
    <n v="24"/>
    <x v="3"/>
    <n v="100"/>
    <n v="100000"/>
    <x v="0"/>
    <n v="4"/>
    <x v="0"/>
    <n v="0.6"/>
    <s v="Top Performer"/>
  </r>
  <r>
    <s v="FL250499"/>
    <s v="Robin Moore"/>
    <s v="Female"/>
    <n v="22"/>
    <s v="18-29"/>
    <x v="13"/>
    <s v="Russian"/>
    <s v="UI/UX Design"/>
    <n v="3"/>
    <x v="2"/>
    <n v="100"/>
    <n v="100000"/>
    <x v="0"/>
    <n v="2.5"/>
    <x v="1"/>
    <n v="0.78"/>
    <s v="Needs Imporovement"/>
  </r>
  <r>
    <s v="FL250500"/>
    <s v="Suzanne Ingram"/>
    <s v="Female"/>
    <n v="40"/>
    <s v="30-45"/>
    <x v="16"/>
    <s v="Arabic"/>
    <s v="Web Development"/>
    <n v="11"/>
    <x v="0"/>
    <n v="20"/>
    <n v="20000"/>
    <x v="2"/>
    <n v="3.8"/>
    <x v="1"/>
    <n v="0.9"/>
    <s v="Average"/>
  </r>
  <r>
    <s v="FL250501"/>
    <s v="Jacob Mclaughlin"/>
    <s v="Male"/>
    <n v="55"/>
    <s v="46-55"/>
    <x v="1"/>
    <s v="English"/>
    <s v="Data Analysis"/>
    <n v="7"/>
    <x v="0"/>
    <n v="100"/>
    <n v="100000"/>
    <x v="0"/>
    <n v="3"/>
    <x v="0"/>
    <n v="0.66"/>
    <s v="Average"/>
  </r>
  <r>
    <s v="FL250502"/>
    <s v="Michael Nunez"/>
    <s v="Male"/>
    <n v="32"/>
    <s v="30-45"/>
    <x v="19"/>
    <s v="Spanish"/>
    <s v="DevOps"/>
    <n v="1"/>
    <x v="2"/>
    <n v="50"/>
    <n v="50000"/>
    <x v="1"/>
    <n v="1.8"/>
    <x v="1"/>
    <n v="0.7"/>
    <s v="Needs Imporovement"/>
  </r>
  <r>
    <s v="FL250503"/>
    <s v="Isabel Brown"/>
    <s v="Female"/>
    <n v="21"/>
    <s v="18-29"/>
    <x v="9"/>
    <s v="Japanese"/>
    <s v="UI/UX Design"/>
    <n v="0"/>
    <x v="2"/>
    <n v="30"/>
    <n v="30000"/>
    <x v="2"/>
    <n v="1.8"/>
    <x v="1"/>
    <n v="0.79"/>
    <s v="Needs Imporovement"/>
  </r>
  <r>
    <s v="FL250504"/>
    <s v="Michael Stein"/>
    <s v="Male"/>
    <n v="23"/>
    <s v="18-29"/>
    <x v="12"/>
    <s v="Korean"/>
    <s v="Blockchain Development"/>
    <n v="1"/>
    <x v="2"/>
    <n v="40"/>
    <n v="40000"/>
    <x v="1"/>
    <n v="1.8"/>
    <x v="0"/>
    <n v="0.64"/>
    <s v="Needs Imporovement"/>
  </r>
  <r>
    <s v="FL250505"/>
    <s v="Robert Stone"/>
    <s v="Male"/>
    <n v="21"/>
    <s v="18-29"/>
    <x v="7"/>
    <s v="English"/>
    <s v="Mobile Apps"/>
    <n v="1"/>
    <x v="2"/>
    <n v="30"/>
    <n v="30000"/>
    <x v="2"/>
    <n v="1.8"/>
    <x v="0"/>
    <n v="0.81"/>
    <s v="Needs Imporovement"/>
  </r>
  <r>
    <s v="FL250506"/>
    <s v="Dillon Henry"/>
    <s v="Male"/>
    <n v="31"/>
    <s v="30-45"/>
    <x v="8"/>
    <s v="Spanish"/>
    <s v="AI"/>
    <n v="7"/>
    <x v="0"/>
    <n v="75"/>
    <n v="75000"/>
    <x v="1"/>
    <n v="3"/>
    <x v="0"/>
    <n v="0.83"/>
    <s v="Average"/>
  </r>
  <r>
    <s v="FL250507"/>
    <s v="James Todd"/>
    <s v="Male"/>
    <n v="21"/>
    <s v="18-29"/>
    <x v="19"/>
    <s v="Spanish"/>
    <s v="Blockchain Development"/>
    <n v="0"/>
    <x v="2"/>
    <n v="40"/>
    <n v="40000"/>
    <x v="1"/>
    <n v="1.8"/>
    <x v="0"/>
    <n v="0.91"/>
    <s v="Needs Imporovement"/>
  </r>
  <r>
    <s v="FL250508"/>
    <s v="Clifford Moore MD"/>
    <s v="Male"/>
    <n v="33"/>
    <s v="30-45"/>
    <x v="7"/>
    <s v="English"/>
    <s v="Cybersecurity"/>
    <n v="6"/>
    <x v="0"/>
    <n v="50"/>
    <n v="50000"/>
    <x v="1"/>
    <n v="3"/>
    <x v="0"/>
    <n v="0.6"/>
    <s v="Average"/>
  </r>
  <r>
    <s v="FL250509"/>
    <s v="John Rios"/>
    <s v="Male"/>
    <n v="57"/>
    <s v="55+"/>
    <x v="11"/>
    <s v="Portuguese"/>
    <s v="Web Development"/>
    <n v="5"/>
    <x v="0"/>
    <n v="75"/>
    <n v="75000"/>
    <x v="1"/>
    <n v="3"/>
    <x v="1"/>
    <n v="0.77"/>
    <s v="Average"/>
  </r>
  <r>
    <s v="FL250510"/>
    <s v="Anthony Gaines"/>
    <s v="Male"/>
    <n v="52"/>
    <s v="46-55"/>
    <x v="5"/>
    <s v="English"/>
    <s v="DevOps"/>
    <n v="17"/>
    <x v="4"/>
    <n v="75"/>
    <n v="75000"/>
    <x v="1"/>
    <n v="4"/>
    <x v="0"/>
    <n v="0.94"/>
    <s v="Top Performer"/>
  </r>
  <r>
    <s v="FL250511"/>
    <s v="Kristi Brown DVM"/>
    <s v="Female"/>
    <n v="21"/>
    <s v="18-29"/>
    <x v="2"/>
    <s v="German"/>
    <s v="Web Development"/>
    <n v="0"/>
    <x v="2"/>
    <n v="20"/>
    <n v="20000"/>
    <x v="2"/>
    <n v="1.8"/>
    <x v="1"/>
    <n v="0.61"/>
    <s v="Needs Imporovement"/>
  </r>
  <r>
    <s v="FL250512"/>
    <s v="Ashley Odonnell"/>
    <s v="Female"/>
    <n v="36"/>
    <s v="30-45"/>
    <x v="8"/>
    <s v="Spanish"/>
    <s v="UI/UX Design"/>
    <n v="8"/>
    <x v="0"/>
    <n v="100"/>
    <n v="100000"/>
    <x v="0"/>
    <n v="3"/>
    <x v="0"/>
    <n v="0.68"/>
    <s v="Average"/>
  </r>
  <r>
    <s v="FL250513"/>
    <s v="Ronald Elliott"/>
    <s v="Male"/>
    <n v="33"/>
    <s v="30-45"/>
    <x v="20"/>
    <s v="Spanish"/>
    <s v="Machine Learning"/>
    <n v="13"/>
    <x v="4"/>
    <n v="50"/>
    <n v="50000"/>
    <x v="1"/>
    <n v="3.8"/>
    <x v="0"/>
    <n v="0.7"/>
    <s v="Average"/>
  </r>
  <r>
    <s v="FL250514"/>
    <s v="Lorraine Lowery"/>
    <s v="Female"/>
    <n v="54"/>
    <s v="46-55"/>
    <x v="7"/>
    <s v="English"/>
    <s v="Data Analysis"/>
    <n v="15"/>
    <x v="4"/>
    <n v="40"/>
    <n v="40000"/>
    <x v="1"/>
    <n v="4"/>
    <x v="1"/>
    <n v="0.71"/>
    <s v="Top Performer"/>
  </r>
  <r>
    <s v="FL250515"/>
    <s v="Victoria Chapman"/>
    <s v="Female"/>
    <n v="33"/>
    <s v="30-45"/>
    <x v="5"/>
    <s v="English"/>
    <s v="Blockchain Development"/>
    <n v="2"/>
    <x v="2"/>
    <n v="100"/>
    <n v="100000"/>
    <x v="0"/>
    <n v="2.5"/>
    <x v="0"/>
    <n v="0.35"/>
    <s v="Needs Imporovement"/>
  </r>
  <r>
    <s v="FL250516"/>
    <s v="Heather Davis"/>
    <s v="Female"/>
    <n v="36"/>
    <s v="30-45"/>
    <x v="9"/>
    <s v="Japanese"/>
    <s v="Machine Learning"/>
    <n v="9"/>
    <x v="0"/>
    <n v="30"/>
    <n v="30000"/>
    <x v="2"/>
    <n v="3"/>
    <x v="1"/>
    <n v="0.78"/>
    <s v="Average"/>
  </r>
  <r>
    <s v="FL250517"/>
    <s v="Diana Chase"/>
    <s v="Female"/>
    <n v="36"/>
    <s v="30-45"/>
    <x v="6"/>
    <s v="Turkish"/>
    <s v="AI"/>
    <n v="3"/>
    <x v="2"/>
    <n v="50"/>
    <n v="50000"/>
    <x v="1"/>
    <n v="2.5"/>
    <x v="0"/>
    <n v="0.75"/>
    <s v="Needs Imporovement"/>
  </r>
  <r>
    <s v="FL250518"/>
    <s v="Danielle Adkins"/>
    <s v="Female"/>
    <n v="43"/>
    <s v="30-45"/>
    <x v="18"/>
    <s v="Mandarin"/>
    <s v="AI"/>
    <n v="15"/>
    <x v="4"/>
    <n v="20"/>
    <n v="20000"/>
    <x v="2"/>
    <n v="4"/>
    <x v="1"/>
    <n v="0.91"/>
    <s v="Top Performer"/>
  </r>
  <r>
    <s v="FL250519"/>
    <s v="Kenneth Arias"/>
    <s v="Male"/>
    <n v="52"/>
    <s v="46-55"/>
    <x v="7"/>
    <s v="English"/>
    <s v="Data Analysis"/>
    <n v="21"/>
    <x v="3"/>
    <n v="75"/>
    <n v="75000"/>
    <x v="1"/>
    <n v="4"/>
    <x v="1"/>
    <n v="0.66"/>
    <s v="Top Performer"/>
  </r>
  <r>
    <s v="FL250520"/>
    <s v="Victoria Owen"/>
    <s v="Female"/>
    <n v="28"/>
    <s v="18-29"/>
    <x v="4"/>
    <s v="Indonesian"/>
    <s v="Cybersecurity"/>
    <n v="2"/>
    <x v="2"/>
    <n v="75"/>
    <n v="75000"/>
    <x v="1"/>
    <n v="2.5"/>
    <x v="1"/>
    <n v="0.68"/>
    <s v="Needs Imporovement"/>
  </r>
  <r>
    <s v="FL250521"/>
    <s v="Christina King"/>
    <s v="Female"/>
    <n v="47"/>
    <s v="46-55"/>
    <x v="18"/>
    <s v="Mandarin"/>
    <s v="Cybersecurity"/>
    <n v="21"/>
    <x v="3"/>
    <n v="100"/>
    <n v="100000"/>
    <x v="0"/>
    <n v="4"/>
    <x v="0"/>
    <n v="0.85"/>
    <s v="Top Performer"/>
  </r>
  <r>
    <s v="FL250522"/>
    <s v="Samantha King"/>
    <s v="Female"/>
    <n v="30"/>
    <s v="30-45"/>
    <x v="15"/>
    <s v="French"/>
    <s v="DevOps"/>
    <n v="0"/>
    <x v="2"/>
    <n v="100"/>
    <n v="100000"/>
    <x v="0"/>
    <n v="1.8"/>
    <x v="0"/>
    <n v="0.62"/>
    <s v="Needs Imporovement"/>
  </r>
  <r>
    <s v="FL250523"/>
    <s v="Scott Compton"/>
    <s v="Male"/>
    <n v="36"/>
    <s v="30-45"/>
    <x v="16"/>
    <s v="Arabic"/>
    <s v="Blockchain Development"/>
    <n v="4"/>
    <x v="2"/>
    <n v="40"/>
    <n v="40000"/>
    <x v="1"/>
    <n v="2.5"/>
    <x v="0"/>
    <n v="0.9"/>
    <s v="Needs Imporovement"/>
  </r>
  <r>
    <s v="FL250524"/>
    <s v="Monica West"/>
    <s v="Female"/>
    <n v="45"/>
    <s v="30-45"/>
    <x v="5"/>
    <s v="English"/>
    <s v="UI/UX Design"/>
    <n v="23"/>
    <x v="3"/>
    <n v="100"/>
    <n v="100000"/>
    <x v="0"/>
    <n v="4"/>
    <x v="0"/>
    <n v="0.96"/>
    <s v="Top Performer"/>
  </r>
  <r>
    <s v="FL250525"/>
    <s v="Theresa Stewart"/>
    <s v="Female"/>
    <n v="51"/>
    <s v="46-55"/>
    <x v="5"/>
    <s v="English"/>
    <s v="Blockchain Development"/>
    <n v="25"/>
    <x v="3"/>
    <n v="50"/>
    <n v="50000"/>
    <x v="1"/>
    <n v="4.8"/>
    <x v="1"/>
    <n v="0.6"/>
    <s v="Top Performer"/>
  </r>
  <r>
    <s v="FL250526"/>
    <s v="Steven Kim"/>
    <s v="Male"/>
    <n v="46"/>
    <s v="46-55"/>
    <x v="6"/>
    <s v="Turkish"/>
    <s v="Mobile Apps"/>
    <n v="10"/>
    <x v="0"/>
    <n v="45"/>
    <n v="45000"/>
    <x v="1"/>
    <n v="3.8"/>
    <x v="1"/>
    <n v="0.62"/>
    <s v="Average"/>
  </r>
  <r>
    <s v="FL250527"/>
    <s v="Kristi Knight"/>
    <s v="Female"/>
    <n v="38"/>
    <s v="30-45"/>
    <x v="0"/>
    <s v="Italian"/>
    <s v="Data Analysis"/>
    <n v="18"/>
    <x v="4"/>
    <n v="40"/>
    <n v="40000"/>
    <x v="1"/>
    <n v="4"/>
    <x v="0"/>
    <n v="0.74"/>
    <s v="Top Performer"/>
  </r>
  <r>
    <s v="FL250528"/>
    <s v="Jason Bryant"/>
    <s v="Male"/>
    <n v="26"/>
    <s v="18-29"/>
    <x v="20"/>
    <s v="Spanish"/>
    <s v="Blockchain Development"/>
    <n v="1"/>
    <x v="2"/>
    <n v="20"/>
    <n v="20000"/>
    <x v="2"/>
    <n v="1.8"/>
    <x v="1"/>
    <n v="0.3"/>
    <s v="Needs Imporovement"/>
  </r>
  <r>
    <s v="FL250529"/>
    <s v="Maureen Keith"/>
    <s v="Female"/>
    <n v="40"/>
    <s v="30-45"/>
    <x v="7"/>
    <s v="English"/>
    <s v="DevOps"/>
    <n v="12"/>
    <x v="0"/>
    <n v="30"/>
    <n v="30000"/>
    <x v="2"/>
    <n v="3.8"/>
    <x v="0"/>
    <n v="0.98"/>
    <s v="Average"/>
  </r>
  <r>
    <s v="FL250530"/>
    <s v="Shawn Hogan"/>
    <s v="Male"/>
    <n v="37"/>
    <s v="30-45"/>
    <x v="2"/>
    <s v="German"/>
    <s v="Machine Learning"/>
    <n v="10"/>
    <x v="0"/>
    <n v="60"/>
    <n v="60000"/>
    <x v="1"/>
    <n v="3.8"/>
    <x v="1"/>
    <n v="0.63"/>
    <s v="Average"/>
  </r>
  <r>
    <s v="FL250531"/>
    <s v="William Davis"/>
    <s v="Male"/>
    <n v="28"/>
    <s v="18-29"/>
    <x v="14"/>
    <s v="English"/>
    <s v="Blockchain Development"/>
    <n v="5"/>
    <x v="0"/>
    <n v="50"/>
    <n v="50000"/>
    <x v="1"/>
    <n v="3"/>
    <x v="1"/>
    <n v="0.96"/>
    <s v="Average"/>
  </r>
  <r>
    <s v="FL250532"/>
    <s v="Stacy Bailey"/>
    <s v="Female"/>
    <n v="48"/>
    <s v="46-55"/>
    <x v="10"/>
    <s v="Hindi"/>
    <s v="Mobile Apps"/>
    <n v="28"/>
    <x v="3"/>
    <n v="20"/>
    <n v="20000"/>
    <x v="2"/>
    <n v="4.8"/>
    <x v="0"/>
    <n v="0.88"/>
    <s v="Top Performer"/>
  </r>
  <r>
    <s v="FL250533"/>
    <s v="Thomas Dixon"/>
    <s v="Male"/>
    <n v="22"/>
    <s v="18-29"/>
    <x v="10"/>
    <s v="Hindi"/>
    <s v="AI"/>
    <n v="0"/>
    <x v="2"/>
    <n v="20"/>
    <n v="20000"/>
    <x v="2"/>
    <n v="1.8"/>
    <x v="0"/>
    <n v="0.3"/>
    <s v="Needs Imporovement"/>
  </r>
  <r>
    <s v="FL250534"/>
    <s v="Maria Hall"/>
    <s v="Female"/>
    <n v="41"/>
    <s v="30-45"/>
    <x v="2"/>
    <s v="German"/>
    <s v="Web Development"/>
    <n v="14"/>
    <x v="4"/>
    <n v="40"/>
    <n v="40000"/>
    <x v="1"/>
    <n v="3.8"/>
    <x v="1"/>
    <n v="0.73"/>
    <s v="Average"/>
  </r>
  <r>
    <s v="FL250535"/>
    <s v="Tony Lee"/>
    <s v="Male"/>
    <n v="38"/>
    <s v="30-45"/>
    <x v="5"/>
    <s v="English"/>
    <s v="Graphic Design"/>
    <n v="15"/>
    <x v="4"/>
    <n v="50"/>
    <n v="50000"/>
    <x v="1"/>
    <n v="4"/>
    <x v="0"/>
    <n v="0.88"/>
    <s v="Top Performer"/>
  </r>
  <r>
    <s v="FL250536"/>
    <s v="Catherine Mccoy MD"/>
    <s v="Female"/>
    <n v="31"/>
    <s v="30-45"/>
    <x v="17"/>
    <s v="Afrikaans"/>
    <s v="UI/UX Design"/>
    <n v="9"/>
    <x v="0"/>
    <n v="90"/>
    <n v="90000"/>
    <x v="0"/>
    <n v="3"/>
    <x v="0"/>
    <n v="0.91"/>
    <s v="Average"/>
  </r>
  <r>
    <s v="FL250537"/>
    <s v="Maria Benitez"/>
    <s v="Female"/>
    <n v="30"/>
    <s v="30-45"/>
    <x v="18"/>
    <s v="Mandarin"/>
    <s v="Mobile Apps"/>
    <n v="9"/>
    <x v="0"/>
    <n v="30"/>
    <n v="30000"/>
    <x v="2"/>
    <n v="3"/>
    <x v="0"/>
    <n v="0.65"/>
    <s v="Average"/>
  </r>
  <r>
    <s v="FL250538"/>
    <s v="Joshua Chambers"/>
    <s v="Male"/>
    <n v="51"/>
    <s v="46-55"/>
    <x v="19"/>
    <s v="Spanish"/>
    <s v="UI/UX Design"/>
    <n v="22"/>
    <x v="3"/>
    <n v="20"/>
    <n v="20000"/>
    <x v="2"/>
    <n v="4"/>
    <x v="1"/>
    <n v="0.9"/>
    <s v="Top Performer"/>
  </r>
  <r>
    <s v="FL250539"/>
    <s v="Janice Daniels"/>
    <s v="Female"/>
    <n v="21"/>
    <s v="18-29"/>
    <x v="2"/>
    <s v="German"/>
    <s v="DevOps"/>
    <n v="0"/>
    <x v="2"/>
    <n v="20"/>
    <n v="20000"/>
    <x v="2"/>
    <n v="1.8"/>
    <x v="0"/>
    <n v="0.72"/>
    <s v="Needs Imporovement"/>
  </r>
  <r>
    <s v="FL250540"/>
    <s v="Carla Wood"/>
    <s v="Female"/>
    <n v="20"/>
    <s v="18-29"/>
    <x v="0"/>
    <s v="Italian"/>
    <s v="DevOps"/>
    <n v="1"/>
    <x v="2"/>
    <n v="40"/>
    <n v="40000"/>
    <x v="1"/>
    <n v="1.8"/>
    <x v="1"/>
    <n v="0.72"/>
    <s v="Needs Imporovement"/>
  </r>
  <r>
    <s v="FL250541"/>
    <s v="Kenneth Vasquez"/>
    <s v="Male"/>
    <n v="30"/>
    <s v="30-45"/>
    <x v="9"/>
    <s v="Japanese"/>
    <s v="Blockchain Development"/>
    <n v="5"/>
    <x v="0"/>
    <n v="30"/>
    <n v="30000"/>
    <x v="2"/>
    <n v="3"/>
    <x v="0"/>
    <n v="0.6"/>
    <s v="Average"/>
  </r>
  <r>
    <s v="FL250542"/>
    <s v="Kevin Smith"/>
    <s v="Male"/>
    <n v="41"/>
    <s v="30-45"/>
    <x v="18"/>
    <s v="Mandarin"/>
    <s v="Data Analysis"/>
    <n v="0"/>
    <x v="2"/>
    <n v="40"/>
    <n v="40000"/>
    <x v="1"/>
    <n v="1.8"/>
    <x v="0"/>
    <n v="0.68"/>
    <s v="Needs Imporovement"/>
  </r>
  <r>
    <s v="FL250543"/>
    <s v="Thomas Kim"/>
    <s v="Male"/>
    <n v="22"/>
    <s v="18-29"/>
    <x v="20"/>
    <s v="Spanish"/>
    <s v="Blockchain Development"/>
    <n v="0"/>
    <x v="2"/>
    <n v="30"/>
    <n v="30000"/>
    <x v="2"/>
    <n v="1.8"/>
    <x v="0"/>
    <n v="0.87"/>
    <s v="Needs Imporovement"/>
  </r>
  <r>
    <s v="FL250544"/>
    <s v="Sean Park"/>
    <s v="Male"/>
    <n v="45"/>
    <s v="30-45"/>
    <x v="19"/>
    <s v="Spanish"/>
    <s v="Cybersecurity"/>
    <n v="19"/>
    <x v="4"/>
    <n v="75"/>
    <n v="75000"/>
    <x v="1"/>
    <n v="4"/>
    <x v="0"/>
    <n v="0.72"/>
    <s v="Top Performer"/>
  </r>
  <r>
    <s v="FL250545"/>
    <s v="Judith Poole"/>
    <s v="Female"/>
    <n v="22"/>
    <s v="18-29"/>
    <x v="1"/>
    <s v="English"/>
    <s v="Data Analysis"/>
    <n v="2"/>
    <x v="2"/>
    <n v="40"/>
    <n v="40000"/>
    <x v="1"/>
    <n v="2.5"/>
    <x v="0"/>
    <n v="0.76"/>
    <s v="Needs Imporovement"/>
  </r>
  <r>
    <s v="FL250546"/>
    <s v="Melanie Baird"/>
    <s v="Female"/>
    <n v="20"/>
    <s v="18-29"/>
    <x v="6"/>
    <s v="Turkish"/>
    <s v="Mobile Apps"/>
    <n v="0"/>
    <x v="2"/>
    <n v="100"/>
    <n v="100000"/>
    <x v="0"/>
    <n v="1.8"/>
    <x v="0"/>
    <n v="0.63"/>
    <s v="Needs Imporovement"/>
  </r>
  <r>
    <s v="FL250547"/>
    <s v="Erika Mitchell"/>
    <s v="Female"/>
    <n v="20"/>
    <s v="18-29"/>
    <x v="14"/>
    <s v="English"/>
    <s v="Data Analysis"/>
    <n v="2"/>
    <x v="2"/>
    <n v="40"/>
    <n v="40000"/>
    <x v="1"/>
    <n v="2.5"/>
    <x v="1"/>
    <n v="0.91"/>
    <s v="Needs Imporovement"/>
  </r>
  <r>
    <s v="FL250548"/>
    <s v="Ricky Martinez"/>
    <s v="Male"/>
    <n v="21"/>
    <s v="18-29"/>
    <x v="7"/>
    <s v="English"/>
    <s v="AI"/>
    <n v="0"/>
    <x v="2"/>
    <n v="100"/>
    <n v="100000"/>
    <x v="0"/>
    <n v="1.8"/>
    <x v="0"/>
    <n v="0.73"/>
    <s v="Needs Imporovement"/>
  </r>
  <r>
    <s v="FL250549"/>
    <s v="John Christian"/>
    <s v="Male"/>
    <n v="22"/>
    <s v="18-29"/>
    <x v="3"/>
    <s v="Dutch"/>
    <s v="Cybersecurity"/>
    <n v="1"/>
    <x v="2"/>
    <n v="40"/>
    <n v="40000"/>
    <x v="1"/>
    <n v="1.8"/>
    <x v="0"/>
    <n v="0.63"/>
    <s v="Needs Imporovement"/>
  </r>
  <r>
    <s v="FL250550"/>
    <s v="Nancy Smith"/>
    <s v="Female"/>
    <n v="28"/>
    <s v="18-29"/>
    <x v="7"/>
    <s v="English"/>
    <s v="DevOps"/>
    <n v="3"/>
    <x v="2"/>
    <n v="20"/>
    <n v="20000"/>
    <x v="2"/>
    <n v="2.5"/>
    <x v="1"/>
    <n v="0.79"/>
    <s v="Needs Imporovement"/>
  </r>
  <r>
    <s v="FL250551"/>
    <s v="Cassandra Stephens"/>
    <s v="Female"/>
    <n v="59"/>
    <s v="55+"/>
    <x v="8"/>
    <s v="Spanish"/>
    <s v="AI"/>
    <n v="8"/>
    <x v="0"/>
    <n v="20"/>
    <n v="20000"/>
    <x v="2"/>
    <n v="3"/>
    <x v="0"/>
    <n v="0.75"/>
    <s v="Average"/>
  </r>
  <r>
    <s v="FL250552"/>
    <s v="Miss Janet Donovan MD"/>
    <s v="Female"/>
    <n v="28"/>
    <s v="18-29"/>
    <x v="15"/>
    <s v="French"/>
    <s v="Web Development"/>
    <n v="1"/>
    <x v="2"/>
    <n v="30"/>
    <n v="30000"/>
    <x v="2"/>
    <n v="1.8"/>
    <x v="0"/>
    <n v="0.7"/>
    <s v="Needs Imporovement"/>
  </r>
  <r>
    <s v="FL250553"/>
    <s v="Kristina Williams"/>
    <s v="Female"/>
    <n v="40"/>
    <s v="30-45"/>
    <x v="1"/>
    <s v="English"/>
    <s v="DevOps"/>
    <n v="0"/>
    <x v="2"/>
    <n v="100"/>
    <n v="100000"/>
    <x v="0"/>
    <n v="1.8"/>
    <x v="0"/>
    <n v="0.87"/>
    <s v="Needs Imporovement"/>
  </r>
  <r>
    <s v="FL250554"/>
    <s v="Wayne Barnes"/>
    <s v="Male"/>
    <n v="57"/>
    <s v="55+"/>
    <x v="0"/>
    <s v="Italian"/>
    <s v="Blockchain Development"/>
    <n v="7"/>
    <x v="0"/>
    <n v="30"/>
    <n v="30000"/>
    <x v="2"/>
    <n v="3"/>
    <x v="0"/>
    <n v="0.6"/>
    <s v="Average"/>
  </r>
  <r>
    <s v="FL250555"/>
    <s v="James Hinton"/>
    <s v="Male"/>
    <n v="47"/>
    <s v="46-55"/>
    <x v="6"/>
    <s v="Turkish"/>
    <s v="DevOps"/>
    <n v="1"/>
    <x v="2"/>
    <n v="50"/>
    <n v="50000"/>
    <x v="1"/>
    <n v="1.8"/>
    <x v="1"/>
    <n v="0.88"/>
    <s v="Needs Imporovement"/>
  </r>
  <r>
    <s v="FL250556"/>
    <s v="David Spence"/>
    <s v="Male"/>
    <n v="48"/>
    <s v="46-55"/>
    <x v="12"/>
    <s v="Korean"/>
    <s v="Cybersecurity"/>
    <n v="21"/>
    <x v="3"/>
    <n v="40"/>
    <n v="40000"/>
    <x v="1"/>
    <n v="4"/>
    <x v="1"/>
    <n v="0.85"/>
    <s v="Top Performer"/>
  </r>
  <r>
    <s v="FL250557"/>
    <s v="Tyler Cooper"/>
    <s v="Male"/>
    <n v="28"/>
    <s v="18-29"/>
    <x v="5"/>
    <s v="English"/>
    <s v="UI/UX Design"/>
    <n v="1"/>
    <x v="2"/>
    <n v="20"/>
    <n v="20000"/>
    <x v="2"/>
    <n v="1.8"/>
    <x v="0"/>
    <n v="0.93"/>
    <s v="Needs Imporovement"/>
  </r>
  <r>
    <s v="FL250558"/>
    <s v="Sean Martinez"/>
    <s v="Male"/>
    <n v="41"/>
    <s v="30-45"/>
    <x v="6"/>
    <s v="Turkish"/>
    <s v="Graphic Design"/>
    <n v="15"/>
    <x v="4"/>
    <n v="70"/>
    <n v="70000"/>
    <x v="1"/>
    <n v="4"/>
    <x v="1"/>
    <n v="0.85"/>
    <s v="Top Performer"/>
  </r>
  <r>
    <s v="FL250559"/>
    <s v="Janet Barron"/>
    <s v="Female"/>
    <n v="57"/>
    <s v="55+"/>
    <x v="17"/>
    <s v="Afrikaans"/>
    <s v="Cybersecurity"/>
    <n v="33"/>
    <x v="1"/>
    <n v="100"/>
    <n v="100000"/>
    <x v="0"/>
    <n v="5"/>
    <x v="0"/>
    <n v="0.74"/>
    <s v="Top Performer"/>
  </r>
  <r>
    <s v="FL250560"/>
    <s v="Rodney Wilson"/>
    <s v="Male"/>
    <n v="60"/>
    <s v="55+"/>
    <x v="8"/>
    <s v="Spanish"/>
    <s v="Graphic Design"/>
    <n v="39"/>
    <x v="1"/>
    <n v="75"/>
    <n v="75000"/>
    <x v="1"/>
    <n v="5"/>
    <x v="1"/>
    <n v="0.7"/>
    <s v="Top Performer"/>
  </r>
  <r>
    <s v="FL250561"/>
    <s v="Kimberly Fitzgerald"/>
    <s v="Female"/>
    <n v="48"/>
    <s v="46-55"/>
    <x v="16"/>
    <s v="Arabic"/>
    <s v="Graphic Design"/>
    <n v="21"/>
    <x v="3"/>
    <n v="30"/>
    <n v="30000"/>
    <x v="2"/>
    <n v="4"/>
    <x v="1"/>
    <n v="0.67"/>
    <s v="Top Performer"/>
  </r>
  <r>
    <s v="FL250562"/>
    <s v="Nicole Davis"/>
    <s v="Female"/>
    <n v="24"/>
    <s v="18-29"/>
    <x v="15"/>
    <s v="French"/>
    <s v="Cybersecurity"/>
    <n v="5"/>
    <x v="0"/>
    <n v="40"/>
    <n v="40000"/>
    <x v="1"/>
    <n v="3"/>
    <x v="0"/>
    <n v="0.86"/>
    <s v="Average"/>
  </r>
  <r>
    <s v="FL250563"/>
    <s v="Elizabeth Hayes"/>
    <s v="Female"/>
    <n v="33"/>
    <s v="30-45"/>
    <x v="19"/>
    <s v="Spanish"/>
    <s v="DevOps"/>
    <n v="11"/>
    <x v="0"/>
    <n v="50"/>
    <n v="50000"/>
    <x v="1"/>
    <n v="3.8"/>
    <x v="1"/>
    <n v="0.69"/>
    <s v="Average"/>
  </r>
  <r>
    <s v="FL250564"/>
    <s v="Kathy Faulkner"/>
    <s v="Female"/>
    <n v="20"/>
    <s v="18-29"/>
    <x v="6"/>
    <s v="Turkish"/>
    <s v="Graphic Design"/>
    <n v="0"/>
    <x v="2"/>
    <n v="30"/>
    <n v="30000"/>
    <x v="2"/>
    <n v="1.8"/>
    <x v="1"/>
    <n v="0.68"/>
    <s v="Needs Imporovement"/>
  </r>
  <r>
    <s v="FL250565"/>
    <s v="John Gonzales"/>
    <s v="Male"/>
    <n v="59"/>
    <s v="55+"/>
    <x v="7"/>
    <s v="English"/>
    <s v="DevOps"/>
    <n v="15"/>
    <x v="4"/>
    <n v="50"/>
    <n v="50000"/>
    <x v="1"/>
    <n v="4"/>
    <x v="0"/>
    <n v="0.85"/>
    <s v="Top Performer"/>
  </r>
  <r>
    <s v="FL250566"/>
    <s v="Shannon Luna"/>
    <s v="Female"/>
    <n v="42"/>
    <s v="30-45"/>
    <x v="18"/>
    <s v="Mandarin"/>
    <s v="DevOps"/>
    <n v="22"/>
    <x v="3"/>
    <n v="55"/>
    <n v="55000"/>
    <x v="1"/>
    <n v="4"/>
    <x v="0"/>
    <n v="0.61"/>
    <s v="Top Performer"/>
  </r>
  <r>
    <s v="FL250567"/>
    <s v="Stephanie Burton"/>
    <s v="Female"/>
    <n v="22"/>
    <s v="18-29"/>
    <x v="6"/>
    <s v="Turkish"/>
    <s v="UI/UX Design"/>
    <n v="3"/>
    <x v="2"/>
    <n v="60"/>
    <n v="60000"/>
    <x v="1"/>
    <n v="2.5"/>
    <x v="1"/>
    <n v="0.96"/>
    <s v="Needs Imporovement"/>
  </r>
  <r>
    <s v="FL250568"/>
    <s v="Kevin Gonzales"/>
    <s v="Male"/>
    <n v="41"/>
    <s v="30-45"/>
    <x v="14"/>
    <s v="English"/>
    <s v="Cybersecurity"/>
    <n v="11"/>
    <x v="0"/>
    <n v="50"/>
    <n v="50000"/>
    <x v="1"/>
    <n v="3.8"/>
    <x v="1"/>
    <n v="0.68"/>
    <s v="Average"/>
  </r>
  <r>
    <s v="FL250569"/>
    <s v="Dawn Hardy"/>
    <s v="Female"/>
    <n v="25"/>
    <s v="18-29"/>
    <x v="8"/>
    <s v="Spanish"/>
    <s v="Web Development"/>
    <n v="5"/>
    <x v="0"/>
    <n v="40"/>
    <n v="40000"/>
    <x v="1"/>
    <n v="3"/>
    <x v="1"/>
    <n v="0.75"/>
    <s v="Average"/>
  </r>
  <r>
    <s v="FL250570"/>
    <s v="Margaret Perkins"/>
    <s v="Female"/>
    <n v="38"/>
    <s v="30-45"/>
    <x v="14"/>
    <s v="English"/>
    <s v="UI/UX Design"/>
    <n v="3"/>
    <x v="2"/>
    <n v="40"/>
    <n v="40000"/>
    <x v="1"/>
    <n v="2.5"/>
    <x v="0"/>
    <n v="0.69"/>
    <s v="Needs Imporovement"/>
  </r>
  <r>
    <s v="FL250571"/>
    <s v="Amanda Vargas"/>
    <s v="Female"/>
    <n v="43"/>
    <s v="30-45"/>
    <x v="5"/>
    <s v="English"/>
    <s v="DevOps"/>
    <n v="1"/>
    <x v="2"/>
    <n v="40"/>
    <n v="40000"/>
    <x v="1"/>
    <n v="1.8"/>
    <x v="0"/>
    <n v="0.78"/>
    <s v="Needs Imporovement"/>
  </r>
  <r>
    <s v="FL250572"/>
    <s v="Tonya Gonzalez"/>
    <s v="Female"/>
    <n v="54"/>
    <s v="46-55"/>
    <x v="19"/>
    <s v="Spanish"/>
    <s v="AI"/>
    <n v="1"/>
    <x v="2"/>
    <n v="75"/>
    <n v="75000"/>
    <x v="1"/>
    <n v="1.8"/>
    <x v="1"/>
    <n v="0.3"/>
    <s v="Needs Imporovement"/>
  </r>
  <r>
    <s v="FL250573"/>
    <s v="Elizabeth Bowman"/>
    <s v="Female"/>
    <n v="31"/>
    <s v="30-45"/>
    <x v="4"/>
    <s v="Indonesian"/>
    <s v="Mobile Apps"/>
    <n v="2"/>
    <x v="2"/>
    <n v="40"/>
    <n v="40000"/>
    <x v="1"/>
    <n v="2.5"/>
    <x v="0"/>
    <n v="0.98"/>
    <s v="Needs Imporovement"/>
  </r>
  <r>
    <s v="FL250574"/>
    <s v="Ariana Pittman"/>
    <s v="Female"/>
    <n v="56"/>
    <s v="55+"/>
    <x v="19"/>
    <s v="Spanish"/>
    <s v="AI"/>
    <n v="3"/>
    <x v="2"/>
    <n v="30"/>
    <n v="30000"/>
    <x v="2"/>
    <n v="2.5"/>
    <x v="0"/>
    <n v="0.83"/>
    <s v="Needs Imporovement"/>
  </r>
  <r>
    <s v="FL250575"/>
    <s v="Antonio Johnson"/>
    <s v="Male"/>
    <n v="46"/>
    <s v="46-55"/>
    <x v="19"/>
    <s v="Spanish"/>
    <s v="Graphic Design"/>
    <n v="11"/>
    <x v="0"/>
    <n v="50"/>
    <n v="50000"/>
    <x v="1"/>
    <n v="3.8"/>
    <x v="1"/>
    <n v="0.91"/>
    <s v="Average"/>
  </r>
  <r>
    <s v="FL250576"/>
    <s v="Justin Lang"/>
    <s v="Male"/>
    <n v="60"/>
    <s v="55+"/>
    <x v="16"/>
    <s v="Arabic"/>
    <s v="AI"/>
    <n v="15"/>
    <x v="4"/>
    <n v="100"/>
    <n v="100000"/>
    <x v="0"/>
    <n v="4"/>
    <x v="1"/>
    <n v="0.96"/>
    <s v="Top Performer"/>
  </r>
  <r>
    <s v="FL250577"/>
    <s v="Kelli Ramirez"/>
    <s v="Female"/>
    <n v="28"/>
    <s v="18-29"/>
    <x v="12"/>
    <s v="Korean"/>
    <s v="Graphic Design"/>
    <n v="2"/>
    <x v="2"/>
    <n v="50"/>
    <n v="50000"/>
    <x v="1"/>
    <n v="2.5"/>
    <x v="1"/>
    <n v="0.85"/>
    <s v="Needs Imporovement"/>
  </r>
  <r>
    <s v="FL250578"/>
    <s v="Deborah Torres"/>
    <s v="Female"/>
    <n v="43"/>
    <s v="30-45"/>
    <x v="4"/>
    <s v="Indonesian"/>
    <s v="Web Development"/>
    <n v="20"/>
    <x v="4"/>
    <n v="30"/>
    <n v="30000"/>
    <x v="2"/>
    <n v="4"/>
    <x v="0"/>
    <n v="0.72"/>
    <s v="Top Performer"/>
  </r>
  <r>
    <s v="FL250579"/>
    <s v="Joseph Horn"/>
    <s v="Male"/>
    <n v="41"/>
    <s v="30-45"/>
    <x v="15"/>
    <s v="French"/>
    <s v="Web Development"/>
    <n v="11"/>
    <x v="0"/>
    <n v="20"/>
    <n v="20000"/>
    <x v="2"/>
    <n v="3.8"/>
    <x v="0"/>
    <n v="0.69"/>
    <s v="Average"/>
  </r>
  <r>
    <s v="FL250580"/>
    <s v="Christopher Robinson"/>
    <s v="Male"/>
    <n v="41"/>
    <s v="30-45"/>
    <x v="7"/>
    <s v="English"/>
    <s v="DevOps"/>
    <n v="0"/>
    <x v="2"/>
    <n v="20"/>
    <n v="20000"/>
    <x v="2"/>
    <n v="1.8"/>
    <x v="0"/>
    <n v="0.9"/>
    <s v="Needs Imporovement"/>
  </r>
  <r>
    <s v="FL250581"/>
    <s v="Sandra Mccormick"/>
    <s v="Female"/>
    <n v="40"/>
    <s v="30-45"/>
    <x v="7"/>
    <s v="English"/>
    <s v="Mobile Apps"/>
    <n v="20"/>
    <x v="4"/>
    <n v="20"/>
    <n v="20000"/>
    <x v="2"/>
    <n v="4"/>
    <x v="0"/>
    <n v="0.92"/>
    <s v="Top Performer"/>
  </r>
  <r>
    <s v="FL250582"/>
    <s v="Michael Holland"/>
    <s v="Male"/>
    <n v="45"/>
    <s v="30-45"/>
    <x v="2"/>
    <s v="German"/>
    <s v="DevOps"/>
    <n v="3"/>
    <x v="2"/>
    <n v="20"/>
    <n v="20000"/>
    <x v="2"/>
    <n v="2.5"/>
    <x v="1"/>
    <n v="0.91"/>
    <s v="Needs Imporovement"/>
  </r>
  <r>
    <s v="FL250583"/>
    <s v="Kenneth Stevenson"/>
    <s v="Male"/>
    <n v="47"/>
    <s v="46-55"/>
    <x v="16"/>
    <s v="Arabic"/>
    <s v="DevOps"/>
    <n v="28"/>
    <x v="3"/>
    <n v="50"/>
    <n v="50000"/>
    <x v="1"/>
    <n v="4.8"/>
    <x v="1"/>
    <n v="0.9"/>
    <s v="Top Performer"/>
  </r>
  <r>
    <s v="FL250584"/>
    <s v="Timothy Bennett"/>
    <s v="Male"/>
    <n v="34"/>
    <s v="30-45"/>
    <x v="10"/>
    <s v="Hindi"/>
    <s v="Data Analysis"/>
    <n v="0"/>
    <x v="2"/>
    <n v="40"/>
    <n v="40000"/>
    <x v="1"/>
    <n v="1.8"/>
    <x v="0"/>
    <n v="0.98"/>
    <s v="Needs Imporovement"/>
  </r>
  <r>
    <s v="FL250585"/>
    <s v="Gregory Randall"/>
    <s v="Male"/>
    <n v="47"/>
    <s v="46-55"/>
    <x v="5"/>
    <s v="English"/>
    <s v="UI/UX Design"/>
    <n v="4"/>
    <x v="2"/>
    <n v="20"/>
    <n v="20000"/>
    <x v="2"/>
    <n v="2.5"/>
    <x v="0"/>
    <n v="0.82"/>
    <s v="Needs Imporovement"/>
  </r>
  <r>
    <s v="FL250586"/>
    <s v="Charles Martinez"/>
    <s v="Male"/>
    <n v="32"/>
    <s v="30-45"/>
    <x v="19"/>
    <s v="Spanish"/>
    <s v="UI/UX Design"/>
    <n v="9"/>
    <x v="0"/>
    <n v="40"/>
    <n v="40000"/>
    <x v="1"/>
    <n v="3"/>
    <x v="1"/>
    <n v="0.83"/>
    <s v="Average"/>
  </r>
  <r>
    <s v="FL250587"/>
    <s v="James Hall"/>
    <s v="Male"/>
    <n v="28"/>
    <s v="18-29"/>
    <x v="7"/>
    <s v="English"/>
    <s v="Mobile Apps"/>
    <n v="2"/>
    <x v="2"/>
    <n v="100"/>
    <n v="100000"/>
    <x v="0"/>
    <n v="2.5"/>
    <x v="1"/>
    <n v="0.35"/>
    <s v="Needs Imporovement"/>
  </r>
  <r>
    <s v="FL250588"/>
    <s v="Michael Garcia"/>
    <s v="Male"/>
    <n v="32"/>
    <s v="30-45"/>
    <x v="1"/>
    <s v="English"/>
    <s v="DevOps"/>
    <n v="1"/>
    <x v="2"/>
    <n v="100"/>
    <n v="100000"/>
    <x v="0"/>
    <n v="1.8"/>
    <x v="1"/>
    <n v="0.3"/>
    <s v="Needs Imporovement"/>
  </r>
  <r>
    <s v="FL250589"/>
    <s v="Michele Duran"/>
    <s v="Female"/>
    <n v="49"/>
    <s v="46-55"/>
    <x v="3"/>
    <s v="Dutch"/>
    <s v="AI"/>
    <n v="2"/>
    <x v="2"/>
    <n v="100"/>
    <n v="100000"/>
    <x v="0"/>
    <n v="2.5"/>
    <x v="1"/>
    <n v="0.85"/>
    <s v="Needs Imporovement"/>
  </r>
  <r>
    <s v="FL250590"/>
    <s v="Jessica Gray"/>
    <s v="Female"/>
    <n v="36"/>
    <s v="30-45"/>
    <x v="8"/>
    <s v="Spanish"/>
    <s v="Mobile Apps"/>
    <n v="16"/>
    <x v="4"/>
    <n v="20"/>
    <n v="20000"/>
    <x v="2"/>
    <n v="4"/>
    <x v="1"/>
    <n v="0.85"/>
    <s v="Top Performer"/>
  </r>
  <r>
    <s v="FL250591"/>
    <s v="Keith Shaffer"/>
    <s v="Male"/>
    <n v="59"/>
    <s v="55+"/>
    <x v="19"/>
    <s v="Spanish"/>
    <s v="Blockchain Development"/>
    <n v="22"/>
    <x v="3"/>
    <n v="20"/>
    <n v="20000"/>
    <x v="2"/>
    <n v="4"/>
    <x v="0"/>
    <n v="0.63"/>
    <s v="Top Performer"/>
  </r>
  <r>
    <s v="FL250592"/>
    <s v="Jessica Decker"/>
    <s v="Female"/>
    <n v="52"/>
    <s v="46-55"/>
    <x v="14"/>
    <s v="English"/>
    <s v="Cybersecurity"/>
    <n v="22"/>
    <x v="3"/>
    <n v="20"/>
    <n v="20000"/>
    <x v="2"/>
    <n v="4"/>
    <x v="0"/>
    <n v="0.85"/>
    <s v="Top Performer"/>
  </r>
  <r>
    <s v="FL250593"/>
    <s v="Brianna Pittman"/>
    <s v="Female"/>
    <n v="24"/>
    <s v="18-29"/>
    <x v="18"/>
    <s v="Mandarin"/>
    <s v="Blockchain Development"/>
    <n v="5"/>
    <x v="0"/>
    <n v="40"/>
    <n v="40000"/>
    <x v="1"/>
    <n v="3"/>
    <x v="1"/>
    <n v="0.86"/>
    <s v="Average"/>
  </r>
  <r>
    <s v="FL250594"/>
    <s v="Kimberly Hunter"/>
    <s v="Female"/>
    <n v="26"/>
    <s v="18-29"/>
    <x v="1"/>
    <s v="English"/>
    <s v="Graphic Design"/>
    <n v="2"/>
    <x v="2"/>
    <n v="75"/>
    <n v="75000"/>
    <x v="1"/>
    <n v="2.5"/>
    <x v="1"/>
    <n v="0.6"/>
    <s v="Needs Imporovement"/>
  </r>
  <r>
    <s v="FL250595"/>
    <s v="Daniel Martin"/>
    <s v="Male"/>
    <n v="55"/>
    <s v="46-55"/>
    <x v="14"/>
    <s v="English"/>
    <s v="Cybersecurity"/>
    <n v="24"/>
    <x v="3"/>
    <n v="40"/>
    <n v="40000"/>
    <x v="1"/>
    <n v="4"/>
    <x v="1"/>
    <n v="0.88"/>
    <s v="Top Performer"/>
  </r>
  <r>
    <s v="FL250596"/>
    <s v="Rachel Smith"/>
    <s v="Female"/>
    <n v="56"/>
    <s v="55+"/>
    <x v="0"/>
    <s v="Italian"/>
    <s v="Mobile Apps"/>
    <n v="37"/>
    <x v="1"/>
    <n v="40"/>
    <n v="40000"/>
    <x v="1"/>
    <n v="5"/>
    <x v="0"/>
    <n v="0.7"/>
    <s v="Top Performer"/>
  </r>
  <r>
    <s v="FL250597"/>
    <s v="Michael Miller"/>
    <s v="Male"/>
    <n v="36"/>
    <s v="30-45"/>
    <x v="15"/>
    <s v="French"/>
    <s v="Graphic Design"/>
    <n v="3"/>
    <x v="2"/>
    <n v="50"/>
    <n v="50000"/>
    <x v="1"/>
    <n v="2.5"/>
    <x v="1"/>
    <n v="0.77"/>
    <s v="Needs Imporovement"/>
  </r>
  <r>
    <s v="FL250598"/>
    <s v="Willie Clark"/>
    <s v="Male"/>
    <n v="48"/>
    <s v="46-55"/>
    <x v="8"/>
    <s v="Spanish"/>
    <s v="Web Development"/>
    <n v="18"/>
    <x v="4"/>
    <n v="75"/>
    <n v="75000"/>
    <x v="1"/>
    <n v="4"/>
    <x v="0"/>
    <n v="0.8"/>
    <s v="Top Performer"/>
  </r>
  <r>
    <s v="FL250599"/>
    <s v="Jeremy Hernandez"/>
    <s v="Male"/>
    <n v="55"/>
    <s v="46-55"/>
    <x v="16"/>
    <s v="Arabic"/>
    <s v="Machine Learning"/>
    <n v="6"/>
    <x v="0"/>
    <n v="40"/>
    <n v="40000"/>
    <x v="1"/>
    <n v="3"/>
    <x v="1"/>
    <n v="0.6"/>
    <s v="Average"/>
  </r>
  <r>
    <s v="FL250600"/>
    <s v="Tina Shelton"/>
    <s v="Female"/>
    <n v="56"/>
    <s v="55+"/>
    <x v="20"/>
    <s v="Spanish"/>
    <s v="DevOps"/>
    <n v="17"/>
    <x v="4"/>
    <n v="60"/>
    <n v="60000"/>
    <x v="1"/>
    <n v="4"/>
    <x v="1"/>
    <n v="0.87"/>
    <s v="Top Performer"/>
  </r>
  <r>
    <s v="FL250601"/>
    <s v="Dr. Pamela Larson"/>
    <s v="Female"/>
    <n v="28"/>
    <s v="18-29"/>
    <x v="14"/>
    <s v="English"/>
    <s v="Blockchain Development"/>
    <n v="1"/>
    <x v="2"/>
    <n v="75"/>
    <n v="75000"/>
    <x v="1"/>
    <n v="1.8"/>
    <x v="1"/>
    <n v="0.93"/>
    <s v="Needs Imporovement"/>
  </r>
  <r>
    <s v="FL250602"/>
    <s v="Ryan Ewing"/>
    <s v="Male"/>
    <n v="60"/>
    <s v="55+"/>
    <x v="5"/>
    <s v="English"/>
    <s v="AI"/>
    <n v="39"/>
    <x v="1"/>
    <n v="100"/>
    <n v="100000"/>
    <x v="0"/>
    <n v="5"/>
    <x v="1"/>
    <n v="0.88"/>
    <s v="Top Performer"/>
  </r>
  <r>
    <s v="FL250603"/>
    <s v="Mark Cochran"/>
    <s v="Male"/>
    <n v="34"/>
    <s v="30-45"/>
    <x v="12"/>
    <s v="Korean"/>
    <s v="Blockchain Development"/>
    <n v="15"/>
    <x v="4"/>
    <n v="20"/>
    <n v="20000"/>
    <x v="2"/>
    <n v="4"/>
    <x v="0"/>
    <n v="1"/>
    <s v="Top Performer"/>
  </r>
  <r>
    <s v="FL250604"/>
    <s v="Martha Carson"/>
    <s v="Female"/>
    <n v="38"/>
    <s v="30-45"/>
    <x v="4"/>
    <s v="Indonesian"/>
    <s v="AI"/>
    <n v="13"/>
    <x v="4"/>
    <n v="40"/>
    <n v="40000"/>
    <x v="1"/>
    <n v="3.8"/>
    <x v="1"/>
    <n v="0.61"/>
    <s v="Average"/>
  </r>
  <r>
    <s v="FL250605"/>
    <s v="Heather Jackson"/>
    <s v="Female"/>
    <n v="51"/>
    <s v="46-55"/>
    <x v="12"/>
    <s v="Korean"/>
    <s v="Web Development"/>
    <n v="17"/>
    <x v="4"/>
    <n v="100"/>
    <n v="100000"/>
    <x v="0"/>
    <n v="4"/>
    <x v="0"/>
    <n v="0.79"/>
    <s v="Top Performer"/>
  </r>
  <r>
    <s v="FL250606"/>
    <s v="Megan Young"/>
    <s v="Female"/>
    <n v="21"/>
    <s v="18-29"/>
    <x v="9"/>
    <s v="Japanese"/>
    <s v="Mobile Apps"/>
    <n v="1"/>
    <x v="2"/>
    <n v="30"/>
    <n v="30000"/>
    <x v="2"/>
    <n v="1.8"/>
    <x v="0"/>
    <n v="0.73"/>
    <s v="Needs Imporovement"/>
  </r>
  <r>
    <s v="FL250607"/>
    <s v="Thomas Davis"/>
    <s v="Male"/>
    <n v="35"/>
    <s v="30-45"/>
    <x v="0"/>
    <s v="Italian"/>
    <s v="UI/UX Design"/>
    <n v="16"/>
    <x v="4"/>
    <n v="100"/>
    <n v="100000"/>
    <x v="0"/>
    <n v="4"/>
    <x v="1"/>
    <n v="0.64"/>
    <s v="Top Performer"/>
  </r>
  <r>
    <s v="FL250608"/>
    <s v="Thomas Mooney"/>
    <s v="Male"/>
    <n v="27"/>
    <s v="18-29"/>
    <x v="11"/>
    <s v="Portuguese"/>
    <s v="Web Development"/>
    <n v="9"/>
    <x v="0"/>
    <n v="100"/>
    <n v="100000"/>
    <x v="0"/>
    <n v="3"/>
    <x v="1"/>
    <n v="0.6"/>
    <s v="Average"/>
  </r>
  <r>
    <s v="FL250609"/>
    <s v="Susan Smith"/>
    <s v="Female"/>
    <n v="42"/>
    <s v="30-45"/>
    <x v="6"/>
    <s v="Turkish"/>
    <s v="Mobile Apps"/>
    <n v="20"/>
    <x v="4"/>
    <n v="50"/>
    <n v="50000"/>
    <x v="1"/>
    <n v="4"/>
    <x v="0"/>
    <n v="0.93"/>
    <s v="Top Performer"/>
  </r>
  <r>
    <s v="FL250610"/>
    <s v="Brianna Orr"/>
    <s v="Female"/>
    <n v="52"/>
    <s v="46-55"/>
    <x v="14"/>
    <s v="English"/>
    <s v="Blockchain Development"/>
    <n v="29"/>
    <x v="3"/>
    <n v="30"/>
    <n v="30000"/>
    <x v="2"/>
    <n v="4.8"/>
    <x v="0"/>
    <n v="0.68"/>
    <s v="Top Performer"/>
  </r>
  <r>
    <s v="FL250611"/>
    <s v="Dustin Smith"/>
    <s v="Male"/>
    <n v="53"/>
    <s v="46-55"/>
    <x v="12"/>
    <s v="Korean"/>
    <s v="Web Development"/>
    <n v="21"/>
    <x v="3"/>
    <n v="40"/>
    <n v="40000"/>
    <x v="1"/>
    <n v="4"/>
    <x v="1"/>
    <n v="0.62"/>
    <s v="Top Performer"/>
  </r>
  <r>
    <s v="FL250612"/>
    <s v="Sarah White"/>
    <s v="Female"/>
    <n v="54"/>
    <s v="46-55"/>
    <x v="0"/>
    <s v="Italian"/>
    <s v="Mobile Apps"/>
    <n v="28"/>
    <x v="3"/>
    <n v="40"/>
    <n v="40000"/>
    <x v="1"/>
    <n v="4.8"/>
    <x v="0"/>
    <n v="0.9"/>
    <s v="Top Performer"/>
  </r>
  <r>
    <s v="FL250613"/>
    <s v="Michael Davis"/>
    <s v="Male"/>
    <n v="51"/>
    <s v="46-55"/>
    <x v="9"/>
    <s v="Japanese"/>
    <s v="Graphic Design"/>
    <n v="5"/>
    <x v="0"/>
    <n v="50"/>
    <n v="50000"/>
    <x v="1"/>
    <n v="3"/>
    <x v="1"/>
    <n v="0.82"/>
    <s v="Average"/>
  </r>
  <r>
    <s v="FL250614"/>
    <s v="Jennifer Phillips"/>
    <s v="Female"/>
    <n v="30"/>
    <s v="30-45"/>
    <x v="12"/>
    <s v="Korean"/>
    <s v="Web Development"/>
    <n v="0"/>
    <x v="2"/>
    <n v="30"/>
    <n v="30000"/>
    <x v="2"/>
    <n v="1.8"/>
    <x v="0"/>
    <n v="0.3"/>
    <s v="Needs Imporovement"/>
  </r>
  <r>
    <s v="FL250615"/>
    <s v="Dana Sanders"/>
    <s v="Female"/>
    <n v="45"/>
    <s v="30-45"/>
    <x v="3"/>
    <s v="Dutch"/>
    <s v="Machine Learning"/>
    <n v="27"/>
    <x v="3"/>
    <n v="75"/>
    <n v="75000"/>
    <x v="1"/>
    <n v="4.8"/>
    <x v="1"/>
    <n v="0.85"/>
    <s v="Top Performer"/>
  </r>
  <r>
    <s v="FL250616"/>
    <s v="Daniel Quinn"/>
    <s v="Male"/>
    <n v="57"/>
    <s v="55+"/>
    <x v="4"/>
    <s v="Indonesian"/>
    <s v="Graphic Design"/>
    <n v="26"/>
    <x v="3"/>
    <n v="100"/>
    <n v="100000"/>
    <x v="0"/>
    <n v="4.8"/>
    <x v="1"/>
    <n v="0.78"/>
    <s v="Top Performer"/>
  </r>
  <r>
    <s v="FL250617"/>
    <s v="Matthew Steele"/>
    <s v="Male"/>
    <n v="38"/>
    <s v="30-45"/>
    <x v="6"/>
    <s v="Turkish"/>
    <s v="Blockchain Development"/>
    <n v="19"/>
    <x v="4"/>
    <n v="40"/>
    <n v="40000"/>
    <x v="1"/>
    <n v="4"/>
    <x v="1"/>
    <n v="0.86"/>
    <s v="Top Performer"/>
  </r>
  <r>
    <s v="FL250618"/>
    <s v="Michele Taylor"/>
    <s v="Female"/>
    <n v="42"/>
    <s v="30-45"/>
    <x v="13"/>
    <s v="Russian"/>
    <s v="DevOps"/>
    <n v="24"/>
    <x v="3"/>
    <n v="40"/>
    <n v="40000"/>
    <x v="1"/>
    <n v="4"/>
    <x v="0"/>
    <n v="0.88"/>
    <s v="Top Performer"/>
  </r>
  <r>
    <s v="FL250619"/>
    <s v="Ashley Hammond"/>
    <s v="Female"/>
    <n v="30"/>
    <s v="30-45"/>
    <x v="17"/>
    <s v="Afrikaans"/>
    <s v="DevOps"/>
    <n v="7"/>
    <x v="0"/>
    <n v="30"/>
    <n v="30000"/>
    <x v="2"/>
    <n v="3"/>
    <x v="0"/>
    <n v="0.68"/>
    <s v="Average"/>
  </r>
  <r>
    <s v="FL250620"/>
    <s v="Nicole Taylor"/>
    <s v="Female"/>
    <n v="43"/>
    <s v="30-45"/>
    <x v="1"/>
    <s v="English"/>
    <s v="Web Development"/>
    <n v="13"/>
    <x v="4"/>
    <n v="100"/>
    <n v="100000"/>
    <x v="0"/>
    <n v="3.8"/>
    <x v="1"/>
    <n v="0.97"/>
    <s v="Average"/>
  </r>
  <r>
    <s v="FL250621"/>
    <s v="Casey Bush"/>
    <s v="Male"/>
    <n v="22"/>
    <s v="18-29"/>
    <x v="16"/>
    <s v="Arabic"/>
    <s v="UI/UX Design"/>
    <n v="2"/>
    <x v="2"/>
    <n v="75"/>
    <n v="75000"/>
    <x v="1"/>
    <n v="2.5"/>
    <x v="0"/>
    <n v="0.91"/>
    <s v="Needs Imporovement"/>
  </r>
  <r>
    <s v="FL250622"/>
    <s v="Samuel Patterson"/>
    <s v="Male"/>
    <n v="57"/>
    <s v="55+"/>
    <x v="19"/>
    <s v="Spanish"/>
    <s v="Machine Learning"/>
    <n v="37"/>
    <x v="1"/>
    <n v="30"/>
    <n v="30000"/>
    <x v="2"/>
    <n v="5"/>
    <x v="0"/>
    <n v="1"/>
    <s v="Top Performer"/>
  </r>
  <r>
    <s v="FL250623"/>
    <s v="Craig Dennis"/>
    <s v="Male"/>
    <n v="44"/>
    <s v="30-45"/>
    <x v="7"/>
    <s v="English"/>
    <s v="Graphic Design"/>
    <n v="1"/>
    <x v="2"/>
    <n v="30"/>
    <n v="30000"/>
    <x v="2"/>
    <n v="1.8"/>
    <x v="0"/>
    <n v="0.97"/>
    <s v="Needs Imporovement"/>
  </r>
  <r>
    <s v="FL250624"/>
    <s v="Heidi Dixon"/>
    <s v="Female"/>
    <n v="46"/>
    <s v="46-55"/>
    <x v="18"/>
    <s v="Mandarin"/>
    <s v="DevOps"/>
    <n v="5"/>
    <x v="0"/>
    <n v="30"/>
    <n v="30000"/>
    <x v="2"/>
    <n v="3"/>
    <x v="1"/>
    <n v="0.64"/>
    <s v="Average"/>
  </r>
  <r>
    <s v="FL250625"/>
    <s v="David Bishop"/>
    <s v="Male"/>
    <n v="24"/>
    <s v="18-29"/>
    <x v="20"/>
    <s v="Spanish"/>
    <s v="Blockchain Development"/>
    <n v="1"/>
    <x v="2"/>
    <n v="50"/>
    <n v="50000"/>
    <x v="1"/>
    <n v="1.8"/>
    <x v="0"/>
    <n v="0.87"/>
    <s v="Needs Imporovement"/>
  </r>
  <r>
    <s v="FL250626"/>
    <s v="Laura Butler"/>
    <s v="Female"/>
    <n v="34"/>
    <s v="30-45"/>
    <x v="1"/>
    <s v="English"/>
    <s v="Data Analysis"/>
    <n v="2"/>
    <x v="2"/>
    <n v="100"/>
    <n v="100000"/>
    <x v="0"/>
    <n v="2.5"/>
    <x v="0"/>
    <n v="0.86"/>
    <s v="Needs Imporovement"/>
  </r>
  <r>
    <s v="FL250627"/>
    <s v="Denise Erickson"/>
    <s v="Female"/>
    <n v="46"/>
    <s v="46-55"/>
    <x v="0"/>
    <s v="Italian"/>
    <s v="Mobile Apps"/>
    <n v="12"/>
    <x v="0"/>
    <n v="100"/>
    <n v="100000"/>
    <x v="0"/>
    <n v="3.8"/>
    <x v="1"/>
    <n v="0.97"/>
    <s v="Average"/>
  </r>
  <r>
    <s v="FL250628"/>
    <s v="Nicole Austin"/>
    <s v="Female"/>
    <n v="22"/>
    <s v="18-29"/>
    <x v="15"/>
    <s v="French"/>
    <s v="Blockchain Development"/>
    <n v="0"/>
    <x v="2"/>
    <n v="30"/>
    <n v="30000"/>
    <x v="2"/>
    <n v="1.8"/>
    <x v="0"/>
    <n v="0.73"/>
    <s v="Needs Imporovement"/>
  </r>
  <r>
    <s v="FL250629"/>
    <s v="Summer Williams"/>
    <s v="Female"/>
    <n v="23"/>
    <s v="18-29"/>
    <x v="17"/>
    <s v="Afrikaans"/>
    <s v="AI"/>
    <n v="0"/>
    <x v="2"/>
    <n v="75"/>
    <n v="75000"/>
    <x v="1"/>
    <n v="1.8"/>
    <x v="0"/>
    <n v="0.6"/>
    <s v="Needs Imporovement"/>
  </r>
  <r>
    <s v="FL250630"/>
    <s v="Angela Blackwell"/>
    <s v="Female"/>
    <n v="60"/>
    <s v="55+"/>
    <x v="6"/>
    <s v="Turkish"/>
    <s v="Web Development"/>
    <n v="41"/>
    <x v="1"/>
    <n v="40"/>
    <n v="40000"/>
    <x v="1"/>
    <n v="5"/>
    <x v="1"/>
    <n v="0.66"/>
    <s v="Top Performer"/>
  </r>
  <r>
    <s v="FL250631"/>
    <s v="Thomas Wall"/>
    <s v="Male"/>
    <n v="20"/>
    <s v="18-29"/>
    <x v="14"/>
    <s v="English"/>
    <s v="DevOps"/>
    <n v="0"/>
    <x v="2"/>
    <n v="75"/>
    <n v="75000"/>
    <x v="1"/>
    <n v="1.8"/>
    <x v="0"/>
    <n v="0.9"/>
    <s v="Needs Imporovement"/>
  </r>
  <r>
    <s v="FL250632"/>
    <s v="Sarah Anderson"/>
    <s v="Female"/>
    <n v="41"/>
    <s v="30-45"/>
    <x v="12"/>
    <s v="Korean"/>
    <s v="UI/UX Design"/>
    <n v="23"/>
    <x v="3"/>
    <n v="75"/>
    <n v="75000"/>
    <x v="1"/>
    <n v="4"/>
    <x v="0"/>
    <n v="0.85"/>
    <s v="Top Performer"/>
  </r>
  <r>
    <s v="FL250633"/>
    <s v="Christian Lane"/>
    <s v="Male"/>
    <n v="24"/>
    <s v="18-29"/>
    <x v="15"/>
    <s v="French"/>
    <s v="Mobile Apps"/>
    <n v="0"/>
    <x v="2"/>
    <n v="100"/>
    <n v="100000"/>
    <x v="0"/>
    <n v="1.8"/>
    <x v="0"/>
    <n v="0.3"/>
    <s v="Needs Imporovement"/>
  </r>
  <r>
    <s v="FL250634"/>
    <s v="Todd Casey"/>
    <s v="Male"/>
    <n v="44"/>
    <s v="30-45"/>
    <x v="3"/>
    <s v="Dutch"/>
    <s v="Machine Learning"/>
    <n v="4"/>
    <x v="2"/>
    <n v="20"/>
    <n v="20000"/>
    <x v="2"/>
    <n v="2.5"/>
    <x v="1"/>
    <n v="0.77"/>
    <s v="Needs Imporovement"/>
  </r>
  <r>
    <s v="FL250635"/>
    <s v="David Martinez"/>
    <s v="Male"/>
    <n v="52"/>
    <s v="46-55"/>
    <x v="18"/>
    <s v="Mandarin"/>
    <s v="UI/UX Design"/>
    <n v="4"/>
    <x v="2"/>
    <n v="75"/>
    <n v="75000"/>
    <x v="1"/>
    <n v="2.5"/>
    <x v="1"/>
    <n v="0.79"/>
    <s v="Needs Imporovement"/>
  </r>
  <r>
    <s v="FL250636"/>
    <s v="Donald Salas"/>
    <s v="Male"/>
    <n v="35"/>
    <s v="30-45"/>
    <x v="20"/>
    <s v="Spanish"/>
    <s v="Machine Learning"/>
    <n v="13"/>
    <x v="4"/>
    <n v="40"/>
    <n v="40000"/>
    <x v="1"/>
    <n v="3.8"/>
    <x v="0"/>
    <n v="0.83"/>
    <s v="Average"/>
  </r>
  <r>
    <s v="FL250637"/>
    <s v="Emma Hicks"/>
    <s v="Female"/>
    <n v="24"/>
    <s v="18-29"/>
    <x v="3"/>
    <s v="Dutch"/>
    <s v="DevOps"/>
    <n v="2"/>
    <x v="2"/>
    <n v="50"/>
    <n v="50000"/>
    <x v="1"/>
    <n v="2.5"/>
    <x v="0"/>
    <n v="0.64"/>
    <s v="Needs Imporovement"/>
  </r>
  <r>
    <s v="FL250638"/>
    <s v="Alison Clark"/>
    <s v="Female"/>
    <n v="46"/>
    <s v="46-55"/>
    <x v="1"/>
    <s v="English"/>
    <s v="Cybersecurity"/>
    <n v="25"/>
    <x v="3"/>
    <n v="100"/>
    <n v="100000"/>
    <x v="0"/>
    <n v="4.8"/>
    <x v="0"/>
    <n v="0.8"/>
    <s v="Top Performer"/>
  </r>
  <r>
    <s v="FL250639"/>
    <s v="Andrew Barnes"/>
    <s v="Male"/>
    <n v="57"/>
    <s v="55+"/>
    <x v="19"/>
    <s v="Spanish"/>
    <s v="Mobile Apps"/>
    <n v="18"/>
    <x v="4"/>
    <n v="30"/>
    <n v="30000"/>
    <x v="2"/>
    <n v="4"/>
    <x v="0"/>
    <n v="0.9"/>
    <s v="Top Performer"/>
  </r>
  <r>
    <s v="FL250640"/>
    <s v="Gina Snyder"/>
    <s v="Female"/>
    <n v="49"/>
    <s v="46-55"/>
    <x v="19"/>
    <s v="Spanish"/>
    <s v="Web Development"/>
    <n v="24"/>
    <x v="3"/>
    <n v="50"/>
    <n v="50000"/>
    <x v="1"/>
    <n v="4"/>
    <x v="0"/>
    <n v="0.94"/>
    <s v="Top Performer"/>
  </r>
  <r>
    <s v="FL250641"/>
    <s v="David Watson"/>
    <s v="Male"/>
    <n v="41"/>
    <s v="30-45"/>
    <x v="9"/>
    <s v="Japanese"/>
    <s v="AI"/>
    <n v="7"/>
    <x v="0"/>
    <n v="40"/>
    <n v="40000"/>
    <x v="1"/>
    <n v="3"/>
    <x v="0"/>
    <n v="0.7"/>
    <s v="Average"/>
  </r>
  <r>
    <s v="FL250642"/>
    <s v="John Davis"/>
    <s v="Male"/>
    <n v="22"/>
    <s v="18-29"/>
    <x v="19"/>
    <s v="Spanish"/>
    <s v="Machine Learning"/>
    <n v="1"/>
    <x v="2"/>
    <n v="20"/>
    <n v="20000"/>
    <x v="2"/>
    <n v="1.8"/>
    <x v="1"/>
    <n v="0.75"/>
    <s v="Needs Imporovement"/>
  </r>
  <r>
    <s v="FL250643"/>
    <s v="Joseph Thomas"/>
    <s v="Male"/>
    <n v="50"/>
    <s v="46-55"/>
    <x v="1"/>
    <s v="English"/>
    <s v="Blockchain Development"/>
    <n v="17"/>
    <x v="4"/>
    <n v="75"/>
    <n v="75000"/>
    <x v="1"/>
    <n v="4"/>
    <x v="1"/>
    <n v="0.69"/>
    <s v="Top Performer"/>
  </r>
  <r>
    <s v="FL250644"/>
    <s v="Dean Finley"/>
    <s v="Male"/>
    <n v="57"/>
    <s v="55+"/>
    <x v="2"/>
    <s v="German"/>
    <s v="Graphic Design"/>
    <n v="4"/>
    <x v="2"/>
    <n v="30"/>
    <n v="30000"/>
    <x v="2"/>
    <n v="2.5"/>
    <x v="0"/>
    <n v="0.35"/>
    <s v="Needs Imporovement"/>
  </r>
  <r>
    <s v="FL250645"/>
    <s v="Ashley Kemp"/>
    <s v="Female"/>
    <n v="47"/>
    <s v="46-55"/>
    <x v="19"/>
    <s v="Spanish"/>
    <s v="AI"/>
    <n v="29"/>
    <x v="3"/>
    <n v="50"/>
    <n v="50000"/>
    <x v="1"/>
    <n v="4.8"/>
    <x v="1"/>
    <n v="0.79"/>
    <s v="Top Performer"/>
  </r>
  <r>
    <s v="FL250646"/>
    <s v="Kenneth Evans"/>
    <s v="Male"/>
    <n v="24"/>
    <s v="18-29"/>
    <x v="17"/>
    <s v="Afrikaans"/>
    <s v="Data Analysis"/>
    <n v="2"/>
    <x v="2"/>
    <n v="100"/>
    <n v="100000"/>
    <x v="0"/>
    <n v="2.5"/>
    <x v="1"/>
    <n v="0.71"/>
    <s v="Needs Imporovement"/>
  </r>
  <r>
    <s v="FL250647"/>
    <s v="Brandon Newman"/>
    <s v="Male"/>
    <n v="32"/>
    <s v="30-45"/>
    <x v="10"/>
    <s v="Hindi"/>
    <s v="Cybersecurity"/>
    <n v="9"/>
    <x v="0"/>
    <n v="100"/>
    <n v="100000"/>
    <x v="0"/>
    <n v="3"/>
    <x v="1"/>
    <n v="0.72"/>
    <s v="Average"/>
  </r>
  <r>
    <s v="FL250648"/>
    <s v="Katie Hensley"/>
    <s v="Female"/>
    <n v="50"/>
    <s v="46-55"/>
    <x v="2"/>
    <s v="German"/>
    <s v="DevOps"/>
    <n v="10"/>
    <x v="0"/>
    <n v="100"/>
    <n v="100000"/>
    <x v="0"/>
    <n v="3.8"/>
    <x v="0"/>
    <n v="0.93"/>
    <s v="Average"/>
  </r>
  <r>
    <s v="FL250649"/>
    <s v="Joel Randolph"/>
    <s v="Male"/>
    <n v="46"/>
    <s v="46-55"/>
    <x v="11"/>
    <s v="Portuguese"/>
    <s v="Machine Learning"/>
    <n v="20"/>
    <x v="4"/>
    <n v="70"/>
    <n v="70000"/>
    <x v="1"/>
    <n v="4"/>
    <x v="1"/>
    <n v="0.82"/>
    <s v="Top Performer"/>
  </r>
  <r>
    <s v="FL250650"/>
    <s v="Andrew Scott"/>
    <s v="Male"/>
    <n v="51"/>
    <s v="46-55"/>
    <x v="1"/>
    <s v="English"/>
    <s v="Cybersecurity"/>
    <n v="9"/>
    <x v="0"/>
    <n v="40"/>
    <n v="40000"/>
    <x v="1"/>
    <n v="3"/>
    <x v="0"/>
    <n v="0.6"/>
    <s v="Average"/>
  </r>
  <r>
    <s v="FL250651"/>
    <s v="Zachary Ochoa"/>
    <s v="Male"/>
    <n v="51"/>
    <s v="46-55"/>
    <x v="7"/>
    <s v="English"/>
    <s v="AI"/>
    <n v="12"/>
    <x v="0"/>
    <n v="20"/>
    <n v="20000"/>
    <x v="2"/>
    <n v="3.8"/>
    <x v="0"/>
    <n v="0.93"/>
    <s v="Average"/>
  </r>
  <r>
    <s v="FL250652"/>
    <s v="John Arroyo"/>
    <s v="Male"/>
    <n v="27"/>
    <s v="18-29"/>
    <x v="7"/>
    <s v="English"/>
    <s v="AI"/>
    <n v="3"/>
    <x v="2"/>
    <n v="50"/>
    <n v="50000"/>
    <x v="1"/>
    <n v="2.5"/>
    <x v="0"/>
    <n v="0.35"/>
    <s v="Needs Imporovement"/>
  </r>
  <r>
    <s v="FL250653"/>
    <s v="Matthew Fernandez"/>
    <s v="Male"/>
    <n v="42"/>
    <s v="30-45"/>
    <x v="20"/>
    <s v="Spanish"/>
    <s v="Web Development"/>
    <n v="13"/>
    <x v="4"/>
    <n v="30"/>
    <n v="30000"/>
    <x v="2"/>
    <n v="3.8"/>
    <x v="0"/>
    <n v="0.74"/>
    <s v="Average"/>
  </r>
  <r>
    <s v="FL250654"/>
    <s v="Benjamin Stark"/>
    <s v="Male"/>
    <n v="25"/>
    <s v="18-29"/>
    <x v="2"/>
    <s v="German"/>
    <s v="UI/UX Design"/>
    <n v="4"/>
    <x v="2"/>
    <n v="40"/>
    <n v="40000"/>
    <x v="1"/>
    <n v="2.5"/>
    <x v="1"/>
    <n v="0.73"/>
    <s v="Needs Imporovement"/>
  </r>
  <r>
    <s v="FL250655"/>
    <s v="Tammy Greer"/>
    <s v="Female"/>
    <n v="32"/>
    <s v="30-45"/>
    <x v="2"/>
    <s v="German"/>
    <s v="Data Analysis"/>
    <n v="9"/>
    <x v="0"/>
    <n v="75"/>
    <n v="75000"/>
    <x v="1"/>
    <n v="3"/>
    <x v="0"/>
    <n v="0.96"/>
    <s v="Average"/>
  </r>
  <r>
    <s v="FL250656"/>
    <s v="Cynthia Mckinney"/>
    <s v="Female"/>
    <n v="59"/>
    <s v="55+"/>
    <x v="14"/>
    <s v="English"/>
    <s v="Graphic Design"/>
    <n v="14"/>
    <x v="4"/>
    <n v="30"/>
    <n v="30000"/>
    <x v="2"/>
    <n v="3.8"/>
    <x v="0"/>
    <n v="0.66"/>
    <s v="Average"/>
  </r>
  <r>
    <s v="FL250657"/>
    <s v="Wendy Rice"/>
    <s v="Female"/>
    <n v="59"/>
    <s v="55+"/>
    <x v="15"/>
    <s v="French"/>
    <s v="Cybersecurity"/>
    <n v="37"/>
    <x v="1"/>
    <n v="30"/>
    <n v="30000"/>
    <x v="2"/>
    <n v="5"/>
    <x v="0"/>
    <n v="0.62"/>
    <s v="Top Performer"/>
  </r>
  <r>
    <s v="FL250658"/>
    <s v="Randy Bender"/>
    <s v="Male"/>
    <n v="29"/>
    <s v="18-29"/>
    <x v="2"/>
    <s v="German"/>
    <s v="Graphic Design"/>
    <n v="2"/>
    <x v="2"/>
    <n v="75"/>
    <n v="75000"/>
    <x v="1"/>
    <n v="2.5"/>
    <x v="1"/>
    <n v="0.85"/>
    <s v="Needs Imporovement"/>
  </r>
  <r>
    <s v="FL250659"/>
    <s v="Richard Dominguez"/>
    <s v="Male"/>
    <n v="58"/>
    <s v="55+"/>
    <x v="18"/>
    <s v="Mandarin"/>
    <s v="AI"/>
    <n v="11"/>
    <x v="0"/>
    <n v="100"/>
    <n v="100000"/>
    <x v="0"/>
    <n v="3.8"/>
    <x v="0"/>
    <n v="0.66"/>
    <s v="Average"/>
  </r>
  <r>
    <s v="FL250660"/>
    <s v="Melissa Maldonado"/>
    <s v="Female"/>
    <n v="56"/>
    <s v="55+"/>
    <x v="14"/>
    <s v="English"/>
    <s v="Cybersecurity"/>
    <n v="19"/>
    <x v="4"/>
    <n v="20"/>
    <n v="20000"/>
    <x v="2"/>
    <n v="4"/>
    <x v="0"/>
    <n v="0.87"/>
    <s v="Top Performer"/>
  </r>
  <r>
    <s v="FL250661"/>
    <s v="Leah Harris"/>
    <s v="Female"/>
    <n v="36"/>
    <s v="30-45"/>
    <x v="5"/>
    <s v="English"/>
    <s v="Machine Learning"/>
    <n v="9"/>
    <x v="0"/>
    <n v="20"/>
    <n v="20000"/>
    <x v="2"/>
    <n v="3"/>
    <x v="1"/>
    <n v="0.68"/>
    <s v="Average"/>
  </r>
  <r>
    <s v="FL250662"/>
    <s v="Lynn French"/>
    <s v="Female"/>
    <n v="52"/>
    <s v="46-55"/>
    <x v="14"/>
    <s v="English"/>
    <s v="UI/UX Design"/>
    <n v="16"/>
    <x v="4"/>
    <n v="100"/>
    <n v="100000"/>
    <x v="0"/>
    <n v="4"/>
    <x v="1"/>
    <n v="0.85"/>
    <s v="Top Performer"/>
  </r>
  <r>
    <s v="FL250663"/>
    <s v="Angela Johnson"/>
    <s v="Female"/>
    <n v="42"/>
    <s v="30-45"/>
    <x v="3"/>
    <s v="Dutch"/>
    <s v="Mobile Apps"/>
    <n v="8"/>
    <x v="0"/>
    <n v="50"/>
    <n v="50000"/>
    <x v="1"/>
    <n v="3"/>
    <x v="0"/>
    <n v="0.6"/>
    <s v="Average"/>
  </r>
  <r>
    <s v="FL250664"/>
    <s v="Sarah Edwards"/>
    <s v="Female"/>
    <n v="59"/>
    <s v="55+"/>
    <x v="10"/>
    <s v="Hindi"/>
    <s v="Mobile Apps"/>
    <n v="34"/>
    <x v="1"/>
    <n v="100"/>
    <n v="100000"/>
    <x v="0"/>
    <n v="5"/>
    <x v="1"/>
    <n v="0.79"/>
    <s v="Top Performer"/>
  </r>
  <r>
    <s v="FL250665"/>
    <s v="Roy Collins"/>
    <s v="Male"/>
    <n v="33"/>
    <s v="30-45"/>
    <x v="3"/>
    <s v="Dutch"/>
    <s v="Mobile Apps"/>
    <n v="5"/>
    <x v="0"/>
    <n v="50"/>
    <n v="50000"/>
    <x v="1"/>
    <n v="3"/>
    <x v="1"/>
    <n v="0.88"/>
    <s v="Average"/>
  </r>
  <r>
    <s v="FL250666"/>
    <s v="Samantha Porter"/>
    <s v="Female"/>
    <n v="55"/>
    <s v="46-55"/>
    <x v="14"/>
    <s v="English"/>
    <s v="Web Development"/>
    <n v="14"/>
    <x v="4"/>
    <n v="50"/>
    <n v="50000"/>
    <x v="1"/>
    <n v="3.8"/>
    <x v="1"/>
    <n v="0.81"/>
    <s v="Average"/>
  </r>
  <r>
    <s v="FL250667"/>
    <s v="Juan Elliott"/>
    <s v="Male"/>
    <n v="47"/>
    <s v="46-55"/>
    <x v="12"/>
    <s v="Korean"/>
    <s v="UI/UX Design"/>
    <n v="17"/>
    <x v="4"/>
    <n v="50"/>
    <n v="50000"/>
    <x v="1"/>
    <n v="4"/>
    <x v="0"/>
    <n v="0.85"/>
    <s v="Top Performer"/>
  </r>
  <r>
    <s v="FL250668"/>
    <s v="Elizabeth Phillips"/>
    <s v="Female"/>
    <n v="29"/>
    <s v="18-29"/>
    <x v="19"/>
    <s v="Spanish"/>
    <s v="AI"/>
    <n v="10"/>
    <x v="0"/>
    <n v="80"/>
    <n v="80000"/>
    <x v="1"/>
    <n v="3.8"/>
    <x v="1"/>
    <n v="0.67"/>
    <s v="Average"/>
  </r>
  <r>
    <s v="FL250669"/>
    <s v="Laura Evans"/>
    <s v="Female"/>
    <n v="30"/>
    <s v="30-45"/>
    <x v="7"/>
    <s v="English"/>
    <s v="DevOps"/>
    <n v="8"/>
    <x v="0"/>
    <n v="100"/>
    <n v="100000"/>
    <x v="0"/>
    <n v="3"/>
    <x v="1"/>
    <n v="0.62"/>
    <s v="Average"/>
  </r>
  <r>
    <s v="FL250670"/>
    <s v="Amanda Mitchell"/>
    <s v="Female"/>
    <n v="25"/>
    <s v="18-29"/>
    <x v="14"/>
    <s v="English"/>
    <s v="DevOps"/>
    <n v="1"/>
    <x v="2"/>
    <n v="30"/>
    <n v="30000"/>
    <x v="2"/>
    <n v="1.8"/>
    <x v="0"/>
    <n v="0.87"/>
    <s v="Needs Imporovement"/>
  </r>
  <r>
    <s v="FL250671"/>
    <s v="Sandra Williams"/>
    <s v="Female"/>
    <n v="28"/>
    <s v="18-29"/>
    <x v="16"/>
    <s v="Arabic"/>
    <s v="Cybersecurity"/>
    <n v="10"/>
    <x v="0"/>
    <n v="40"/>
    <n v="40000"/>
    <x v="1"/>
    <n v="3.8"/>
    <x v="1"/>
    <n v="0.98"/>
    <s v="Average"/>
  </r>
  <r>
    <s v="FL250672"/>
    <s v="Eric Johnson"/>
    <s v="Male"/>
    <n v="29"/>
    <s v="18-29"/>
    <x v="12"/>
    <s v="Korean"/>
    <s v="Blockchain Development"/>
    <n v="0"/>
    <x v="2"/>
    <n v="75"/>
    <n v="75000"/>
    <x v="1"/>
    <n v="1.8"/>
    <x v="1"/>
    <n v="0.64"/>
    <s v="Needs Imporovement"/>
  </r>
  <r>
    <s v="FL250673"/>
    <s v="Javier Hobbs"/>
    <s v="Male"/>
    <n v="30"/>
    <s v="30-45"/>
    <x v="20"/>
    <s v="Spanish"/>
    <s v="Graphic Design"/>
    <n v="4"/>
    <x v="2"/>
    <n v="20"/>
    <n v="20000"/>
    <x v="2"/>
    <n v="2.5"/>
    <x v="1"/>
    <n v="0.71"/>
    <s v="Needs Imporovement"/>
  </r>
  <r>
    <s v="FL250674"/>
    <s v="Jacob Jones"/>
    <s v="Male"/>
    <n v="47"/>
    <s v="46-55"/>
    <x v="16"/>
    <s v="Arabic"/>
    <s v="AI"/>
    <n v="2"/>
    <x v="2"/>
    <n v="50"/>
    <n v="50000"/>
    <x v="1"/>
    <n v="2.5"/>
    <x v="0"/>
    <n v="0.96"/>
    <s v="Needs Imporovement"/>
  </r>
  <r>
    <s v="FL250675"/>
    <s v="Zachary Murphy"/>
    <s v="Male"/>
    <n v="34"/>
    <s v="30-45"/>
    <x v="1"/>
    <s v="English"/>
    <s v="Blockchain Development"/>
    <n v="10"/>
    <x v="0"/>
    <n v="30"/>
    <n v="30000"/>
    <x v="2"/>
    <n v="3.8"/>
    <x v="0"/>
    <n v="0.75"/>
    <s v="Average"/>
  </r>
  <r>
    <s v="FL250676"/>
    <s v="Joshua Owens"/>
    <s v="Male"/>
    <n v="45"/>
    <s v="30-45"/>
    <x v="5"/>
    <s v="English"/>
    <s v="Graphic Design"/>
    <n v="16"/>
    <x v="4"/>
    <n v="100"/>
    <n v="100000"/>
    <x v="0"/>
    <n v="4"/>
    <x v="0"/>
    <n v="0.78"/>
    <s v="Top Performer"/>
  </r>
  <r>
    <s v="FL250677"/>
    <s v="Dawn Mitchell"/>
    <s v="Female"/>
    <n v="56"/>
    <s v="55+"/>
    <x v="20"/>
    <s v="Spanish"/>
    <s v="Cybersecurity"/>
    <n v="27"/>
    <x v="3"/>
    <n v="20"/>
    <n v="20000"/>
    <x v="2"/>
    <n v="4.8"/>
    <x v="0"/>
    <n v="0.7"/>
    <s v="Top Performer"/>
  </r>
  <r>
    <s v="FL250678"/>
    <s v="Regina Dunn"/>
    <s v="Female"/>
    <n v="49"/>
    <s v="46-55"/>
    <x v="18"/>
    <s v="Mandarin"/>
    <s v="DevOps"/>
    <n v="20"/>
    <x v="4"/>
    <n v="50"/>
    <n v="50000"/>
    <x v="1"/>
    <n v="4"/>
    <x v="0"/>
    <n v="0.82"/>
    <s v="Top Performer"/>
  </r>
  <r>
    <s v="FL250679"/>
    <s v="Ernest Cole"/>
    <s v="Male"/>
    <n v="48"/>
    <s v="46-55"/>
    <x v="15"/>
    <s v="French"/>
    <s v="AI"/>
    <n v="10"/>
    <x v="0"/>
    <n v="20"/>
    <n v="20000"/>
    <x v="2"/>
    <n v="3.8"/>
    <x v="0"/>
    <n v="0.75"/>
    <s v="Average"/>
  </r>
  <r>
    <s v="FL250680"/>
    <s v="Hannah Sanders"/>
    <s v="Female"/>
    <n v="29"/>
    <s v="18-29"/>
    <x v="12"/>
    <s v="Korean"/>
    <s v="Graphic Design"/>
    <n v="0"/>
    <x v="2"/>
    <n v="20"/>
    <n v="20000"/>
    <x v="2"/>
    <n v="1.8"/>
    <x v="1"/>
    <n v="0.99"/>
    <s v="Needs Imporovement"/>
  </r>
  <r>
    <s v="FL250681"/>
    <s v="Ellen Bowman"/>
    <s v="Female"/>
    <n v="49"/>
    <s v="46-55"/>
    <x v="3"/>
    <s v="Dutch"/>
    <s v="Web Development"/>
    <n v="11"/>
    <x v="0"/>
    <n v="75"/>
    <n v="75000"/>
    <x v="1"/>
    <n v="3.8"/>
    <x v="1"/>
    <n v="0.93"/>
    <s v="Average"/>
  </r>
  <r>
    <s v="FL250682"/>
    <s v="Nancy Moore"/>
    <s v="Female"/>
    <n v="22"/>
    <s v="18-29"/>
    <x v="18"/>
    <s v="Mandarin"/>
    <s v="Blockchain Development"/>
    <n v="1"/>
    <x v="2"/>
    <n v="100"/>
    <n v="100000"/>
    <x v="0"/>
    <n v="1.8"/>
    <x v="1"/>
    <n v="0.75"/>
    <s v="Needs Imporovement"/>
  </r>
  <r>
    <s v="FL250683"/>
    <s v="Joseph Wood"/>
    <s v="Male"/>
    <n v="52"/>
    <s v="46-55"/>
    <x v="19"/>
    <s v="Spanish"/>
    <s v="Graphic Design"/>
    <n v="30"/>
    <x v="3"/>
    <n v="100"/>
    <n v="100000"/>
    <x v="0"/>
    <n v="5"/>
    <x v="1"/>
    <n v="0.61"/>
    <s v="Top Performer"/>
  </r>
  <r>
    <s v="FL250684"/>
    <s v="Michael Harrell"/>
    <s v="Male"/>
    <n v="60"/>
    <s v="55+"/>
    <x v="14"/>
    <s v="English"/>
    <s v="Blockchain Development"/>
    <n v="7"/>
    <x v="0"/>
    <n v="30"/>
    <n v="30000"/>
    <x v="2"/>
    <n v="3"/>
    <x v="0"/>
    <n v="0.97"/>
    <s v="Average"/>
  </r>
  <r>
    <s v="FL250685"/>
    <s v="Connie Mcclain"/>
    <s v="Female"/>
    <n v="33"/>
    <s v="30-45"/>
    <x v="9"/>
    <s v="Japanese"/>
    <s v="UI/UX Design"/>
    <n v="0"/>
    <x v="2"/>
    <n v="100"/>
    <n v="100000"/>
    <x v="0"/>
    <n v="1.8"/>
    <x v="1"/>
    <n v="0.95"/>
    <s v="Needs Imporovement"/>
  </r>
  <r>
    <s v="FL250686"/>
    <s v="Matthew Baldwin"/>
    <s v="Male"/>
    <n v="52"/>
    <s v="46-55"/>
    <x v="12"/>
    <s v="Korean"/>
    <s v="Graphic Design"/>
    <n v="21"/>
    <x v="3"/>
    <n v="40"/>
    <n v="40000"/>
    <x v="1"/>
    <n v="4"/>
    <x v="1"/>
    <n v="0.69"/>
    <s v="Top Performer"/>
  </r>
  <r>
    <s v="FL250687"/>
    <s v="Danielle Nelson"/>
    <s v="Female"/>
    <n v="25"/>
    <s v="18-29"/>
    <x v="2"/>
    <s v="German"/>
    <s v="DevOps"/>
    <n v="7"/>
    <x v="0"/>
    <n v="100"/>
    <n v="100000"/>
    <x v="0"/>
    <n v="3"/>
    <x v="0"/>
    <n v="0.63"/>
    <s v="Average"/>
  </r>
  <r>
    <s v="FL250688"/>
    <s v="Steven Moore"/>
    <s v="Male"/>
    <n v="33"/>
    <s v="30-45"/>
    <x v="9"/>
    <s v="Japanese"/>
    <s v="Cybersecurity"/>
    <n v="12"/>
    <x v="0"/>
    <n v="30"/>
    <n v="30000"/>
    <x v="2"/>
    <n v="3.8"/>
    <x v="1"/>
    <n v="0.65"/>
    <s v="Average"/>
  </r>
  <r>
    <s v="FL250689"/>
    <s v="Megan Hudson"/>
    <s v="Female"/>
    <n v="33"/>
    <s v="30-45"/>
    <x v="18"/>
    <s v="Mandarin"/>
    <s v="Mobile Apps"/>
    <n v="10"/>
    <x v="0"/>
    <n v="50"/>
    <n v="50000"/>
    <x v="1"/>
    <n v="3.8"/>
    <x v="1"/>
    <n v="0.9"/>
    <s v="Average"/>
  </r>
  <r>
    <s v="FL250690"/>
    <s v="Lisa Johnson"/>
    <s v="Female"/>
    <n v="52"/>
    <s v="46-55"/>
    <x v="14"/>
    <s v="English"/>
    <s v="UI/UX Design"/>
    <n v="25"/>
    <x v="3"/>
    <n v="100"/>
    <n v="100000"/>
    <x v="0"/>
    <n v="4.8"/>
    <x v="0"/>
    <n v="0.9"/>
    <s v="Top Performer"/>
  </r>
  <r>
    <s v="FL250691"/>
    <s v="Tracy White"/>
    <s v="Female"/>
    <n v="20"/>
    <s v="18-29"/>
    <x v="4"/>
    <s v="Indonesian"/>
    <s v="Web Development"/>
    <n v="1"/>
    <x v="2"/>
    <n v="30"/>
    <n v="30000"/>
    <x v="2"/>
    <n v="1.8"/>
    <x v="0"/>
    <n v="0.89"/>
    <s v="Needs Imporovement"/>
  </r>
  <r>
    <s v="FL250692"/>
    <s v="Natalie Diaz"/>
    <s v="Female"/>
    <n v="43"/>
    <s v="30-45"/>
    <x v="13"/>
    <s v="Russian"/>
    <s v="Data Analysis"/>
    <n v="7"/>
    <x v="0"/>
    <n v="50"/>
    <n v="50000"/>
    <x v="1"/>
    <n v="3"/>
    <x v="1"/>
    <n v="0.8"/>
    <s v="Average"/>
  </r>
  <r>
    <s v="FL250693"/>
    <s v="Amanda Mitchell"/>
    <s v="Female"/>
    <n v="31"/>
    <s v="30-45"/>
    <x v="15"/>
    <s v="French"/>
    <s v="Mobile Apps"/>
    <n v="10"/>
    <x v="0"/>
    <n v="50"/>
    <n v="50000"/>
    <x v="1"/>
    <n v="3.8"/>
    <x v="0"/>
    <n v="0.8"/>
    <s v="Average"/>
  </r>
  <r>
    <s v="FL250694"/>
    <s v="Karen Scott"/>
    <s v="Female"/>
    <n v="29"/>
    <s v="18-29"/>
    <x v="2"/>
    <s v="German"/>
    <s v="Data Analysis"/>
    <n v="6"/>
    <x v="0"/>
    <n v="100"/>
    <n v="100000"/>
    <x v="0"/>
    <n v="3"/>
    <x v="0"/>
    <n v="0.6"/>
    <s v="Average"/>
  </r>
  <r>
    <s v="FL250695"/>
    <s v="Mary Brown"/>
    <s v="Female"/>
    <n v="53"/>
    <s v="46-55"/>
    <x v="17"/>
    <s v="Afrikaans"/>
    <s v="Graphic Design"/>
    <n v="35"/>
    <x v="1"/>
    <n v="100"/>
    <n v="100000"/>
    <x v="0"/>
    <n v="5"/>
    <x v="1"/>
    <n v="0.67"/>
    <s v="Top Performer"/>
  </r>
  <r>
    <s v="FL250696"/>
    <s v="Jon Jones"/>
    <s v="Male"/>
    <n v="38"/>
    <s v="30-45"/>
    <x v="10"/>
    <s v="Hindi"/>
    <s v="Mobile Apps"/>
    <n v="1"/>
    <x v="2"/>
    <n v="40"/>
    <n v="40000"/>
    <x v="1"/>
    <n v="1.8"/>
    <x v="0"/>
    <n v="0.96"/>
    <s v="Needs Imporovement"/>
  </r>
  <r>
    <s v="FL250697"/>
    <s v="Jason Phillips"/>
    <s v="Male"/>
    <n v="29"/>
    <s v="18-29"/>
    <x v="20"/>
    <s v="Spanish"/>
    <s v="Graphic Design"/>
    <n v="5"/>
    <x v="0"/>
    <n v="20"/>
    <n v="20000"/>
    <x v="2"/>
    <n v="3"/>
    <x v="0"/>
    <n v="0.9"/>
    <s v="Average"/>
  </r>
  <r>
    <s v="FL250698"/>
    <s v="Eric Walsh"/>
    <s v="Male"/>
    <n v="42"/>
    <s v="30-45"/>
    <x v="12"/>
    <s v="Korean"/>
    <s v="UI/UX Design"/>
    <n v="0"/>
    <x v="2"/>
    <n v="60"/>
    <n v="60000"/>
    <x v="1"/>
    <n v="1.8"/>
    <x v="0"/>
    <n v="0.62"/>
    <s v="Needs Imporovement"/>
  </r>
  <r>
    <s v="FL250699"/>
    <s v="Carol Schneider"/>
    <s v="Female"/>
    <n v="54"/>
    <s v="46-55"/>
    <x v="5"/>
    <s v="English"/>
    <s v="Machine Learning"/>
    <n v="9"/>
    <x v="0"/>
    <n v="100"/>
    <n v="100000"/>
    <x v="0"/>
    <n v="3"/>
    <x v="0"/>
    <n v="0.72"/>
    <s v="Average"/>
  </r>
  <r>
    <s v="FL250700"/>
    <s v="Juan Hines"/>
    <s v="Male"/>
    <n v="56"/>
    <s v="55+"/>
    <x v="18"/>
    <s v="Mandarin"/>
    <s v="UI/UX Design"/>
    <n v="18"/>
    <x v="4"/>
    <n v="50"/>
    <n v="50000"/>
    <x v="1"/>
    <n v="4"/>
    <x v="1"/>
    <n v="0.83"/>
    <s v="Top Performer"/>
  </r>
  <r>
    <s v="FL250701"/>
    <s v="Martha Sweeney"/>
    <s v="Female"/>
    <n v="47"/>
    <s v="46-55"/>
    <x v="6"/>
    <s v="Turkish"/>
    <s v="Graphic Design"/>
    <n v="22"/>
    <x v="3"/>
    <n v="100"/>
    <n v="100000"/>
    <x v="0"/>
    <n v="4"/>
    <x v="0"/>
    <n v="0.7"/>
    <s v="Top Performer"/>
  </r>
  <r>
    <s v="FL250702"/>
    <s v="Jason Weaver"/>
    <s v="Male"/>
    <n v="45"/>
    <s v="30-45"/>
    <x v="13"/>
    <s v="Russian"/>
    <s v="Blockchain Development"/>
    <n v="25"/>
    <x v="3"/>
    <n v="50"/>
    <n v="50000"/>
    <x v="1"/>
    <n v="4.8"/>
    <x v="0"/>
    <n v="0.99"/>
    <s v="Top Performer"/>
  </r>
  <r>
    <s v="FL250703"/>
    <s v="Benjamin Stevens"/>
    <s v="Male"/>
    <n v="45"/>
    <s v="30-45"/>
    <x v="18"/>
    <s v="Mandarin"/>
    <s v="Data Analysis"/>
    <n v="6"/>
    <x v="0"/>
    <n v="50"/>
    <n v="50000"/>
    <x v="1"/>
    <n v="3"/>
    <x v="0"/>
    <n v="0.97"/>
    <s v="Average"/>
  </r>
  <r>
    <s v="FL250704"/>
    <s v="Daniel Lopez"/>
    <s v="Male"/>
    <n v="35"/>
    <s v="30-45"/>
    <x v="14"/>
    <s v="English"/>
    <s v="Machine Learning"/>
    <n v="10"/>
    <x v="0"/>
    <n v="20"/>
    <n v="20000"/>
    <x v="2"/>
    <n v="3.8"/>
    <x v="1"/>
    <n v="0.77"/>
    <s v="Average"/>
  </r>
  <r>
    <s v="FL250705"/>
    <s v="John Simpson"/>
    <s v="Male"/>
    <n v="51"/>
    <s v="46-55"/>
    <x v="14"/>
    <s v="English"/>
    <s v="DevOps"/>
    <n v="4"/>
    <x v="2"/>
    <n v="50"/>
    <n v="50000"/>
    <x v="1"/>
    <n v="2.5"/>
    <x v="0"/>
    <n v="0.92"/>
    <s v="Needs Imporovement"/>
  </r>
  <r>
    <s v="FL250706"/>
    <s v="Katrina Schultz"/>
    <s v="Female"/>
    <n v="34"/>
    <s v="30-45"/>
    <x v="20"/>
    <s v="Spanish"/>
    <s v="Mobile Apps"/>
    <n v="11"/>
    <x v="0"/>
    <n v="50"/>
    <n v="50000"/>
    <x v="1"/>
    <n v="3.8"/>
    <x v="1"/>
    <n v="0.76"/>
    <s v="Average"/>
  </r>
  <r>
    <s v="FL250707"/>
    <s v="Danielle Bell"/>
    <s v="Female"/>
    <n v="51"/>
    <s v="46-55"/>
    <x v="4"/>
    <s v="Indonesian"/>
    <s v="Graphic Design"/>
    <n v="1"/>
    <x v="2"/>
    <n v="50"/>
    <n v="50000"/>
    <x v="1"/>
    <n v="1.8"/>
    <x v="1"/>
    <n v="0.97"/>
    <s v="Needs Imporovement"/>
  </r>
  <r>
    <s v="FL250708"/>
    <s v="Jason Brady"/>
    <s v="Male"/>
    <n v="58"/>
    <s v="55+"/>
    <x v="16"/>
    <s v="Arabic"/>
    <s v="Graphic Design"/>
    <n v="35"/>
    <x v="1"/>
    <n v="100"/>
    <n v="100000"/>
    <x v="0"/>
    <n v="5"/>
    <x v="1"/>
    <n v="1"/>
    <s v="Top Performer"/>
  </r>
  <r>
    <s v="FL250709"/>
    <s v="Megan Bright"/>
    <s v="Female"/>
    <n v="36"/>
    <s v="30-45"/>
    <x v="3"/>
    <s v="Dutch"/>
    <s v="Web Development"/>
    <n v="17"/>
    <x v="4"/>
    <n v="20"/>
    <n v="20000"/>
    <x v="2"/>
    <n v="4"/>
    <x v="1"/>
    <n v="0.99"/>
    <s v="Top Performer"/>
  </r>
  <r>
    <s v="FL250710"/>
    <s v="David Griffin"/>
    <s v="Male"/>
    <n v="34"/>
    <s v="30-45"/>
    <x v="13"/>
    <s v="Russian"/>
    <s v="AI"/>
    <n v="12"/>
    <x v="0"/>
    <n v="30"/>
    <n v="30000"/>
    <x v="2"/>
    <n v="3.8"/>
    <x v="1"/>
    <n v="0.75"/>
    <s v="Average"/>
  </r>
  <r>
    <s v="FL250711"/>
    <s v="Michael Clark"/>
    <s v="Male"/>
    <n v="56"/>
    <s v="55+"/>
    <x v="17"/>
    <s v="Afrikaans"/>
    <s v="Machine Learning"/>
    <n v="30"/>
    <x v="3"/>
    <n v="40"/>
    <n v="40000"/>
    <x v="1"/>
    <n v="5"/>
    <x v="1"/>
    <n v="0.82"/>
    <s v="Top Performer"/>
  </r>
  <r>
    <s v="FL250712"/>
    <s v="Rebecca Barker"/>
    <s v="Female"/>
    <n v="58"/>
    <s v="55+"/>
    <x v="14"/>
    <s v="English"/>
    <s v="Cybersecurity"/>
    <n v="20"/>
    <x v="4"/>
    <n v="75"/>
    <n v="75000"/>
    <x v="1"/>
    <n v="4"/>
    <x v="1"/>
    <n v="0.78"/>
    <s v="Top Performer"/>
  </r>
  <r>
    <s v="FL250713"/>
    <s v="Angela Smith"/>
    <s v="Female"/>
    <n v="58"/>
    <s v="55+"/>
    <x v="5"/>
    <s v="English"/>
    <s v="Cybersecurity"/>
    <n v="22"/>
    <x v="3"/>
    <n v="100"/>
    <n v="100000"/>
    <x v="0"/>
    <n v="4"/>
    <x v="0"/>
    <n v="0.85"/>
    <s v="Top Performer"/>
  </r>
  <r>
    <s v="FL250714"/>
    <s v="Christina Wright"/>
    <s v="Female"/>
    <n v="54"/>
    <s v="46-55"/>
    <x v="7"/>
    <s v="English"/>
    <s v="AI"/>
    <n v="32"/>
    <x v="1"/>
    <n v="20"/>
    <n v="20000"/>
    <x v="2"/>
    <n v="5"/>
    <x v="0"/>
    <n v="1"/>
    <s v="Top Performer"/>
  </r>
  <r>
    <s v="FL250715"/>
    <s v="Todd Turner"/>
    <s v="Male"/>
    <n v="53"/>
    <s v="46-55"/>
    <x v="1"/>
    <s v="English"/>
    <s v="UI/UX Design"/>
    <n v="9"/>
    <x v="0"/>
    <n v="50"/>
    <n v="50000"/>
    <x v="1"/>
    <n v="3"/>
    <x v="1"/>
    <n v="0.72"/>
    <s v="Average"/>
  </r>
  <r>
    <s v="FL250716"/>
    <s v="Elizabeth Green"/>
    <s v="Female"/>
    <n v="43"/>
    <s v="30-45"/>
    <x v="1"/>
    <s v="English"/>
    <s v="Web Development"/>
    <n v="22"/>
    <x v="3"/>
    <n v="40"/>
    <n v="40000"/>
    <x v="1"/>
    <n v="4"/>
    <x v="1"/>
    <n v="0.85"/>
    <s v="Top Performer"/>
  </r>
  <r>
    <s v="FL250717"/>
    <s v="Alex Smith"/>
    <s v="Male"/>
    <n v="44"/>
    <s v="30-45"/>
    <x v="12"/>
    <s v="Korean"/>
    <s v="Machine Learning"/>
    <n v="1"/>
    <x v="2"/>
    <n v="75"/>
    <n v="75000"/>
    <x v="1"/>
    <n v="1.8"/>
    <x v="1"/>
    <n v="0.3"/>
    <s v="Needs Imporovement"/>
  </r>
  <r>
    <s v="FL250718"/>
    <s v="Shane Hale"/>
    <s v="Male"/>
    <n v="34"/>
    <s v="30-45"/>
    <x v="14"/>
    <s v="English"/>
    <s v="Cybersecurity"/>
    <n v="4"/>
    <x v="2"/>
    <n v="75"/>
    <n v="75000"/>
    <x v="1"/>
    <n v="2.5"/>
    <x v="1"/>
    <n v="0.35"/>
    <s v="Needs Imporovement"/>
  </r>
  <r>
    <s v="FL250719"/>
    <s v="Kathy Grimes"/>
    <s v="Female"/>
    <n v="27"/>
    <s v="18-29"/>
    <x v="11"/>
    <s v="Portuguese"/>
    <s v="Mobile Apps"/>
    <n v="8"/>
    <x v="0"/>
    <n v="50"/>
    <n v="50000"/>
    <x v="1"/>
    <n v="3"/>
    <x v="1"/>
    <n v="0.6"/>
    <s v="Average"/>
  </r>
  <r>
    <s v="FL250720"/>
    <s v="David Cherry"/>
    <s v="Male"/>
    <n v="50"/>
    <s v="46-55"/>
    <x v="9"/>
    <s v="Japanese"/>
    <s v="Data Analysis"/>
    <n v="3"/>
    <x v="2"/>
    <n v="100"/>
    <n v="100000"/>
    <x v="0"/>
    <n v="2.5"/>
    <x v="1"/>
    <n v="0.35"/>
    <s v="Needs Imporovement"/>
  </r>
  <r>
    <s v="FL250721"/>
    <s v="Rachel Rogers"/>
    <s v="Female"/>
    <n v="52"/>
    <s v="46-55"/>
    <x v="12"/>
    <s v="Korean"/>
    <s v="UI/UX Design"/>
    <n v="30"/>
    <x v="3"/>
    <n v="75"/>
    <n v="75000"/>
    <x v="1"/>
    <n v="5"/>
    <x v="0"/>
    <n v="0.94"/>
    <s v="Top Performer"/>
  </r>
  <r>
    <s v="FL250722"/>
    <s v="Travis Braun"/>
    <s v="Male"/>
    <n v="57"/>
    <s v="55+"/>
    <x v="20"/>
    <s v="Spanish"/>
    <s v="Blockchain Development"/>
    <n v="11"/>
    <x v="0"/>
    <n v="20"/>
    <n v="20000"/>
    <x v="2"/>
    <n v="3.8"/>
    <x v="1"/>
    <n v="0.75"/>
    <s v="Average"/>
  </r>
  <r>
    <s v="FL250723"/>
    <s v="Shawna Palmer"/>
    <s v="Female"/>
    <n v="53"/>
    <s v="46-55"/>
    <x v="19"/>
    <s v="Spanish"/>
    <s v="DevOps"/>
    <n v="8"/>
    <x v="0"/>
    <n v="20"/>
    <n v="20000"/>
    <x v="2"/>
    <n v="3"/>
    <x v="1"/>
    <n v="0.6"/>
    <s v="Average"/>
  </r>
  <r>
    <s v="FL250724"/>
    <s v="Bradley Gaines"/>
    <s v="Male"/>
    <n v="51"/>
    <s v="46-55"/>
    <x v="6"/>
    <s v="Turkish"/>
    <s v="UI/UX Design"/>
    <n v="11"/>
    <x v="0"/>
    <n v="30"/>
    <n v="30000"/>
    <x v="2"/>
    <n v="3.8"/>
    <x v="1"/>
    <n v="0.77"/>
    <s v="Average"/>
  </r>
  <r>
    <s v="FL250725"/>
    <s v="April Ford"/>
    <s v="Female"/>
    <n v="37"/>
    <s v="30-45"/>
    <x v="14"/>
    <s v="English"/>
    <s v="Cybersecurity"/>
    <n v="9"/>
    <x v="0"/>
    <n v="50"/>
    <n v="50000"/>
    <x v="1"/>
    <n v="3"/>
    <x v="1"/>
    <n v="0.84"/>
    <s v="Average"/>
  </r>
  <r>
    <s v="FL250726"/>
    <s v="James Gonzalez"/>
    <s v="Male"/>
    <n v="40"/>
    <s v="30-45"/>
    <x v="20"/>
    <s v="Spanish"/>
    <s v="Web Development"/>
    <n v="7"/>
    <x v="0"/>
    <n v="40"/>
    <n v="40000"/>
    <x v="1"/>
    <n v="3"/>
    <x v="0"/>
    <n v="0.79"/>
    <s v="Average"/>
  </r>
  <r>
    <s v="FL250727"/>
    <s v="John Castillo"/>
    <s v="Male"/>
    <n v="60"/>
    <s v="55+"/>
    <x v="9"/>
    <s v="Japanese"/>
    <s v="Data Analysis"/>
    <n v="24"/>
    <x v="3"/>
    <n v="40"/>
    <n v="40000"/>
    <x v="1"/>
    <n v="4"/>
    <x v="0"/>
    <n v="0.69"/>
    <s v="Top Performer"/>
  </r>
  <r>
    <s v="FL250728"/>
    <s v="Ian Hayes"/>
    <s v="Male"/>
    <n v="60"/>
    <s v="55+"/>
    <x v="15"/>
    <s v="French"/>
    <s v="UI/UX Design"/>
    <n v="0"/>
    <x v="2"/>
    <n v="40"/>
    <n v="40000"/>
    <x v="1"/>
    <n v="1.8"/>
    <x v="1"/>
    <n v="0.68"/>
    <s v="Needs Imporovement"/>
  </r>
  <r>
    <s v="FL250729"/>
    <s v="Christine Castro"/>
    <s v="Female"/>
    <n v="53"/>
    <s v="46-55"/>
    <x v="12"/>
    <s v="Korean"/>
    <s v="UI/UX Design"/>
    <n v="21"/>
    <x v="3"/>
    <n v="30"/>
    <n v="30000"/>
    <x v="2"/>
    <n v="4"/>
    <x v="1"/>
    <n v="0.73"/>
    <s v="Top Performer"/>
  </r>
  <r>
    <s v="FL250730"/>
    <s v="Jessica Chaney"/>
    <s v="Female"/>
    <n v="20"/>
    <s v="18-29"/>
    <x v="19"/>
    <s v="Spanish"/>
    <s v="Blockchain Development"/>
    <n v="0"/>
    <x v="2"/>
    <n v="75"/>
    <n v="75000"/>
    <x v="1"/>
    <n v="1.8"/>
    <x v="1"/>
    <n v="0.74"/>
    <s v="Needs Imporovement"/>
  </r>
  <r>
    <s v="FL250731"/>
    <s v="John Gray"/>
    <s v="Male"/>
    <n v="42"/>
    <s v="30-45"/>
    <x v="13"/>
    <s v="Russian"/>
    <s v="Web Development"/>
    <n v="7"/>
    <x v="0"/>
    <n v="20"/>
    <n v="20000"/>
    <x v="2"/>
    <n v="3"/>
    <x v="0"/>
    <n v="1"/>
    <s v="Average"/>
  </r>
  <r>
    <s v="FL250732"/>
    <s v="Shane Booker"/>
    <s v="Male"/>
    <n v="21"/>
    <s v="18-29"/>
    <x v="7"/>
    <s v="English"/>
    <s v="Mobile Apps"/>
    <n v="3"/>
    <x v="2"/>
    <n v="40"/>
    <n v="40000"/>
    <x v="1"/>
    <n v="2.5"/>
    <x v="0"/>
    <n v="0.87"/>
    <s v="Needs Imporovement"/>
  </r>
  <r>
    <s v="FL250733"/>
    <s v="Kyle Hall"/>
    <s v="Male"/>
    <n v="39"/>
    <s v="30-45"/>
    <x v="2"/>
    <s v="German"/>
    <s v="Web Development"/>
    <n v="21"/>
    <x v="3"/>
    <n v="100"/>
    <n v="100000"/>
    <x v="0"/>
    <n v="4"/>
    <x v="0"/>
    <n v="0.79"/>
    <s v="Top Performer"/>
  </r>
  <r>
    <s v="FL250734"/>
    <s v="Ronald Munoz"/>
    <s v="Male"/>
    <n v="32"/>
    <s v="30-45"/>
    <x v="10"/>
    <s v="Hindi"/>
    <s v="Blockchain Development"/>
    <n v="8"/>
    <x v="0"/>
    <n v="30"/>
    <n v="30000"/>
    <x v="2"/>
    <n v="3"/>
    <x v="0"/>
    <n v="0.68"/>
    <s v="Average"/>
  </r>
  <r>
    <s v="FL250735"/>
    <s v="Christopher Long"/>
    <s v="Male"/>
    <n v="35"/>
    <s v="30-45"/>
    <x v="2"/>
    <s v="German"/>
    <s v="Data Analysis"/>
    <n v="15"/>
    <x v="4"/>
    <n v="100"/>
    <n v="100000"/>
    <x v="0"/>
    <n v="4"/>
    <x v="0"/>
    <n v="0.84"/>
    <s v="Top Performer"/>
  </r>
  <r>
    <s v="FL250736"/>
    <s v="Sandra Ali"/>
    <s v="Female"/>
    <n v="35"/>
    <s v="30-45"/>
    <x v="15"/>
    <s v="French"/>
    <s v="UI/UX Design"/>
    <n v="17"/>
    <x v="4"/>
    <n v="50"/>
    <n v="50000"/>
    <x v="1"/>
    <n v="4"/>
    <x v="0"/>
    <n v="0.71"/>
    <s v="Top Performer"/>
  </r>
  <r>
    <s v="FL250737"/>
    <s v="Jessica Garza"/>
    <s v="Female"/>
    <n v="23"/>
    <s v="18-29"/>
    <x v="8"/>
    <s v="Spanish"/>
    <s v="UI/UX Design"/>
    <n v="0"/>
    <x v="2"/>
    <n v="75"/>
    <n v="75000"/>
    <x v="1"/>
    <n v="1.8"/>
    <x v="0"/>
    <n v="0.92"/>
    <s v="Needs Imporovement"/>
  </r>
  <r>
    <s v="FL250738"/>
    <s v="Gregory Waters"/>
    <s v="Male"/>
    <n v="26"/>
    <s v="18-29"/>
    <x v="3"/>
    <s v="Dutch"/>
    <s v="AI"/>
    <n v="6"/>
    <x v="0"/>
    <n v="100"/>
    <n v="100000"/>
    <x v="0"/>
    <n v="3"/>
    <x v="0"/>
    <n v="0.69"/>
    <s v="Average"/>
  </r>
  <r>
    <s v="FL250739"/>
    <s v="Misty Adams"/>
    <s v="Female"/>
    <n v="34"/>
    <s v="30-45"/>
    <x v="14"/>
    <s v="English"/>
    <s v="Machine Learning"/>
    <n v="3"/>
    <x v="2"/>
    <n v="30"/>
    <n v="30000"/>
    <x v="2"/>
    <n v="2.5"/>
    <x v="1"/>
    <n v="0.71"/>
    <s v="Needs Imporovement"/>
  </r>
  <r>
    <s v="FL250740"/>
    <s v="Megan Brown"/>
    <s v="Female"/>
    <n v="34"/>
    <s v="30-45"/>
    <x v="2"/>
    <s v="German"/>
    <s v="Blockchain Development"/>
    <n v="3"/>
    <x v="2"/>
    <n v="20"/>
    <n v="20000"/>
    <x v="2"/>
    <n v="2.5"/>
    <x v="0"/>
    <n v="0.77"/>
    <s v="Needs Imporovement"/>
  </r>
  <r>
    <s v="FL250741"/>
    <s v="Gregory Brown"/>
    <s v="Male"/>
    <n v="57"/>
    <s v="55+"/>
    <x v="0"/>
    <s v="Italian"/>
    <s v="Web Development"/>
    <n v="31"/>
    <x v="1"/>
    <n v="50"/>
    <n v="50000"/>
    <x v="1"/>
    <n v="5"/>
    <x v="1"/>
    <n v="0.87"/>
    <s v="Top Performer"/>
  </r>
  <r>
    <s v="FL250742"/>
    <s v="Scott Alexander MD"/>
    <s v="Male"/>
    <n v="46"/>
    <s v="46-55"/>
    <x v="14"/>
    <s v="English"/>
    <s v="Web Development"/>
    <n v="5"/>
    <x v="0"/>
    <n v="30"/>
    <n v="30000"/>
    <x v="2"/>
    <n v="3"/>
    <x v="0"/>
    <n v="0.76"/>
    <s v="Average"/>
  </r>
  <r>
    <s v="FL250743"/>
    <s v="Eric Nguyen"/>
    <s v="Male"/>
    <n v="55"/>
    <s v="46-55"/>
    <x v="10"/>
    <s v="Hindi"/>
    <s v="AI"/>
    <n v="37"/>
    <x v="1"/>
    <n v="75"/>
    <n v="75000"/>
    <x v="1"/>
    <n v="5"/>
    <x v="0"/>
    <n v="1"/>
    <s v="Top Performer"/>
  </r>
  <r>
    <s v="FL250744"/>
    <s v="Wendy Boyer"/>
    <s v="Female"/>
    <n v="32"/>
    <s v="30-45"/>
    <x v="1"/>
    <s v="English"/>
    <s v="DevOps"/>
    <n v="10"/>
    <x v="0"/>
    <n v="50"/>
    <n v="50000"/>
    <x v="1"/>
    <n v="3.8"/>
    <x v="0"/>
    <n v="0.65"/>
    <s v="Average"/>
  </r>
  <r>
    <s v="FL250745"/>
    <s v="Mark Clark"/>
    <s v="Male"/>
    <n v="53"/>
    <s v="46-55"/>
    <x v="4"/>
    <s v="Indonesian"/>
    <s v="AI"/>
    <n v="28"/>
    <x v="3"/>
    <n v="50"/>
    <n v="50000"/>
    <x v="1"/>
    <n v="4.8"/>
    <x v="1"/>
    <n v="0.82"/>
    <s v="Top Performer"/>
  </r>
  <r>
    <s v="FL250746"/>
    <s v="Carl Kline"/>
    <s v="Male"/>
    <n v="59"/>
    <s v="55+"/>
    <x v="19"/>
    <s v="Spanish"/>
    <s v="AI"/>
    <n v="0"/>
    <x v="2"/>
    <n v="100"/>
    <n v="100000"/>
    <x v="0"/>
    <n v="1.8"/>
    <x v="1"/>
    <n v="0.87"/>
    <s v="Needs Imporovement"/>
  </r>
  <r>
    <s v="FL250747"/>
    <s v="Linda Williams"/>
    <s v="Female"/>
    <n v="44"/>
    <s v="30-45"/>
    <x v="3"/>
    <s v="Dutch"/>
    <s v="Machine Learning"/>
    <n v="19"/>
    <x v="4"/>
    <n v="40"/>
    <n v="40000"/>
    <x v="1"/>
    <n v="4"/>
    <x v="0"/>
    <n v="1"/>
    <s v="Top Performer"/>
  </r>
  <r>
    <s v="FL250748"/>
    <s v="Jason Edwards"/>
    <s v="Male"/>
    <n v="35"/>
    <s v="30-45"/>
    <x v="16"/>
    <s v="Arabic"/>
    <s v="Blockchain Development"/>
    <n v="9"/>
    <x v="0"/>
    <n v="50"/>
    <n v="50000"/>
    <x v="1"/>
    <n v="3"/>
    <x v="0"/>
    <n v="0.71"/>
    <s v="Average"/>
  </r>
  <r>
    <s v="FL250749"/>
    <s v="Madison Mcintosh"/>
    <s v="Female"/>
    <n v="42"/>
    <s v="30-45"/>
    <x v="18"/>
    <s v="Mandarin"/>
    <s v="Machine Learning"/>
    <n v="5"/>
    <x v="0"/>
    <n v="30"/>
    <n v="30000"/>
    <x v="2"/>
    <n v="3"/>
    <x v="1"/>
    <n v="0.87"/>
    <s v="Average"/>
  </r>
  <r>
    <s v="FL250750"/>
    <s v="Desiree Winters"/>
    <s v="Female"/>
    <n v="58"/>
    <s v="55+"/>
    <x v="12"/>
    <s v="Korean"/>
    <s v="Blockchain Development"/>
    <n v="0"/>
    <x v="2"/>
    <n v="30"/>
    <n v="30000"/>
    <x v="2"/>
    <n v="1.8"/>
    <x v="0"/>
    <n v="0.7"/>
    <s v="Needs Imporovement"/>
  </r>
  <r>
    <s v="FL250751"/>
    <s v="Ryan Taylor"/>
    <s v="Male"/>
    <n v="41"/>
    <s v="30-45"/>
    <x v="3"/>
    <s v="Dutch"/>
    <s v="AI"/>
    <n v="21"/>
    <x v="3"/>
    <n v="100"/>
    <n v="100000"/>
    <x v="0"/>
    <n v="4"/>
    <x v="1"/>
    <n v="0.83"/>
    <s v="Top Performer"/>
  </r>
  <r>
    <s v="FL250752"/>
    <s v="Patricia Scott"/>
    <s v="Female"/>
    <n v="22"/>
    <s v="18-29"/>
    <x v="8"/>
    <s v="Spanish"/>
    <s v="Web Development"/>
    <n v="0"/>
    <x v="2"/>
    <n v="40"/>
    <n v="40000"/>
    <x v="1"/>
    <n v="1.8"/>
    <x v="1"/>
    <n v="0.74"/>
    <s v="Needs Imporovement"/>
  </r>
  <r>
    <s v="FL250753"/>
    <s v="Erin Jimenez"/>
    <s v="Female"/>
    <n v="23"/>
    <s v="18-29"/>
    <x v="14"/>
    <s v="English"/>
    <s v="Blockchain Development"/>
    <n v="0"/>
    <x v="2"/>
    <n v="30"/>
    <n v="30000"/>
    <x v="2"/>
    <n v="1.8"/>
    <x v="1"/>
    <n v="0.86"/>
    <s v="Needs Imporovement"/>
  </r>
  <r>
    <s v="FL250754"/>
    <s v="Anthony Krause"/>
    <s v="Male"/>
    <n v="51"/>
    <s v="46-55"/>
    <x v="18"/>
    <s v="Mandarin"/>
    <s v="Blockchain Development"/>
    <n v="17"/>
    <x v="4"/>
    <n v="40"/>
    <n v="40000"/>
    <x v="1"/>
    <n v="4"/>
    <x v="1"/>
    <n v="0.72"/>
    <s v="Top Performer"/>
  </r>
  <r>
    <s v="FL250755"/>
    <s v="Diane Dean"/>
    <s v="Female"/>
    <n v="42"/>
    <s v="30-45"/>
    <x v="15"/>
    <s v="French"/>
    <s v="AI"/>
    <n v="21"/>
    <x v="3"/>
    <n v="60"/>
    <n v="60000"/>
    <x v="1"/>
    <n v="4"/>
    <x v="1"/>
    <n v="0.73"/>
    <s v="Top Performer"/>
  </r>
  <r>
    <s v="FL250756"/>
    <s v="Stuart Mckinney"/>
    <s v="Male"/>
    <n v="26"/>
    <s v="18-29"/>
    <x v="9"/>
    <s v="Japanese"/>
    <s v="Data Analysis"/>
    <n v="7"/>
    <x v="0"/>
    <n v="75"/>
    <n v="75000"/>
    <x v="1"/>
    <n v="3"/>
    <x v="0"/>
    <n v="0.78"/>
    <s v="Average"/>
  </r>
  <r>
    <s v="FL250757"/>
    <s v="Kellie Le"/>
    <s v="Female"/>
    <n v="49"/>
    <s v="46-55"/>
    <x v="4"/>
    <s v="Indonesian"/>
    <s v="AI"/>
    <n v="22"/>
    <x v="3"/>
    <n v="75"/>
    <n v="75000"/>
    <x v="1"/>
    <n v="4"/>
    <x v="1"/>
    <n v="0.85"/>
    <s v="Top Performer"/>
  </r>
  <r>
    <s v="FL250758"/>
    <s v="Lauren Henry"/>
    <s v="Female"/>
    <n v="37"/>
    <s v="30-45"/>
    <x v="0"/>
    <s v="Italian"/>
    <s v="DevOps"/>
    <n v="11"/>
    <x v="0"/>
    <n v="75"/>
    <n v="75000"/>
    <x v="1"/>
    <n v="3.8"/>
    <x v="0"/>
    <n v="0.75"/>
    <s v="Average"/>
  </r>
  <r>
    <s v="FL250759"/>
    <s v="Brandon Fox"/>
    <s v="Male"/>
    <n v="31"/>
    <s v="30-45"/>
    <x v="1"/>
    <s v="English"/>
    <s v="AI"/>
    <n v="1"/>
    <x v="2"/>
    <n v="40"/>
    <n v="40000"/>
    <x v="1"/>
    <n v="1.8"/>
    <x v="0"/>
    <n v="0.96"/>
    <s v="Needs Imporovement"/>
  </r>
  <r>
    <s v="FL250760"/>
    <s v="Richard Smith"/>
    <s v="Male"/>
    <n v="51"/>
    <s v="46-55"/>
    <x v="12"/>
    <s v="Korean"/>
    <s v="Mobile Apps"/>
    <n v="5"/>
    <x v="0"/>
    <n v="40"/>
    <n v="40000"/>
    <x v="1"/>
    <n v="3"/>
    <x v="1"/>
    <n v="0.61"/>
    <s v="Average"/>
  </r>
  <r>
    <s v="FL250761"/>
    <s v="John White"/>
    <s v="Male"/>
    <n v="60"/>
    <s v="55+"/>
    <x v="18"/>
    <s v="Mandarin"/>
    <s v="DevOps"/>
    <n v="40"/>
    <x v="1"/>
    <n v="50"/>
    <n v="50000"/>
    <x v="1"/>
    <n v="5"/>
    <x v="1"/>
    <n v="1"/>
    <s v="Top Performer"/>
  </r>
  <r>
    <s v="FL250762"/>
    <s v="Gilbert Mcintyre"/>
    <s v="Male"/>
    <n v="51"/>
    <s v="46-55"/>
    <x v="14"/>
    <s v="English"/>
    <s v="Blockchain Development"/>
    <n v="19"/>
    <x v="4"/>
    <n v="50"/>
    <n v="50000"/>
    <x v="1"/>
    <n v="4"/>
    <x v="1"/>
    <n v="0.82"/>
    <s v="Top Performer"/>
  </r>
  <r>
    <s v="FL250763"/>
    <s v="Christopher Sparks"/>
    <s v="Male"/>
    <n v="37"/>
    <s v="30-45"/>
    <x v="2"/>
    <s v="German"/>
    <s v="Graphic Design"/>
    <n v="12"/>
    <x v="0"/>
    <n v="40"/>
    <n v="40000"/>
    <x v="1"/>
    <n v="3.8"/>
    <x v="1"/>
    <n v="0.8"/>
    <s v="Average"/>
  </r>
  <r>
    <s v="FL250764"/>
    <s v="Aaron Hicks"/>
    <s v="Male"/>
    <n v="52"/>
    <s v="46-55"/>
    <x v="10"/>
    <s v="Hindi"/>
    <s v="Blockchain Development"/>
    <n v="7"/>
    <x v="0"/>
    <n v="40"/>
    <n v="40000"/>
    <x v="1"/>
    <n v="3"/>
    <x v="0"/>
    <n v="0.96"/>
    <s v="Average"/>
  </r>
  <r>
    <s v="FL250765"/>
    <s v="Jose Patterson"/>
    <s v="Male"/>
    <n v="27"/>
    <s v="18-29"/>
    <x v="4"/>
    <s v="Indonesian"/>
    <s v="Blockchain Development"/>
    <n v="4"/>
    <x v="2"/>
    <n v="20"/>
    <n v="20000"/>
    <x v="2"/>
    <n v="2.5"/>
    <x v="0"/>
    <n v="0.63"/>
    <s v="Needs Imporovement"/>
  </r>
  <r>
    <s v="FL250766"/>
    <s v="Bryan Long"/>
    <s v="Male"/>
    <n v="48"/>
    <s v="46-55"/>
    <x v="1"/>
    <s v="English"/>
    <s v="Graphic Design"/>
    <n v="24"/>
    <x v="3"/>
    <n v="40"/>
    <n v="40000"/>
    <x v="1"/>
    <n v="4"/>
    <x v="0"/>
    <n v="0.67"/>
    <s v="Top Performer"/>
  </r>
  <r>
    <s v="FL250767"/>
    <s v="Tammy Gomez"/>
    <s v="Female"/>
    <n v="22"/>
    <s v="18-29"/>
    <x v="9"/>
    <s v="Japanese"/>
    <s v="Data Analysis"/>
    <n v="1"/>
    <x v="2"/>
    <n v="30"/>
    <n v="30000"/>
    <x v="2"/>
    <n v="1.8"/>
    <x v="1"/>
    <n v="0.61"/>
    <s v="Needs Imporovement"/>
  </r>
  <r>
    <s v="FL250768"/>
    <s v="Diana Raymond"/>
    <s v="Female"/>
    <n v="48"/>
    <s v="46-55"/>
    <x v="2"/>
    <s v="German"/>
    <s v="Mobile Apps"/>
    <n v="28"/>
    <x v="3"/>
    <n v="30"/>
    <n v="30000"/>
    <x v="2"/>
    <n v="4.8"/>
    <x v="0"/>
    <n v="0.77"/>
    <s v="Top Performer"/>
  </r>
  <r>
    <s v="FL250769"/>
    <s v="Jessica Armstrong"/>
    <s v="Female"/>
    <n v="54"/>
    <s v="46-55"/>
    <x v="5"/>
    <s v="English"/>
    <s v="Mobile Apps"/>
    <n v="19"/>
    <x v="4"/>
    <n v="75"/>
    <n v="75000"/>
    <x v="1"/>
    <n v="4"/>
    <x v="1"/>
    <n v="0.85"/>
    <s v="Top Performer"/>
  </r>
  <r>
    <s v="FL250770"/>
    <s v="Amanda Martin"/>
    <s v="Female"/>
    <n v="52"/>
    <s v="46-55"/>
    <x v="12"/>
    <s v="Korean"/>
    <s v="Data Analysis"/>
    <n v="4"/>
    <x v="2"/>
    <n v="50"/>
    <n v="50000"/>
    <x v="1"/>
    <n v="2.5"/>
    <x v="0"/>
    <n v="0.84"/>
    <s v="Needs Imporovement"/>
  </r>
  <r>
    <s v="FL250771"/>
    <s v="Anne Hamilton"/>
    <s v="Female"/>
    <n v="39"/>
    <s v="30-45"/>
    <x v="6"/>
    <s v="Turkish"/>
    <s v="Web Development"/>
    <n v="20"/>
    <x v="4"/>
    <n v="100"/>
    <n v="100000"/>
    <x v="0"/>
    <n v="4"/>
    <x v="1"/>
    <n v="0.89"/>
    <s v="Top Performer"/>
  </r>
  <r>
    <s v="FL250772"/>
    <s v="Heather Curtis"/>
    <s v="Female"/>
    <n v="54"/>
    <s v="46-55"/>
    <x v="13"/>
    <s v="Russian"/>
    <s v="Mobile Apps"/>
    <n v="19"/>
    <x v="4"/>
    <n v="30"/>
    <n v="30000"/>
    <x v="2"/>
    <n v="4"/>
    <x v="1"/>
    <n v="0.9"/>
    <s v="Top Performer"/>
  </r>
  <r>
    <s v="FL250773"/>
    <s v="Tiffany Moses"/>
    <s v="Female"/>
    <n v="22"/>
    <s v="18-29"/>
    <x v="5"/>
    <s v="English"/>
    <s v="Cybersecurity"/>
    <n v="1"/>
    <x v="2"/>
    <n v="20"/>
    <n v="20000"/>
    <x v="2"/>
    <n v="1.8"/>
    <x v="0"/>
    <n v="0.87"/>
    <s v="Needs Imporovement"/>
  </r>
  <r>
    <s v="FL250774"/>
    <s v="Jacqueline Moon"/>
    <s v="Female"/>
    <n v="29"/>
    <s v="18-29"/>
    <x v="17"/>
    <s v="Afrikaans"/>
    <s v="Mobile Apps"/>
    <n v="8"/>
    <x v="0"/>
    <n v="50"/>
    <n v="50000"/>
    <x v="1"/>
    <n v="3"/>
    <x v="0"/>
    <n v="0.77"/>
    <s v="Average"/>
  </r>
  <r>
    <s v="FL250775"/>
    <s v="James Campbell"/>
    <s v="Male"/>
    <n v="23"/>
    <s v="18-29"/>
    <x v="20"/>
    <s v="Spanish"/>
    <s v="DevOps"/>
    <n v="3"/>
    <x v="2"/>
    <n v="30"/>
    <n v="30000"/>
    <x v="2"/>
    <n v="2.5"/>
    <x v="1"/>
    <n v="0.72"/>
    <s v="Needs Imporovement"/>
  </r>
  <r>
    <s v="FL250776"/>
    <s v="Melissa Vasquez"/>
    <s v="Female"/>
    <n v="58"/>
    <s v="55+"/>
    <x v="19"/>
    <s v="Spanish"/>
    <s v="DevOps"/>
    <n v="30"/>
    <x v="3"/>
    <n v="50"/>
    <n v="50000"/>
    <x v="1"/>
    <n v="5"/>
    <x v="1"/>
    <n v="0.87"/>
    <s v="Top Performer"/>
  </r>
  <r>
    <s v="FL250777"/>
    <s v="Katherine Carlson"/>
    <s v="Female"/>
    <n v="56"/>
    <s v="55+"/>
    <x v="18"/>
    <s v="Mandarin"/>
    <s v="Blockchain Development"/>
    <n v="3"/>
    <x v="2"/>
    <n v="40"/>
    <n v="40000"/>
    <x v="1"/>
    <n v="2.5"/>
    <x v="1"/>
    <n v="0.89"/>
    <s v="Needs Imporovement"/>
  </r>
  <r>
    <s v="FL250778"/>
    <s v="Adam Clay"/>
    <s v="Male"/>
    <n v="48"/>
    <s v="46-55"/>
    <x v="6"/>
    <s v="Turkish"/>
    <s v="Web Development"/>
    <n v="19"/>
    <x v="4"/>
    <n v="40"/>
    <n v="40000"/>
    <x v="1"/>
    <n v="4"/>
    <x v="0"/>
    <n v="0.87"/>
    <s v="Top Performer"/>
  </r>
  <r>
    <s v="FL250779"/>
    <s v="Amy Combs"/>
    <s v="Female"/>
    <n v="31"/>
    <s v="30-45"/>
    <x v="13"/>
    <s v="Russian"/>
    <s v="Mobile Apps"/>
    <n v="11"/>
    <x v="0"/>
    <n v="40"/>
    <n v="40000"/>
    <x v="1"/>
    <n v="3.8"/>
    <x v="1"/>
    <n v="0.76"/>
    <s v="Average"/>
  </r>
  <r>
    <s v="FL250780"/>
    <s v="Anthony Case"/>
    <s v="Male"/>
    <n v="44"/>
    <s v="30-45"/>
    <x v="1"/>
    <s v="English"/>
    <s v="Machine Learning"/>
    <n v="26"/>
    <x v="3"/>
    <n v="50"/>
    <n v="50000"/>
    <x v="1"/>
    <n v="4.8"/>
    <x v="1"/>
    <n v="1"/>
    <s v="Top Performer"/>
  </r>
  <r>
    <s v="FL250781"/>
    <s v="Kimberly Brown"/>
    <s v="Female"/>
    <n v="42"/>
    <s v="30-45"/>
    <x v="16"/>
    <s v="Arabic"/>
    <s v="Mobile Apps"/>
    <n v="10"/>
    <x v="0"/>
    <n v="100"/>
    <n v="100000"/>
    <x v="0"/>
    <n v="3.8"/>
    <x v="1"/>
    <n v="0.94"/>
    <s v="Average"/>
  </r>
  <r>
    <s v="FL250782"/>
    <s v="Joshua Holloway"/>
    <s v="Male"/>
    <n v="59"/>
    <s v="55+"/>
    <x v="5"/>
    <s v="English"/>
    <s v="Cybersecurity"/>
    <n v="17"/>
    <x v="4"/>
    <n v="50"/>
    <n v="50000"/>
    <x v="1"/>
    <n v="4"/>
    <x v="1"/>
    <n v="0.85"/>
    <s v="Top Performer"/>
  </r>
  <r>
    <s v="FL250783"/>
    <s v="Cynthia Walton"/>
    <s v="Female"/>
    <n v="38"/>
    <s v="30-45"/>
    <x v="8"/>
    <s v="Spanish"/>
    <s v="Blockchain Development"/>
    <n v="9"/>
    <x v="0"/>
    <n v="100"/>
    <n v="100000"/>
    <x v="0"/>
    <n v="3"/>
    <x v="1"/>
    <n v="0.83"/>
    <s v="Average"/>
  </r>
  <r>
    <s v="FL250784"/>
    <s v="Shawn Delgado"/>
    <s v="Male"/>
    <n v="21"/>
    <s v="18-29"/>
    <x v="18"/>
    <s v="Mandarin"/>
    <s v="Data Analysis"/>
    <n v="0"/>
    <x v="2"/>
    <n v="40"/>
    <n v="40000"/>
    <x v="1"/>
    <n v="1.8"/>
    <x v="0"/>
    <n v="0.74"/>
    <s v="Needs Imporovement"/>
  </r>
  <r>
    <s v="FL250785"/>
    <s v="Jeremy Smith"/>
    <s v="Male"/>
    <n v="53"/>
    <s v="46-55"/>
    <x v="7"/>
    <s v="English"/>
    <s v="DevOps"/>
    <n v="5"/>
    <x v="0"/>
    <n v="75"/>
    <n v="75000"/>
    <x v="1"/>
    <n v="3"/>
    <x v="0"/>
    <n v="0.92"/>
    <s v="Average"/>
  </r>
  <r>
    <s v="FL250786"/>
    <s v="Marc Ortiz"/>
    <s v="Male"/>
    <n v="35"/>
    <s v="30-45"/>
    <x v="8"/>
    <s v="Spanish"/>
    <s v="Mobile Apps"/>
    <n v="15"/>
    <x v="4"/>
    <n v="45"/>
    <n v="45000"/>
    <x v="1"/>
    <n v="4"/>
    <x v="0"/>
    <n v="0.66"/>
    <s v="Top Performer"/>
  </r>
  <r>
    <s v="FL250787"/>
    <s v="Michelle Gregory"/>
    <s v="Female"/>
    <n v="25"/>
    <s v="18-29"/>
    <x v="11"/>
    <s v="Portuguese"/>
    <s v="Machine Learning"/>
    <n v="3"/>
    <x v="2"/>
    <n v="50"/>
    <n v="50000"/>
    <x v="1"/>
    <n v="2.5"/>
    <x v="1"/>
    <n v="0.74"/>
    <s v="Needs Imporovement"/>
  </r>
  <r>
    <s v="FL250788"/>
    <s v="Melanie Gay"/>
    <s v="Female"/>
    <n v="23"/>
    <s v="18-29"/>
    <x v="0"/>
    <s v="Italian"/>
    <s v="UI/UX Design"/>
    <n v="1"/>
    <x v="2"/>
    <n v="30"/>
    <n v="30000"/>
    <x v="2"/>
    <n v="1.8"/>
    <x v="0"/>
    <n v="0.97"/>
    <s v="Needs Imporovement"/>
  </r>
  <r>
    <s v="FL250789"/>
    <s v="Brittany Lambert"/>
    <s v="Female"/>
    <n v="56"/>
    <s v="55+"/>
    <x v="16"/>
    <s v="Arabic"/>
    <s v="Graphic Design"/>
    <n v="13"/>
    <x v="4"/>
    <n v="30"/>
    <n v="30000"/>
    <x v="2"/>
    <n v="3.8"/>
    <x v="0"/>
    <n v="0.77"/>
    <s v="Average"/>
  </r>
  <r>
    <s v="FL250790"/>
    <s v="Mary Hernandez"/>
    <s v="Female"/>
    <n v="31"/>
    <s v="30-45"/>
    <x v="19"/>
    <s v="Spanish"/>
    <s v="UI/UX Design"/>
    <n v="6"/>
    <x v="0"/>
    <n v="80"/>
    <n v="80000"/>
    <x v="1"/>
    <n v="3"/>
    <x v="0"/>
    <n v="0.86"/>
    <s v="Average"/>
  </r>
  <r>
    <s v="FL250791"/>
    <s v="Jonathan Jones"/>
    <s v="Male"/>
    <n v="24"/>
    <s v="18-29"/>
    <x v="5"/>
    <s v="English"/>
    <s v="Cybersecurity"/>
    <n v="4"/>
    <x v="2"/>
    <n v="50"/>
    <n v="50000"/>
    <x v="1"/>
    <n v="2.5"/>
    <x v="0"/>
    <n v="0.95"/>
    <s v="Needs Imporovement"/>
  </r>
  <r>
    <s v="FL250792"/>
    <s v="Gina Williams"/>
    <s v="Female"/>
    <n v="35"/>
    <s v="30-45"/>
    <x v="11"/>
    <s v="Portuguese"/>
    <s v="Cybersecurity"/>
    <n v="7"/>
    <x v="0"/>
    <n v="50"/>
    <n v="50000"/>
    <x v="1"/>
    <n v="3"/>
    <x v="0"/>
    <n v="0.72"/>
    <s v="Average"/>
  </r>
  <r>
    <s v="FL250793"/>
    <s v="Kelly Lawson"/>
    <s v="Female"/>
    <n v="20"/>
    <s v="18-29"/>
    <x v="20"/>
    <s v="Spanish"/>
    <s v="AI"/>
    <n v="1"/>
    <x v="2"/>
    <n v="20"/>
    <n v="20000"/>
    <x v="2"/>
    <n v="1.8"/>
    <x v="0"/>
    <n v="0.71"/>
    <s v="Needs Imporovement"/>
  </r>
  <r>
    <s v="FL250794"/>
    <s v="Keith Smith"/>
    <s v="Male"/>
    <n v="26"/>
    <s v="18-29"/>
    <x v="1"/>
    <s v="English"/>
    <s v="Data Analysis"/>
    <n v="5"/>
    <x v="0"/>
    <n v="100"/>
    <n v="100000"/>
    <x v="0"/>
    <n v="3"/>
    <x v="1"/>
    <n v="0.93"/>
    <s v="Average"/>
  </r>
  <r>
    <s v="FL250795"/>
    <s v="Christopher Hunter"/>
    <s v="Male"/>
    <n v="54"/>
    <s v="46-55"/>
    <x v="7"/>
    <s v="English"/>
    <s v="DevOps"/>
    <n v="29"/>
    <x v="3"/>
    <n v="40"/>
    <n v="40000"/>
    <x v="1"/>
    <n v="4.8"/>
    <x v="1"/>
    <n v="0.9"/>
    <s v="Top Performer"/>
  </r>
  <r>
    <s v="FL250796"/>
    <s v="Dwayne Parks"/>
    <s v="Male"/>
    <n v="53"/>
    <s v="46-55"/>
    <x v="13"/>
    <s v="Russian"/>
    <s v="Cybersecurity"/>
    <n v="12"/>
    <x v="0"/>
    <n v="100"/>
    <n v="100000"/>
    <x v="0"/>
    <n v="3.8"/>
    <x v="1"/>
    <n v="0.87"/>
    <s v="Average"/>
  </r>
  <r>
    <s v="FL250797"/>
    <s v="Mary Hall"/>
    <s v="Female"/>
    <n v="33"/>
    <s v="30-45"/>
    <x v="14"/>
    <s v="English"/>
    <s v="DevOps"/>
    <n v="4"/>
    <x v="2"/>
    <n v="30"/>
    <n v="30000"/>
    <x v="2"/>
    <n v="2.5"/>
    <x v="0"/>
    <n v="0.73"/>
    <s v="Needs Imporovement"/>
  </r>
  <r>
    <s v="FL250798"/>
    <s v="Jake Gilmore"/>
    <s v="Male"/>
    <n v="43"/>
    <s v="30-45"/>
    <x v="3"/>
    <s v="Dutch"/>
    <s v="Web Development"/>
    <n v="12"/>
    <x v="0"/>
    <n v="50"/>
    <n v="50000"/>
    <x v="1"/>
    <n v="3.8"/>
    <x v="1"/>
    <n v="0.74"/>
    <s v="Average"/>
  </r>
  <r>
    <s v="FL250799"/>
    <s v="Mark Lopez"/>
    <s v="Male"/>
    <n v="37"/>
    <s v="30-45"/>
    <x v="14"/>
    <s v="English"/>
    <s v="DevOps"/>
    <n v="3"/>
    <x v="2"/>
    <n v="20"/>
    <n v="20000"/>
    <x v="2"/>
    <n v="2.5"/>
    <x v="0"/>
    <n v="0.62"/>
    <s v="Needs Imporovement"/>
  </r>
  <r>
    <s v="FL250800"/>
    <s v="Dana Rice"/>
    <s v="Female"/>
    <n v="58"/>
    <s v="55+"/>
    <x v="15"/>
    <s v="French"/>
    <s v="Data Analysis"/>
    <n v="15"/>
    <x v="4"/>
    <n v="20"/>
    <n v="20000"/>
    <x v="2"/>
    <n v="4"/>
    <x v="1"/>
    <n v="0.98"/>
    <s v="Top Performer"/>
  </r>
  <r>
    <s v="FL250801"/>
    <s v="Beth Young"/>
    <s v="Female"/>
    <n v="39"/>
    <s v="30-45"/>
    <x v="20"/>
    <s v="Spanish"/>
    <s v="Mobile Apps"/>
    <n v="15"/>
    <x v="4"/>
    <n v="50"/>
    <n v="50000"/>
    <x v="1"/>
    <n v="4"/>
    <x v="0"/>
    <n v="0.8"/>
    <s v="Top Performer"/>
  </r>
  <r>
    <s v="FL250802"/>
    <s v="Ryan Powell"/>
    <s v="Male"/>
    <n v="43"/>
    <s v="30-45"/>
    <x v="6"/>
    <s v="Turkish"/>
    <s v="Graphic Design"/>
    <n v="13"/>
    <x v="4"/>
    <n v="20"/>
    <n v="20000"/>
    <x v="2"/>
    <n v="3.8"/>
    <x v="1"/>
    <n v="0.69"/>
    <s v="Average"/>
  </r>
  <r>
    <s v="FL250803"/>
    <s v="Amanda Fowler"/>
    <s v="Female"/>
    <n v="40"/>
    <s v="30-45"/>
    <x v="20"/>
    <s v="Spanish"/>
    <s v="Blockchain Development"/>
    <n v="20"/>
    <x v="4"/>
    <n v="30"/>
    <n v="30000"/>
    <x v="2"/>
    <n v="4"/>
    <x v="0"/>
    <n v="0.9"/>
    <s v="Top Performer"/>
  </r>
  <r>
    <s v="FL250804"/>
    <s v="Lindsay Rivera"/>
    <s v="Female"/>
    <n v="51"/>
    <s v="46-55"/>
    <x v="7"/>
    <s v="English"/>
    <s v="Machine Learning"/>
    <n v="30"/>
    <x v="3"/>
    <n v="75"/>
    <n v="75000"/>
    <x v="1"/>
    <n v="5"/>
    <x v="1"/>
    <n v="0.74"/>
    <s v="Top Performer"/>
  </r>
  <r>
    <s v="FL250805"/>
    <s v="Mark Ward"/>
    <s v="Male"/>
    <n v="23"/>
    <s v="18-29"/>
    <x v="2"/>
    <s v="German"/>
    <s v="AI"/>
    <n v="4"/>
    <x v="2"/>
    <n v="50"/>
    <n v="50000"/>
    <x v="1"/>
    <n v="2.5"/>
    <x v="0"/>
    <n v="0.98"/>
    <s v="Needs Imporovement"/>
  </r>
  <r>
    <s v="FL250806"/>
    <s v="Amanda Smith"/>
    <s v="Female"/>
    <n v="31"/>
    <s v="30-45"/>
    <x v="4"/>
    <s v="Indonesian"/>
    <s v="Graphic Design"/>
    <n v="5"/>
    <x v="0"/>
    <n v="20"/>
    <n v="20000"/>
    <x v="2"/>
    <n v="3"/>
    <x v="1"/>
    <n v="0.84"/>
    <s v="Average"/>
  </r>
  <r>
    <s v="FL250807"/>
    <s v="Emily Brown"/>
    <s v="Female"/>
    <n v="44"/>
    <s v="30-45"/>
    <x v="13"/>
    <s v="Russian"/>
    <s v="Web Development"/>
    <n v="3"/>
    <x v="2"/>
    <n v="20"/>
    <n v="20000"/>
    <x v="2"/>
    <n v="2.5"/>
    <x v="1"/>
    <n v="0.75"/>
    <s v="Needs Imporovement"/>
  </r>
  <r>
    <s v="FL250808"/>
    <s v="Dwayne Cardenas"/>
    <s v="Male"/>
    <n v="56"/>
    <s v="55+"/>
    <x v="2"/>
    <s v="German"/>
    <s v="Mobile Apps"/>
    <n v="23"/>
    <x v="3"/>
    <n v="75"/>
    <n v="75000"/>
    <x v="1"/>
    <n v="4"/>
    <x v="1"/>
    <n v="0.85"/>
    <s v="Top Performer"/>
  </r>
  <r>
    <s v="FL250809"/>
    <s v="Dr. Rhonda Hernandez"/>
    <s v="Female"/>
    <n v="48"/>
    <s v="46-55"/>
    <x v="1"/>
    <s v="English"/>
    <s v="Cybersecurity"/>
    <n v="5"/>
    <x v="0"/>
    <n v="100"/>
    <n v="100000"/>
    <x v="0"/>
    <n v="3"/>
    <x v="1"/>
    <n v="0.97"/>
    <s v="Average"/>
  </r>
  <r>
    <s v="FL250810"/>
    <s v="Melody Barker"/>
    <s v="Female"/>
    <n v="46"/>
    <s v="46-55"/>
    <x v="13"/>
    <s v="Russian"/>
    <s v="Web Development"/>
    <n v="28"/>
    <x v="3"/>
    <n v="30"/>
    <n v="30000"/>
    <x v="2"/>
    <n v="4.8"/>
    <x v="1"/>
    <n v="0.9"/>
    <s v="Top Performer"/>
  </r>
  <r>
    <s v="FL250811"/>
    <s v="Russell Carpenter"/>
    <s v="Male"/>
    <n v="21"/>
    <s v="18-29"/>
    <x v="16"/>
    <s v="Arabic"/>
    <s v="AI"/>
    <n v="0"/>
    <x v="2"/>
    <n v="20"/>
    <n v="20000"/>
    <x v="2"/>
    <n v="1.8"/>
    <x v="0"/>
    <n v="0.64"/>
    <s v="Needs Imporovement"/>
  </r>
  <r>
    <s v="FL250812"/>
    <s v="Richard Hill"/>
    <s v="Male"/>
    <n v="52"/>
    <s v="46-55"/>
    <x v="13"/>
    <s v="Russian"/>
    <s v="Data Analysis"/>
    <n v="30"/>
    <x v="3"/>
    <n v="30"/>
    <n v="30000"/>
    <x v="2"/>
    <n v="5"/>
    <x v="1"/>
    <n v="0.68"/>
    <s v="Top Performer"/>
  </r>
  <r>
    <s v="FL250813"/>
    <s v="Lindsay Potts"/>
    <s v="Female"/>
    <n v="39"/>
    <s v="30-45"/>
    <x v="13"/>
    <s v="Russian"/>
    <s v="Graphic Design"/>
    <n v="20"/>
    <x v="4"/>
    <n v="75"/>
    <n v="75000"/>
    <x v="1"/>
    <n v="4"/>
    <x v="1"/>
    <n v="0.67"/>
    <s v="Top Performer"/>
  </r>
  <r>
    <s v="FL250814"/>
    <s v="Michelle Campbell"/>
    <s v="Female"/>
    <n v="31"/>
    <s v="30-45"/>
    <x v="1"/>
    <s v="English"/>
    <s v="Mobile Apps"/>
    <n v="0"/>
    <x v="2"/>
    <n v="30"/>
    <n v="30000"/>
    <x v="2"/>
    <n v="1.8"/>
    <x v="0"/>
    <n v="0.79"/>
    <s v="Needs Imporovement"/>
  </r>
  <r>
    <s v="FL250815"/>
    <s v="Alan Williams"/>
    <s v="Male"/>
    <n v="22"/>
    <s v="18-29"/>
    <x v="12"/>
    <s v="Korean"/>
    <s v="UI/UX Design"/>
    <n v="4"/>
    <x v="2"/>
    <n v="40"/>
    <n v="40000"/>
    <x v="1"/>
    <n v="2.5"/>
    <x v="1"/>
    <n v="1"/>
    <s v="Needs Imporovement"/>
  </r>
  <r>
    <s v="FL250816"/>
    <s v="Robin Hinton"/>
    <s v="Female"/>
    <n v="38"/>
    <s v="30-45"/>
    <x v="7"/>
    <s v="English"/>
    <s v="UI/UX Design"/>
    <n v="10"/>
    <x v="0"/>
    <n v="40"/>
    <n v="40000"/>
    <x v="1"/>
    <n v="3.8"/>
    <x v="0"/>
    <n v="0.66"/>
    <s v="Average"/>
  </r>
  <r>
    <s v="FL250817"/>
    <s v="Brian Holland"/>
    <s v="Male"/>
    <n v="44"/>
    <s v="30-45"/>
    <x v="8"/>
    <s v="Spanish"/>
    <s v="Graphic Design"/>
    <n v="24"/>
    <x v="3"/>
    <n v="75"/>
    <n v="75000"/>
    <x v="1"/>
    <n v="4"/>
    <x v="0"/>
    <n v="0.97"/>
    <s v="Top Performer"/>
  </r>
  <r>
    <s v="FL250818"/>
    <s v="Adam Stone"/>
    <s v="Male"/>
    <n v="53"/>
    <s v="46-55"/>
    <x v="4"/>
    <s v="Indonesian"/>
    <s v="Machine Learning"/>
    <n v="21"/>
    <x v="3"/>
    <n v="100"/>
    <n v="100000"/>
    <x v="0"/>
    <n v="4"/>
    <x v="0"/>
    <n v="0.62"/>
    <s v="Top Performer"/>
  </r>
  <r>
    <s v="FL250819"/>
    <s v="Curtis Lambert"/>
    <s v="Male"/>
    <n v="22"/>
    <s v="18-29"/>
    <x v="18"/>
    <s v="Mandarin"/>
    <s v="Data Analysis"/>
    <n v="2"/>
    <x v="2"/>
    <n v="20"/>
    <n v="20000"/>
    <x v="2"/>
    <n v="2.5"/>
    <x v="0"/>
    <n v="0.35"/>
    <s v="Needs Imporovement"/>
  </r>
  <r>
    <s v="FL250820"/>
    <s v="Alexandra Sims"/>
    <s v="Female"/>
    <n v="40"/>
    <s v="30-45"/>
    <x v="10"/>
    <s v="Hindi"/>
    <s v="Blockchain Development"/>
    <n v="14"/>
    <x v="4"/>
    <n v="75"/>
    <n v="75000"/>
    <x v="1"/>
    <n v="3.8"/>
    <x v="1"/>
    <n v="0.79"/>
    <s v="Average"/>
  </r>
  <r>
    <s v="FL250821"/>
    <s v="Brenda Spencer"/>
    <s v="Female"/>
    <n v="49"/>
    <s v="46-55"/>
    <x v="18"/>
    <s v="Mandarin"/>
    <s v="Mobile Apps"/>
    <n v="15"/>
    <x v="4"/>
    <n v="40"/>
    <n v="40000"/>
    <x v="1"/>
    <n v="4"/>
    <x v="0"/>
    <n v="0.86"/>
    <s v="Top Performer"/>
  </r>
  <r>
    <s v="FL250822"/>
    <s v="Joshua Bush"/>
    <s v="Male"/>
    <n v="30"/>
    <s v="30-45"/>
    <x v="1"/>
    <s v="English"/>
    <s v="UI/UX Design"/>
    <n v="11"/>
    <x v="0"/>
    <n v="30"/>
    <n v="30000"/>
    <x v="2"/>
    <n v="3.8"/>
    <x v="0"/>
    <n v="0.65"/>
    <s v="Average"/>
  </r>
  <r>
    <s v="FL250823"/>
    <s v="Erin Martin"/>
    <s v="Female"/>
    <n v="37"/>
    <s v="30-45"/>
    <x v="9"/>
    <s v="Japanese"/>
    <s v="AI"/>
    <n v="6"/>
    <x v="0"/>
    <n v="20"/>
    <n v="20000"/>
    <x v="2"/>
    <n v="3"/>
    <x v="0"/>
    <n v="0.99"/>
    <s v="Average"/>
  </r>
  <r>
    <s v="FL250824"/>
    <s v="Alexander Hogan"/>
    <s v="Male"/>
    <n v="21"/>
    <s v="18-29"/>
    <x v="16"/>
    <s v="Arabic"/>
    <s v="Graphic Design"/>
    <n v="2"/>
    <x v="2"/>
    <n v="100"/>
    <n v="100000"/>
    <x v="0"/>
    <n v="2.5"/>
    <x v="0"/>
    <n v="0.85"/>
    <s v="Needs Imporovement"/>
  </r>
  <r>
    <s v="FL250825"/>
    <s v="William Harris"/>
    <s v="Male"/>
    <n v="20"/>
    <s v="18-29"/>
    <x v="12"/>
    <s v="Korean"/>
    <s v="AI"/>
    <n v="1"/>
    <x v="2"/>
    <n v="50"/>
    <n v="50000"/>
    <x v="1"/>
    <n v="1.8"/>
    <x v="1"/>
    <n v="0.81"/>
    <s v="Needs Imporovement"/>
  </r>
  <r>
    <s v="FL250826"/>
    <s v="Michael Mcmahon"/>
    <s v="Male"/>
    <n v="20"/>
    <s v="18-29"/>
    <x v="18"/>
    <s v="Mandarin"/>
    <s v="Data Analysis"/>
    <n v="2"/>
    <x v="2"/>
    <n v="40"/>
    <n v="40000"/>
    <x v="1"/>
    <n v="2.5"/>
    <x v="0"/>
    <n v="0.64"/>
    <s v="Needs Imporovement"/>
  </r>
  <r>
    <s v="FL250827"/>
    <s v="Michael Watson"/>
    <s v="Male"/>
    <n v="20"/>
    <s v="18-29"/>
    <x v="8"/>
    <s v="Spanish"/>
    <s v="Machine Learning"/>
    <n v="2"/>
    <x v="2"/>
    <n v="20"/>
    <n v="20000"/>
    <x v="2"/>
    <n v="2.5"/>
    <x v="0"/>
    <n v="0.84"/>
    <s v="Needs Imporovement"/>
  </r>
  <r>
    <s v="FL250828"/>
    <s v="Lori Perez"/>
    <s v="Female"/>
    <n v="26"/>
    <s v="18-29"/>
    <x v="13"/>
    <s v="Russian"/>
    <s v="Machine Learning"/>
    <n v="2"/>
    <x v="2"/>
    <n v="40"/>
    <n v="40000"/>
    <x v="1"/>
    <n v="2.5"/>
    <x v="0"/>
    <n v="0.66"/>
    <s v="Needs Imporovement"/>
  </r>
  <r>
    <s v="FL250829"/>
    <s v="Lindsay Le"/>
    <s v="Female"/>
    <n v="50"/>
    <s v="46-55"/>
    <x v="12"/>
    <s v="Korean"/>
    <s v="Web Development"/>
    <n v="12"/>
    <x v="0"/>
    <n v="75"/>
    <n v="75000"/>
    <x v="1"/>
    <n v="3.8"/>
    <x v="0"/>
    <n v="0.75"/>
    <s v="Average"/>
  </r>
  <r>
    <s v="FL250830"/>
    <s v="Scott Long"/>
    <s v="Male"/>
    <n v="50"/>
    <s v="46-55"/>
    <x v="20"/>
    <s v="Spanish"/>
    <s v="AI"/>
    <n v="28"/>
    <x v="3"/>
    <n v="30"/>
    <n v="30000"/>
    <x v="2"/>
    <n v="4.8"/>
    <x v="1"/>
    <n v="0.9"/>
    <s v="Top Performer"/>
  </r>
  <r>
    <s v="FL250831"/>
    <s v="Diana Ferguson"/>
    <s v="Female"/>
    <n v="54"/>
    <s v="46-55"/>
    <x v="4"/>
    <s v="Indonesian"/>
    <s v="AI"/>
    <n v="4"/>
    <x v="2"/>
    <n v="20"/>
    <n v="20000"/>
    <x v="2"/>
    <n v="2.5"/>
    <x v="1"/>
    <n v="0.63"/>
    <s v="Needs Imporovement"/>
  </r>
  <r>
    <s v="FL250832"/>
    <s v="Joseph Miller"/>
    <s v="Male"/>
    <n v="54"/>
    <s v="46-55"/>
    <x v="20"/>
    <s v="Spanish"/>
    <s v="Blockchain Development"/>
    <n v="3"/>
    <x v="2"/>
    <n v="20"/>
    <n v="20000"/>
    <x v="2"/>
    <n v="2.5"/>
    <x v="1"/>
    <n v="0.7"/>
    <s v="Needs Imporovement"/>
  </r>
  <r>
    <s v="FL250833"/>
    <s v="Julia Reid"/>
    <s v="Female"/>
    <n v="34"/>
    <s v="30-45"/>
    <x v="16"/>
    <s v="Arabic"/>
    <s v="Machine Learning"/>
    <n v="4"/>
    <x v="2"/>
    <n v="30"/>
    <n v="30000"/>
    <x v="2"/>
    <n v="2.5"/>
    <x v="0"/>
    <n v="0.9"/>
    <s v="Needs Imporovement"/>
  </r>
  <r>
    <s v="FL250834"/>
    <s v="Samantha Matthews"/>
    <s v="Female"/>
    <n v="20"/>
    <s v="18-29"/>
    <x v="0"/>
    <s v="Italian"/>
    <s v="DevOps"/>
    <n v="1"/>
    <x v="2"/>
    <n v="50"/>
    <n v="50000"/>
    <x v="1"/>
    <n v="1.8"/>
    <x v="1"/>
    <n v="0.79"/>
    <s v="Needs Imporovement"/>
  </r>
  <r>
    <s v="FL250835"/>
    <s v="Brian Bailey"/>
    <s v="Male"/>
    <n v="29"/>
    <s v="18-29"/>
    <x v="2"/>
    <s v="German"/>
    <s v="AI"/>
    <n v="8"/>
    <x v="0"/>
    <n v="40"/>
    <n v="40000"/>
    <x v="1"/>
    <n v="3"/>
    <x v="0"/>
    <n v="0.6"/>
    <s v="Average"/>
  </r>
  <r>
    <s v="FL250836"/>
    <s v="Toni Hinton"/>
    <s v="Female"/>
    <n v="57"/>
    <s v="55+"/>
    <x v="7"/>
    <s v="English"/>
    <s v="DevOps"/>
    <n v="11"/>
    <x v="0"/>
    <n v="75"/>
    <n v="75000"/>
    <x v="1"/>
    <n v="3.8"/>
    <x v="0"/>
    <n v="0.75"/>
    <s v="Average"/>
  </r>
  <r>
    <s v="FL250837"/>
    <s v="Robin Ortiz"/>
    <s v="Female"/>
    <n v="36"/>
    <s v="30-45"/>
    <x v="3"/>
    <s v="Dutch"/>
    <s v="AI"/>
    <n v="8"/>
    <x v="0"/>
    <n v="40"/>
    <n v="40000"/>
    <x v="1"/>
    <n v="3"/>
    <x v="0"/>
    <n v="0.8"/>
    <s v="Average"/>
  </r>
  <r>
    <s v="FL250838"/>
    <s v="Adam Griffith"/>
    <s v="Male"/>
    <n v="51"/>
    <s v="46-55"/>
    <x v="12"/>
    <s v="Korean"/>
    <s v="Web Development"/>
    <n v="32"/>
    <x v="1"/>
    <n v="50"/>
    <n v="50000"/>
    <x v="1"/>
    <n v="5"/>
    <x v="0"/>
    <n v="0.88"/>
    <s v="Top Performer"/>
  </r>
  <r>
    <s v="FL250839"/>
    <s v="Daniel Roberson"/>
    <s v="Male"/>
    <n v="44"/>
    <s v="30-45"/>
    <x v="10"/>
    <s v="Hindi"/>
    <s v="UI/UX Design"/>
    <n v="4"/>
    <x v="2"/>
    <n v="30"/>
    <n v="30000"/>
    <x v="2"/>
    <n v="2.5"/>
    <x v="0"/>
    <n v="0.8"/>
    <s v="Needs Imporovement"/>
  </r>
  <r>
    <s v="FL250840"/>
    <s v="Dale Haynes"/>
    <s v="Male"/>
    <n v="58"/>
    <s v="55+"/>
    <x v="20"/>
    <s v="Spanish"/>
    <s v="Cybersecurity"/>
    <n v="33"/>
    <x v="1"/>
    <n v="30"/>
    <n v="30000"/>
    <x v="2"/>
    <n v="5"/>
    <x v="1"/>
    <n v="0.71"/>
    <s v="Top Performer"/>
  </r>
  <r>
    <s v="FL250841"/>
    <s v="Emily Scott"/>
    <s v="Female"/>
    <n v="38"/>
    <s v="30-45"/>
    <x v="17"/>
    <s v="Afrikaans"/>
    <s v="Mobile Apps"/>
    <n v="14"/>
    <x v="4"/>
    <n v="20"/>
    <n v="20000"/>
    <x v="2"/>
    <n v="3.8"/>
    <x v="1"/>
    <n v="0.76"/>
    <s v="Average"/>
  </r>
  <r>
    <s v="FL250842"/>
    <s v="David Brown"/>
    <s v="Male"/>
    <n v="24"/>
    <s v="18-29"/>
    <x v="5"/>
    <s v="English"/>
    <s v="UI/UX Design"/>
    <n v="6"/>
    <x v="0"/>
    <n v="30"/>
    <n v="30000"/>
    <x v="2"/>
    <n v="3"/>
    <x v="1"/>
    <n v="0.93"/>
    <s v="Average"/>
  </r>
  <r>
    <s v="FL250843"/>
    <s v="Stephanie Guzman"/>
    <s v="Female"/>
    <n v="30"/>
    <s v="30-45"/>
    <x v="6"/>
    <s v="Turkish"/>
    <s v="Blockchain Development"/>
    <n v="5"/>
    <x v="0"/>
    <n v="30"/>
    <n v="30000"/>
    <x v="2"/>
    <n v="3"/>
    <x v="0"/>
    <n v="0.6"/>
    <s v="Average"/>
  </r>
  <r>
    <s v="FL250844"/>
    <s v="Maxwell Johnson"/>
    <s v="Male"/>
    <n v="25"/>
    <s v="18-29"/>
    <x v="4"/>
    <s v="Indonesian"/>
    <s v="Cybersecurity"/>
    <n v="3"/>
    <x v="2"/>
    <n v="75"/>
    <n v="75000"/>
    <x v="1"/>
    <n v="2.5"/>
    <x v="0"/>
    <n v="0.83"/>
    <s v="Needs Imporovement"/>
  </r>
  <r>
    <s v="FL250845"/>
    <s v="Reginald Stephens"/>
    <s v="Male"/>
    <n v="54"/>
    <s v="46-55"/>
    <x v="4"/>
    <s v="Indonesian"/>
    <s v="Mobile Apps"/>
    <n v="17"/>
    <x v="4"/>
    <n v="100"/>
    <n v="100000"/>
    <x v="0"/>
    <n v="4"/>
    <x v="0"/>
    <n v="0.71"/>
    <s v="Top Performer"/>
  </r>
  <r>
    <s v="FL250846"/>
    <s v="Justin Jones"/>
    <s v="Male"/>
    <n v="54"/>
    <s v="46-55"/>
    <x v="0"/>
    <s v="Italian"/>
    <s v="Cybersecurity"/>
    <n v="9"/>
    <x v="0"/>
    <n v="20"/>
    <n v="20000"/>
    <x v="2"/>
    <n v="3"/>
    <x v="1"/>
    <n v="0.96"/>
    <s v="Average"/>
  </r>
  <r>
    <s v="FL250847"/>
    <s v="Kristine Garcia"/>
    <s v="Female"/>
    <n v="53"/>
    <s v="46-55"/>
    <x v="15"/>
    <s v="French"/>
    <s v="Graphic Design"/>
    <n v="16"/>
    <x v="4"/>
    <n v="40"/>
    <n v="40000"/>
    <x v="1"/>
    <n v="4"/>
    <x v="0"/>
    <n v="0.85"/>
    <s v="Top Performer"/>
  </r>
  <r>
    <s v="FL250848"/>
    <s v="John Nguyen"/>
    <s v="Male"/>
    <n v="22"/>
    <s v="18-29"/>
    <x v="13"/>
    <s v="Russian"/>
    <s v="AI"/>
    <n v="3"/>
    <x v="2"/>
    <n v="75"/>
    <n v="75000"/>
    <x v="1"/>
    <n v="2.5"/>
    <x v="1"/>
    <n v="0.65"/>
    <s v="Needs Imporovement"/>
  </r>
  <r>
    <s v="FL250849"/>
    <s v="Anna Fleming"/>
    <s v="Female"/>
    <n v="23"/>
    <s v="18-29"/>
    <x v="19"/>
    <s v="Spanish"/>
    <s v="Data Analysis"/>
    <n v="2"/>
    <x v="2"/>
    <n v="20"/>
    <n v="20000"/>
    <x v="2"/>
    <n v="2.5"/>
    <x v="0"/>
    <n v="0.35"/>
    <s v="Needs Imporovement"/>
  </r>
  <r>
    <s v="FL250850"/>
    <s v="Linda Williamson"/>
    <s v="Female"/>
    <n v="47"/>
    <s v="46-55"/>
    <x v="15"/>
    <s v="French"/>
    <s v="Cybersecurity"/>
    <n v="16"/>
    <x v="4"/>
    <n v="50"/>
    <n v="50000"/>
    <x v="1"/>
    <n v="4"/>
    <x v="0"/>
    <n v="0.71"/>
    <s v="Top Performer"/>
  </r>
  <r>
    <s v="FL250851"/>
    <s v="Roy Wilson"/>
    <s v="Male"/>
    <n v="24"/>
    <s v="18-29"/>
    <x v="15"/>
    <s v="French"/>
    <s v="Web Development"/>
    <n v="6"/>
    <x v="0"/>
    <n v="50"/>
    <n v="50000"/>
    <x v="1"/>
    <n v="3"/>
    <x v="1"/>
    <n v="0.63"/>
    <s v="Average"/>
  </r>
  <r>
    <s v="FL250852"/>
    <s v="Jennifer Pierce"/>
    <s v="Female"/>
    <n v="57"/>
    <s v="55+"/>
    <x v="10"/>
    <s v="Hindi"/>
    <s v="UI/UX Design"/>
    <n v="10"/>
    <x v="0"/>
    <n v="100"/>
    <n v="100000"/>
    <x v="0"/>
    <n v="3.8"/>
    <x v="0"/>
    <n v="0.75"/>
    <s v="Average"/>
  </r>
  <r>
    <s v="FL250853"/>
    <s v="Jason Johnson"/>
    <s v="Male"/>
    <n v="48"/>
    <s v="46-55"/>
    <x v="20"/>
    <s v="Spanish"/>
    <s v="Graphic Design"/>
    <n v="16"/>
    <x v="4"/>
    <n v="30"/>
    <n v="30000"/>
    <x v="2"/>
    <n v="4"/>
    <x v="0"/>
    <n v="0.97"/>
    <s v="Top Performer"/>
  </r>
  <r>
    <s v="FL250854"/>
    <s v="Jasmine Lane"/>
    <s v="Female"/>
    <n v="21"/>
    <s v="18-29"/>
    <x v="6"/>
    <s v="Turkish"/>
    <s v="UI/UX Design"/>
    <n v="0"/>
    <x v="2"/>
    <n v="100"/>
    <n v="100000"/>
    <x v="0"/>
    <n v="1.8"/>
    <x v="0"/>
    <n v="0.3"/>
    <s v="Needs Imporovement"/>
  </r>
  <r>
    <s v="FL250855"/>
    <s v="Evan Soto"/>
    <s v="Male"/>
    <n v="33"/>
    <s v="30-45"/>
    <x v="9"/>
    <s v="Japanese"/>
    <s v="AI"/>
    <n v="13"/>
    <x v="4"/>
    <n v="75"/>
    <n v="75000"/>
    <x v="1"/>
    <n v="3.8"/>
    <x v="1"/>
    <n v="0.75"/>
    <s v="Average"/>
  </r>
  <r>
    <s v="FL250856"/>
    <s v="Kevin Serrano"/>
    <s v="Male"/>
    <n v="41"/>
    <s v="30-45"/>
    <x v="6"/>
    <s v="Turkish"/>
    <s v="DevOps"/>
    <n v="12"/>
    <x v="0"/>
    <n v="40"/>
    <n v="40000"/>
    <x v="1"/>
    <n v="3.8"/>
    <x v="0"/>
    <n v="0.85"/>
    <s v="Average"/>
  </r>
  <r>
    <s v="FL250857"/>
    <s v="Nathaniel Benson"/>
    <s v="Male"/>
    <n v="40"/>
    <s v="30-45"/>
    <x v="1"/>
    <s v="English"/>
    <s v="Cybersecurity"/>
    <n v="13"/>
    <x v="4"/>
    <n v="50"/>
    <n v="50000"/>
    <x v="1"/>
    <n v="3.8"/>
    <x v="0"/>
    <n v="0.82"/>
    <s v="Average"/>
  </r>
  <r>
    <s v="FL250858"/>
    <s v="Deanna Miles"/>
    <s v="Female"/>
    <n v="40"/>
    <s v="30-45"/>
    <x v="19"/>
    <s v="Spanish"/>
    <s v="Graphic Design"/>
    <n v="22"/>
    <x v="3"/>
    <n v="40"/>
    <n v="40000"/>
    <x v="1"/>
    <n v="4"/>
    <x v="0"/>
    <n v="0.95"/>
    <s v="Top Performer"/>
  </r>
  <r>
    <s v="FL250859"/>
    <s v="Beverly Roy"/>
    <s v="Female"/>
    <n v="20"/>
    <s v="18-29"/>
    <x v="5"/>
    <s v="English"/>
    <s v="Graphic Design"/>
    <n v="1"/>
    <x v="2"/>
    <n v="20"/>
    <n v="20000"/>
    <x v="2"/>
    <n v="1.8"/>
    <x v="0"/>
    <n v="0.94"/>
    <s v="Needs Imporovement"/>
  </r>
  <r>
    <s v="FL250860"/>
    <s v="Heather Saunders"/>
    <s v="Female"/>
    <n v="42"/>
    <s v="30-45"/>
    <x v="19"/>
    <s v="Spanish"/>
    <s v="Web Development"/>
    <n v="7"/>
    <x v="0"/>
    <n v="50"/>
    <n v="50000"/>
    <x v="1"/>
    <n v="3"/>
    <x v="0"/>
    <n v="0.96"/>
    <s v="Average"/>
  </r>
  <r>
    <s v="FL250861"/>
    <s v="Nicholas Guerrero"/>
    <s v="Male"/>
    <n v="32"/>
    <s v="30-45"/>
    <x v="14"/>
    <s v="English"/>
    <s v="Blockchain Development"/>
    <n v="12"/>
    <x v="0"/>
    <n v="40"/>
    <n v="40000"/>
    <x v="1"/>
    <n v="3.8"/>
    <x v="1"/>
    <n v="0.63"/>
    <s v="Average"/>
  </r>
  <r>
    <s v="FL250862"/>
    <s v="Christopher Johnson"/>
    <s v="Male"/>
    <n v="60"/>
    <s v="55+"/>
    <x v="9"/>
    <s v="Japanese"/>
    <s v="AI"/>
    <n v="3"/>
    <x v="2"/>
    <n v="20"/>
    <n v="20000"/>
    <x v="2"/>
    <n v="2.5"/>
    <x v="0"/>
    <n v="0.6"/>
    <s v="Needs Imporovement"/>
  </r>
  <r>
    <s v="FL250863"/>
    <s v="Steven Flowers"/>
    <s v="Male"/>
    <n v="46"/>
    <s v="46-55"/>
    <x v="16"/>
    <s v="Arabic"/>
    <s v="Machine Learning"/>
    <n v="12"/>
    <x v="0"/>
    <n v="50"/>
    <n v="50000"/>
    <x v="1"/>
    <n v="3.8"/>
    <x v="1"/>
    <n v="0.77"/>
    <s v="Average"/>
  </r>
  <r>
    <s v="FL250864"/>
    <s v="Marvin Woods III"/>
    <s v="Male"/>
    <n v="29"/>
    <s v="18-29"/>
    <x v="18"/>
    <s v="Mandarin"/>
    <s v="DevOps"/>
    <n v="0"/>
    <x v="2"/>
    <n v="30"/>
    <n v="30000"/>
    <x v="2"/>
    <n v="1.8"/>
    <x v="0"/>
    <n v="0.63"/>
    <s v="Needs Imporovement"/>
  </r>
  <r>
    <s v="FL250865"/>
    <s v="Michelle Cook"/>
    <s v="Female"/>
    <n v="39"/>
    <s v="30-45"/>
    <x v="11"/>
    <s v="Portuguese"/>
    <s v="Mobile Apps"/>
    <n v="18"/>
    <x v="4"/>
    <n v="20"/>
    <n v="20000"/>
    <x v="2"/>
    <n v="4"/>
    <x v="1"/>
    <n v="0.61"/>
    <s v="Top Performer"/>
  </r>
  <r>
    <s v="FL250866"/>
    <s v="Logan Zamora"/>
    <s v="Male"/>
    <n v="55"/>
    <s v="46-55"/>
    <x v="13"/>
    <s v="Russian"/>
    <s v="Mobile Apps"/>
    <n v="2"/>
    <x v="2"/>
    <n v="50"/>
    <n v="50000"/>
    <x v="1"/>
    <n v="2.5"/>
    <x v="1"/>
    <n v="0.88"/>
    <s v="Needs Imporovement"/>
  </r>
  <r>
    <s v="FL250867"/>
    <s v="Casey Roberts"/>
    <s v="Male"/>
    <n v="55"/>
    <s v="46-55"/>
    <x v="6"/>
    <s v="Turkish"/>
    <s v="Cybersecurity"/>
    <n v="15"/>
    <x v="4"/>
    <n v="100"/>
    <n v="100000"/>
    <x v="0"/>
    <n v="4"/>
    <x v="1"/>
    <n v="0.69"/>
    <s v="Top Performer"/>
  </r>
  <r>
    <s v="FL250868"/>
    <s v="Jerry Price"/>
    <s v="Male"/>
    <n v="40"/>
    <s v="30-45"/>
    <x v="4"/>
    <s v="Indonesian"/>
    <s v="Data Analysis"/>
    <n v="2"/>
    <x v="2"/>
    <n v="75"/>
    <n v="75000"/>
    <x v="1"/>
    <n v="2.5"/>
    <x v="1"/>
    <n v="0.35"/>
    <s v="Needs Imporovement"/>
  </r>
  <r>
    <s v="FL250869"/>
    <s v="Kelly Ellis"/>
    <s v="Female"/>
    <n v="56"/>
    <s v="55+"/>
    <x v="18"/>
    <s v="Mandarin"/>
    <s v="UI/UX Design"/>
    <n v="35"/>
    <x v="1"/>
    <n v="40"/>
    <n v="40000"/>
    <x v="1"/>
    <n v="5"/>
    <x v="1"/>
    <n v="0.82"/>
    <s v="Top Performer"/>
  </r>
  <r>
    <s v="FL250870"/>
    <s v="Caleb Guerra"/>
    <s v="Male"/>
    <n v="57"/>
    <s v="55+"/>
    <x v="19"/>
    <s v="Spanish"/>
    <s v="Mobile Apps"/>
    <n v="21"/>
    <x v="3"/>
    <n v="75"/>
    <n v="75000"/>
    <x v="1"/>
    <n v="4"/>
    <x v="0"/>
    <n v="0.96"/>
    <s v="Top Performer"/>
  </r>
  <r>
    <s v="FL250871"/>
    <s v="Samantha Norman"/>
    <s v="Female"/>
    <n v="56"/>
    <s v="55+"/>
    <x v="13"/>
    <s v="Russian"/>
    <s v="DevOps"/>
    <n v="3"/>
    <x v="2"/>
    <n v="40"/>
    <n v="40000"/>
    <x v="1"/>
    <n v="2.5"/>
    <x v="0"/>
    <n v="0.71"/>
    <s v="Needs Imporovement"/>
  </r>
  <r>
    <s v="FL250872"/>
    <s v="Sarah Clarke"/>
    <s v="Female"/>
    <n v="49"/>
    <s v="46-55"/>
    <x v="2"/>
    <s v="German"/>
    <s v="Mobile Apps"/>
    <n v="24"/>
    <x v="3"/>
    <n v="75"/>
    <n v="75000"/>
    <x v="1"/>
    <n v="4"/>
    <x v="1"/>
    <n v="0.77"/>
    <s v="Top Performer"/>
  </r>
  <r>
    <s v="FL250873"/>
    <s v="Aaron Blair"/>
    <s v="Male"/>
    <n v="26"/>
    <s v="18-29"/>
    <x v="20"/>
    <s v="Spanish"/>
    <s v="Blockchain Development"/>
    <n v="3"/>
    <x v="2"/>
    <n v="75"/>
    <n v="75000"/>
    <x v="1"/>
    <n v="2.5"/>
    <x v="1"/>
    <n v="0.35"/>
    <s v="Needs Imporovement"/>
  </r>
  <r>
    <s v="FL250874"/>
    <s v="Courtney Burton"/>
    <s v="Female"/>
    <n v="36"/>
    <s v="30-45"/>
    <x v="12"/>
    <s v="Korean"/>
    <s v="UI/UX Design"/>
    <n v="0"/>
    <x v="2"/>
    <n v="75"/>
    <n v="75000"/>
    <x v="1"/>
    <n v="1.8"/>
    <x v="0"/>
    <n v="0.73"/>
    <s v="Needs Imporovement"/>
  </r>
  <r>
    <s v="FL250875"/>
    <s v="Gerald Taylor"/>
    <s v="Male"/>
    <n v="20"/>
    <s v="18-29"/>
    <x v="13"/>
    <s v="Russian"/>
    <s v="Web Development"/>
    <n v="2"/>
    <x v="2"/>
    <n v="30"/>
    <n v="30000"/>
    <x v="2"/>
    <n v="2.5"/>
    <x v="1"/>
    <n v="0.6"/>
    <s v="Needs Imporovement"/>
  </r>
  <r>
    <s v="FL250876"/>
    <s v="Mary Ward"/>
    <s v="Female"/>
    <n v="40"/>
    <s v="30-45"/>
    <x v="20"/>
    <s v="Spanish"/>
    <s v="AI"/>
    <n v="10"/>
    <x v="0"/>
    <n v="80"/>
    <n v="80000"/>
    <x v="1"/>
    <n v="3.8"/>
    <x v="1"/>
    <n v="0.67"/>
    <s v="Average"/>
  </r>
  <r>
    <s v="FL250877"/>
    <s v="Mrs. Lisa Beard DVM"/>
    <s v="Female"/>
    <n v="30"/>
    <s v="30-45"/>
    <x v="10"/>
    <s v="Hindi"/>
    <s v="Mobile Apps"/>
    <n v="6"/>
    <x v="0"/>
    <n v="75"/>
    <n v="75000"/>
    <x v="1"/>
    <n v="3"/>
    <x v="0"/>
    <n v="0.8"/>
    <s v="Average"/>
  </r>
  <r>
    <s v="FL250878"/>
    <s v="Larry Wallace"/>
    <s v="Male"/>
    <n v="51"/>
    <s v="46-55"/>
    <x v="1"/>
    <s v="English"/>
    <s v="Graphic Design"/>
    <n v="21"/>
    <x v="3"/>
    <n v="20"/>
    <n v="20000"/>
    <x v="2"/>
    <n v="4"/>
    <x v="1"/>
    <n v="0.85"/>
    <s v="Top Performer"/>
  </r>
  <r>
    <s v="FL250879"/>
    <s v="Jeremiah Thompson"/>
    <s v="Male"/>
    <n v="46"/>
    <s v="46-55"/>
    <x v="5"/>
    <s v="English"/>
    <s v="UI/UX Design"/>
    <n v="24"/>
    <x v="3"/>
    <n v="40"/>
    <n v="40000"/>
    <x v="1"/>
    <n v="4"/>
    <x v="1"/>
    <n v="0.87"/>
    <s v="Top Performer"/>
  </r>
  <r>
    <s v="FL250880"/>
    <s v="Mrs. Jessica Williams DVM"/>
    <s v="Female"/>
    <n v="25"/>
    <s v="18-29"/>
    <x v="12"/>
    <s v="Korean"/>
    <s v="AI"/>
    <n v="6"/>
    <x v="0"/>
    <n v="20"/>
    <n v="20000"/>
    <x v="2"/>
    <n v="3"/>
    <x v="0"/>
    <n v="0.6"/>
    <s v="Average"/>
  </r>
  <r>
    <s v="FL250881"/>
    <s v="Martin Moreno"/>
    <s v="Male"/>
    <n v="53"/>
    <s v="46-55"/>
    <x v="3"/>
    <s v="Dutch"/>
    <s v="Web Development"/>
    <n v="32"/>
    <x v="1"/>
    <n v="50"/>
    <n v="50000"/>
    <x v="1"/>
    <n v="5"/>
    <x v="1"/>
    <n v="1"/>
    <s v="Top Performer"/>
  </r>
  <r>
    <s v="FL250882"/>
    <s v="Yolanda Proctor"/>
    <s v="Female"/>
    <n v="50"/>
    <s v="46-55"/>
    <x v="16"/>
    <s v="Arabic"/>
    <s v="Mobile Apps"/>
    <n v="31"/>
    <x v="1"/>
    <n v="100"/>
    <n v="100000"/>
    <x v="0"/>
    <n v="5"/>
    <x v="1"/>
    <n v="0.89"/>
    <s v="Top Performer"/>
  </r>
  <r>
    <s v="FL250883"/>
    <s v="Allen Turner"/>
    <s v="Male"/>
    <n v="45"/>
    <s v="30-45"/>
    <x v="12"/>
    <s v="Korean"/>
    <s v="AI"/>
    <n v="12"/>
    <x v="0"/>
    <n v="20"/>
    <n v="20000"/>
    <x v="2"/>
    <n v="3.8"/>
    <x v="1"/>
    <n v="0.93"/>
    <s v="Average"/>
  </r>
  <r>
    <s v="FL250884"/>
    <s v="Beth Huff"/>
    <s v="Female"/>
    <n v="48"/>
    <s v="46-55"/>
    <x v="14"/>
    <s v="English"/>
    <s v="Cybersecurity"/>
    <n v="24"/>
    <x v="3"/>
    <n v="100"/>
    <n v="100000"/>
    <x v="0"/>
    <n v="4"/>
    <x v="1"/>
    <n v="0.84"/>
    <s v="Top Performer"/>
  </r>
  <r>
    <s v="FL250885"/>
    <s v="John Mckinney"/>
    <s v="Male"/>
    <n v="30"/>
    <s v="30-45"/>
    <x v="4"/>
    <s v="Indonesian"/>
    <s v="DevOps"/>
    <n v="9"/>
    <x v="0"/>
    <n v="100"/>
    <n v="100000"/>
    <x v="0"/>
    <n v="3"/>
    <x v="0"/>
    <n v="0.78"/>
    <s v="Average"/>
  </r>
  <r>
    <s v="FL250886"/>
    <s v="Sarah Ho"/>
    <s v="Female"/>
    <n v="33"/>
    <s v="30-45"/>
    <x v="3"/>
    <s v="Dutch"/>
    <s v="UI/UX Design"/>
    <n v="6"/>
    <x v="0"/>
    <n v="50"/>
    <n v="50000"/>
    <x v="1"/>
    <n v="3"/>
    <x v="0"/>
    <n v="0.9"/>
    <s v="Average"/>
  </r>
  <r>
    <s v="FL250887"/>
    <s v="Lindsey Wang"/>
    <s v="Female"/>
    <n v="50"/>
    <s v="46-55"/>
    <x v="7"/>
    <s v="English"/>
    <s v="DevOps"/>
    <n v="11"/>
    <x v="0"/>
    <n v="30"/>
    <n v="30000"/>
    <x v="2"/>
    <n v="3.8"/>
    <x v="1"/>
    <n v="0.88"/>
    <s v="Average"/>
  </r>
  <r>
    <s v="FL250888"/>
    <s v="Margaret Schwartz"/>
    <s v="Female"/>
    <n v="24"/>
    <s v="18-29"/>
    <x v="4"/>
    <s v="Indonesian"/>
    <s v="Data Analysis"/>
    <n v="2"/>
    <x v="2"/>
    <n v="20"/>
    <n v="20000"/>
    <x v="2"/>
    <n v="2.5"/>
    <x v="0"/>
    <n v="0.76"/>
    <s v="Needs Imporovement"/>
  </r>
  <r>
    <s v="FL250889"/>
    <s v="Kyle Ray"/>
    <s v="Male"/>
    <n v="38"/>
    <s v="30-45"/>
    <x v="0"/>
    <s v="Italian"/>
    <s v="Web Development"/>
    <n v="14"/>
    <x v="4"/>
    <n v="75"/>
    <n v="75000"/>
    <x v="1"/>
    <n v="3.8"/>
    <x v="0"/>
    <n v="0.62"/>
    <s v="Average"/>
  </r>
  <r>
    <s v="FL250890"/>
    <s v="Isaac Hebert"/>
    <s v="Male"/>
    <n v="56"/>
    <s v="55+"/>
    <x v="9"/>
    <s v="Japanese"/>
    <s v="DevOps"/>
    <n v="2"/>
    <x v="2"/>
    <n v="75"/>
    <n v="75000"/>
    <x v="1"/>
    <n v="2.5"/>
    <x v="0"/>
    <n v="0.35"/>
    <s v="Needs Imporovement"/>
  </r>
  <r>
    <s v="FL250891"/>
    <s v="Michele Jones"/>
    <s v="Female"/>
    <n v="41"/>
    <s v="30-45"/>
    <x v="13"/>
    <s v="Russian"/>
    <s v="DevOps"/>
    <n v="2"/>
    <x v="2"/>
    <n v="100"/>
    <n v="100000"/>
    <x v="0"/>
    <n v="2.5"/>
    <x v="0"/>
    <n v="0.75"/>
    <s v="Needs Imporovement"/>
  </r>
  <r>
    <s v="FL250892"/>
    <s v="Austin Allen"/>
    <s v="Male"/>
    <n v="44"/>
    <s v="30-45"/>
    <x v="0"/>
    <s v="Italian"/>
    <s v="UI/UX Design"/>
    <n v="11"/>
    <x v="0"/>
    <n v="100"/>
    <n v="100000"/>
    <x v="0"/>
    <n v="3.8"/>
    <x v="1"/>
    <n v="0.8"/>
    <s v="Average"/>
  </r>
  <r>
    <s v="FL250893"/>
    <s v="Haley Castro"/>
    <s v="Female"/>
    <n v="42"/>
    <s v="30-45"/>
    <x v="2"/>
    <s v="German"/>
    <s v="Graphic Design"/>
    <n v="13"/>
    <x v="4"/>
    <n v="30"/>
    <n v="30000"/>
    <x v="2"/>
    <n v="3.8"/>
    <x v="0"/>
    <n v="0.63"/>
    <s v="Average"/>
  </r>
  <r>
    <s v="FL250894"/>
    <s v="David Armstrong"/>
    <s v="Male"/>
    <n v="26"/>
    <s v="18-29"/>
    <x v="10"/>
    <s v="Hindi"/>
    <s v="Blockchain Development"/>
    <n v="7"/>
    <x v="0"/>
    <n v="75"/>
    <n v="75000"/>
    <x v="1"/>
    <n v="3"/>
    <x v="0"/>
    <n v="0.84"/>
    <s v="Average"/>
  </r>
  <r>
    <s v="FL250895"/>
    <s v="Wendy Mitchell"/>
    <s v="Female"/>
    <n v="44"/>
    <s v="30-45"/>
    <x v="14"/>
    <s v="English"/>
    <s v="Cybersecurity"/>
    <n v="25"/>
    <x v="3"/>
    <n v="75"/>
    <n v="75000"/>
    <x v="1"/>
    <n v="4.8"/>
    <x v="1"/>
    <n v="0.78"/>
    <s v="Top Performer"/>
  </r>
  <r>
    <s v="FL250896"/>
    <s v="Anthony Hernandez"/>
    <s v="Male"/>
    <n v="46"/>
    <s v="46-55"/>
    <x v="14"/>
    <s v="English"/>
    <s v="Graphic Design"/>
    <n v="20"/>
    <x v="4"/>
    <n v="20"/>
    <n v="20000"/>
    <x v="2"/>
    <n v="4"/>
    <x v="0"/>
    <n v="0.74"/>
    <s v="Top Performer"/>
  </r>
  <r>
    <s v="FL250897"/>
    <s v="Erica Johnson"/>
    <s v="Female"/>
    <n v="36"/>
    <s v="30-45"/>
    <x v="5"/>
    <s v="English"/>
    <s v="UI/UX Design"/>
    <n v="8"/>
    <x v="0"/>
    <n v="50"/>
    <n v="50000"/>
    <x v="1"/>
    <n v="3"/>
    <x v="0"/>
    <n v="0.9"/>
    <s v="Average"/>
  </r>
  <r>
    <s v="FL250898"/>
    <s v="Randall Barrett"/>
    <s v="Male"/>
    <n v="26"/>
    <s v="18-29"/>
    <x v="3"/>
    <s v="Dutch"/>
    <s v="AI"/>
    <n v="6"/>
    <x v="0"/>
    <n v="40"/>
    <n v="40000"/>
    <x v="1"/>
    <n v="3"/>
    <x v="0"/>
    <n v="0.6"/>
    <s v="Average"/>
  </r>
  <r>
    <s v="FL250899"/>
    <s v="Nathan Huff"/>
    <s v="Male"/>
    <n v="21"/>
    <s v="18-29"/>
    <x v="2"/>
    <s v="German"/>
    <s v="UI/UX Design"/>
    <n v="3"/>
    <x v="2"/>
    <n v="50"/>
    <n v="50000"/>
    <x v="1"/>
    <n v="2.5"/>
    <x v="1"/>
    <n v="0.35"/>
    <s v="Needs Imporovement"/>
  </r>
  <r>
    <s v="FL250900"/>
    <s v="Robin Walsh"/>
    <s v="Female"/>
    <n v="39"/>
    <s v="30-45"/>
    <x v="4"/>
    <s v="Indonesian"/>
    <s v="UI/UX Design"/>
    <n v="18"/>
    <x v="4"/>
    <n v="50"/>
    <n v="50000"/>
    <x v="1"/>
    <n v="4"/>
    <x v="0"/>
    <n v="0.75"/>
    <s v="Top Performer"/>
  </r>
  <r>
    <s v="FL250901"/>
    <s v="Yvonne Robinson"/>
    <s v="Female"/>
    <n v="37"/>
    <s v="30-45"/>
    <x v="5"/>
    <s v="English"/>
    <s v="Blockchain Development"/>
    <n v="18"/>
    <x v="4"/>
    <n v="40"/>
    <n v="40000"/>
    <x v="1"/>
    <n v="4"/>
    <x v="0"/>
    <n v="0.72"/>
    <s v="Top Performer"/>
  </r>
  <r>
    <s v="FL250902"/>
    <s v="Kathleen Hendrix"/>
    <s v="Female"/>
    <n v="47"/>
    <s v="46-55"/>
    <x v="13"/>
    <s v="Russian"/>
    <s v="UI/UX Design"/>
    <n v="3"/>
    <x v="2"/>
    <n v="40"/>
    <n v="40000"/>
    <x v="1"/>
    <n v="2.5"/>
    <x v="1"/>
    <n v="0.92"/>
    <s v="Needs Imporovement"/>
  </r>
  <r>
    <s v="FL250903"/>
    <s v="Jennifer Baker"/>
    <s v="Female"/>
    <n v="53"/>
    <s v="46-55"/>
    <x v="13"/>
    <s v="Russian"/>
    <s v="Graphic Design"/>
    <n v="32"/>
    <x v="1"/>
    <n v="20"/>
    <n v="20000"/>
    <x v="2"/>
    <n v="5"/>
    <x v="0"/>
    <n v="1"/>
    <s v="Top Performer"/>
  </r>
  <r>
    <s v="FL250904"/>
    <s v="Kim Martinez"/>
    <s v="Female"/>
    <n v="53"/>
    <s v="46-55"/>
    <x v="8"/>
    <s v="Spanish"/>
    <s v="Mobile Apps"/>
    <n v="19"/>
    <x v="4"/>
    <n v="20"/>
    <n v="20000"/>
    <x v="2"/>
    <n v="4"/>
    <x v="0"/>
    <n v="0.85"/>
    <s v="Top Performer"/>
  </r>
  <r>
    <s v="FL250905"/>
    <s v="Andrew Little"/>
    <s v="Male"/>
    <n v="21"/>
    <s v="18-29"/>
    <x v="10"/>
    <s v="Hindi"/>
    <s v="Data Analysis"/>
    <n v="2"/>
    <x v="2"/>
    <n v="50"/>
    <n v="50000"/>
    <x v="1"/>
    <n v="2.5"/>
    <x v="0"/>
    <n v="0.86"/>
    <s v="Needs Imporovement"/>
  </r>
  <r>
    <s v="FL250906"/>
    <s v="Kelly Shelton"/>
    <s v="Female"/>
    <n v="35"/>
    <s v="30-45"/>
    <x v="7"/>
    <s v="English"/>
    <s v="Blockchain Development"/>
    <n v="0"/>
    <x v="2"/>
    <n v="20"/>
    <n v="20000"/>
    <x v="2"/>
    <n v="1.8"/>
    <x v="1"/>
    <n v="0.85"/>
    <s v="Needs Imporovement"/>
  </r>
  <r>
    <s v="FL250907"/>
    <s v="Steven Duncan"/>
    <s v="Male"/>
    <n v="31"/>
    <s v="30-45"/>
    <x v="8"/>
    <s v="Spanish"/>
    <s v="Machine Learning"/>
    <n v="13"/>
    <x v="4"/>
    <n v="40"/>
    <n v="40000"/>
    <x v="1"/>
    <n v="3.8"/>
    <x v="0"/>
    <n v="0.62"/>
    <s v="Average"/>
  </r>
  <r>
    <s v="FL250908"/>
    <s v="Kristen Haney"/>
    <s v="Female"/>
    <n v="55"/>
    <s v="46-55"/>
    <x v="12"/>
    <s v="Korean"/>
    <s v="AI"/>
    <n v="2"/>
    <x v="2"/>
    <n v="30"/>
    <n v="30000"/>
    <x v="2"/>
    <n v="2.5"/>
    <x v="1"/>
    <n v="0.91"/>
    <s v="Needs Imporovement"/>
  </r>
  <r>
    <s v="FL250909"/>
    <s v="Kathy Reese"/>
    <s v="Female"/>
    <n v="59"/>
    <s v="55+"/>
    <x v="6"/>
    <s v="Turkish"/>
    <s v="Web Development"/>
    <n v="11"/>
    <x v="0"/>
    <n v="75"/>
    <n v="75000"/>
    <x v="1"/>
    <n v="3.8"/>
    <x v="1"/>
    <n v="0.8"/>
    <s v="Average"/>
  </r>
  <r>
    <s v="FL250910"/>
    <s v="Steven Murphy"/>
    <s v="Male"/>
    <n v="59"/>
    <s v="55+"/>
    <x v="15"/>
    <s v="French"/>
    <s v="Cybersecurity"/>
    <n v="17"/>
    <x v="4"/>
    <n v="100"/>
    <n v="100000"/>
    <x v="0"/>
    <n v="4"/>
    <x v="0"/>
    <n v="0.72"/>
    <s v="Top Performer"/>
  </r>
  <r>
    <s v="FL250911"/>
    <s v="William Hartman"/>
    <s v="Male"/>
    <n v="47"/>
    <s v="46-55"/>
    <x v="10"/>
    <s v="Hindi"/>
    <s v="Blockchain Development"/>
    <n v="10"/>
    <x v="0"/>
    <n v="75"/>
    <n v="75000"/>
    <x v="1"/>
    <n v="3.8"/>
    <x v="0"/>
    <n v="0.75"/>
    <s v="Average"/>
  </r>
  <r>
    <s v="FL250912"/>
    <s v="Sonya Haley"/>
    <s v="Female"/>
    <n v="53"/>
    <s v="46-55"/>
    <x v="17"/>
    <s v="Afrikaans"/>
    <s v="Machine Learning"/>
    <n v="26"/>
    <x v="3"/>
    <n v="75"/>
    <n v="75000"/>
    <x v="1"/>
    <n v="4.8"/>
    <x v="1"/>
    <n v="0.9"/>
    <s v="Top Performer"/>
  </r>
  <r>
    <s v="FL250913"/>
    <s v="Robert Evans"/>
    <s v="Male"/>
    <n v="49"/>
    <s v="46-55"/>
    <x v="17"/>
    <s v="Afrikaans"/>
    <s v="Data Analysis"/>
    <n v="10"/>
    <x v="0"/>
    <n v="30"/>
    <n v="30000"/>
    <x v="2"/>
    <n v="3.8"/>
    <x v="1"/>
    <n v="0.74"/>
    <s v="Average"/>
  </r>
  <r>
    <s v="FL250914"/>
    <s v="Patricia Richardson"/>
    <s v="Female"/>
    <n v="50"/>
    <s v="46-55"/>
    <x v="17"/>
    <s v="Afrikaans"/>
    <s v="Mobile Apps"/>
    <n v="8"/>
    <x v="0"/>
    <n v="50"/>
    <n v="50000"/>
    <x v="1"/>
    <n v="3"/>
    <x v="1"/>
    <n v="0.82"/>
    <s v="Average"/>
  </r>
  <r>
    <s v="FL250915"/>
    <s v="Carolyn Lopez"/>
    <s v="Female"/>
    <n v="59"/>
    <s v="55+"/>
    <x v="12"/>
    <s v="Korean"/>
    <s v="Machine Learning"/>
    <n v="22"/>
    <x v="3"/>
    <n v="100"/>
    <n v="100000"/>
    <x v="0"/>
    <n v="4"/>
    <x v="0"/>
    <n v="0.85"/>
    <s v="Top Performer"/>
  </r>
  <r>
    <s v="FL250916"/>
    <s v="Kyle Burns"/>
    <s v="Male"/>
    <n v="33"/>
    <s v="30-45"/>
    <x v="6"/>
    <s v="Turkish"/>
    <s v="Data Analysis"/>
    <n v="8"/>
    <x v="0"/>
    <n v="75"/>
    <n v="75000"/>
    <x v="1"/>
    <n v="3"/>
    <x v="1"/>
    <n v="0.68"/>
    <s v="Average"/>
  </r>
  <r>
    <s v="FL250917"/>
    <s v="Margaret Garcia"/>
    <s v="Female"/>
    <n v="45"/>
    <s v="30-45"/>
    <x v="14"/>
    <s v="English"/>
    <s v="Web Development"/>
    <n v="22"/>
    <x v="3"/>
    <n v="40"/>
    <n v="40000"/>
    <x v="1"/>
    <n v="4"/>
    <x v="1"/>
    <n v="0.99"/>
    <s v="Top Performer"/>
  </r>
  <r>
    <s v="FL250918"/>
    <s v="Brittany Barker"/>
    <s v="Female"/>
    <n v="36"/>
    <s v="30-45"/>
    <x v="0"/>
    <s v="Italian"/>
    <s v="Graphic Design"/>
    <n v="14"/>
    <x v="4"/>
    <n v="30"/>
    <n v="30000"/>
    <x v="2"/>
    <n v="3.8"/>
    <x v="0"/>
    <n v="0.62"/>
    <s v="Average"/>
  </r>
  <r>
    <s v="FL250919"/>
    <s v="Paul Campbell"/>
    <s v="Male"/>
    <n v="46"/>
    <s v="46-55"/>
    <x v="17"/>
    <s v="Afrikaans"/>
    <s v="UI/UX Design"/>
    <n v="6"/>
    <x v="0"/>
    <n v="30"/>
    <n v="30000"/>
    <x v="2"/>
    <n v="3"/>
    <x v="0"/>
    <n v="0.6"/>
    <s v="Average"/>
  </r>
  <r>
    <s v="FL250920"/>
    <s v="Amy Morrow"/>
    <s v="Female"/>
    <n v="53"/>
    <s v="46-55"/>
    <x v="6"/>
    <s v="Turkish"/>
    <s v="Graphic Design"/>
    <n v="14"/>
    <x v="4"/>
    <n v="30"/>
    <n v="30000"/>
    <x v="2"/>
    <n v="3.8"/>
    <x v="0"/>
    <n v="0.83"/>
    <s v="Average"/>
  </r>
  <r>
    <s v="FL250921"/>
    <s v="Amy Fitzgerald"/>
    <s v="Female"/>
    <n v="24"/>
    <s v="18-29"/>
    <x v="5"/>
    <s v="English"/>
    <s v="Web Development"/>
    <n v="2"/>
    <x v="2"/>
    <n v="30"/>
    <n v="30000"/>
    <x v="2"/>
    <n v="2.5"/>
    <x v="0"/>
    <n v="0.92"/>
    <s v="Needs Imporovement"/>
  </r>
  <r>
    <s v="FL250922"/>
    <s v="Anita Becker"/>
    <s v="Female"/>
    <n v="49"/>
    <s v="46-55"/>
    <x v="20"/>
    <s v="Spanish"/>
    <s v="DevOps"/>
    <n v="4"/>
    <x v="2"/>
    <n v="75"/>
    <n v="75000"/>
    <x v="1"/>
    <n v="2.5"/>
    <x v="0"/>
    <n v="0.85"/>
    <s v="Needs Imporovement"/>
  </r>
  <r>
    <s v="FL250923"/>
    <s v="Mrs. Amy Brooks"/>
    <s v="Female"/>
    <n v="49"/>
    <s v="46-55"/>
    <x v="12"/>
    <s v="Korean"/>
    <s v="AI"/>
    <n v="4"/>
    <x v="2"/>
    <n v="75"/>
    <n v="75000"/>
    <x v="1"/>
    <n v="2.5"/>
    <x v="0"/>
    <n v="0.35"/>
    <s v="Needs Imporovement"/>
  </r>
  <r>
    <s v="FL250924"/>
    <s v="Lori Marshall"/>
    <s v="Female"/>
    <n v="49"/>
    <s v="46-55"/>
    <x v="12"/>
    <s v="Korean"/>
    <s v="Mobile Apps"/>
    <n v="24"/>
    <x v="3"/>
    <n v="100"/>
    <n v="100000"/>
    <x v="0"/>
    <n v="4"/>
    <x v="1"/>
    <n v="0.85"/>
    <s v="Top Performer"/>
  </r>
  <r>
    <s v="FL250925"/>
    <s v="Jennifer Miller"/>
    <s v="Female"/>
    <n v="58"/>
    <s v="55+"/>
    <x v="11"/>
    <s v="Portuguese"/>
    <s v="Blockchain Development"/>
    <n v="29"/>
    <x v="3"/>
    <n v="30"/>
    <n v="30000"/>
    <x v="2"/>
    <n v="4.8"/>
    <x v="1"/>
    <n v="0.89"/>
    <s v="Top Performer"/>
  </r>
  <r>
    <s v="FL250926"/>
    <s v="Thomas Young"/>
    <s v="Male"/>
    <n v="50"/>
    <s v="46-55"/>
    <x v="17"/>
    <s v="Afrikaans"/>
    <s v="UI/UX Design"/>
    <n v="13"/>
    <x v="4"/>
    <n v="50"/>
    <n v="50000"/>
    <x v="1"/>
    <n v="3.8"/>
    <x v="1"/>
    <n v="0.81"/>
    <s v="Average"/>
  </r>
  <r>
    <s v="FL250927"/>
    <s v="Zachary Larsen"/>
    <s v="Male"/>
    <n v="27"/>
    <s v="18-29"/>
    <x v="17"/>
    <s v="Afrikaans"/>
    <s v="DevOps"/>
    <n v="1"/>
    <x v="2"/>
    <n v="100"/>
    <n v="100000"/>
    <x v="0"/>
    <n v="1.8"/>
    <x v="1"/>
    <n v="0.61"/>
    <s v="Needs Imporovement"/>
  </r>
  <r>
    <s v="FL250928"/>
    <s v="Valerie Gutierrez"/>
    <s v="Female"/>
    <n v="20"/>
    <s v="18-29"/>
    <x v="12"/>
    <s v="Korean"/>
    <s v="Machine Learning"/>
    <n v="0"/>
    <x v="2"/>
    <n v="30"/>
    <n v="30000"/>
    <x v="2"/>
    <n v="1.8"/>
    <x v="1"/>
    <n v="0.3"/>
    <s v="Needs Imporovement"/>
  </r>
  <r>
    <s v="FL250929"/>
    <s v="Daniel Parker"/>
    <s v="Male"/>
    <n v="52"/>
    <s v="46-55"/>
    <x v="13"/>
    <s v="Russian"/>
    <s v="Blockchain Development"/>
    <n v="15"/>
    <x v="4"/>
    <n v="40"/>
    <n v="40000"/>
    <x v="1"/>
    <n v="4"/>
    <x v="1"/>
    <n v="0.92"/>
    <s v="Top Performer"/>
  </r>
  <r>
    <s v="FL250930"/>
    <s v="Nicole Bennett"/>
    <s v="Female"/>
    <n v="22"/>
    <s v="18-29"/>
    <x v="15"/>
    <s v="French"/>
    <s v="Machine Learning"/>
    <n v="2"/>
    <x v="2"/>
    <n v="30"/>
    <n v="30000"/>
    <x v="2"/>
    <n v="2.5"/>
    <x v="0"/>
    <n v="0.96"/>
    <s v="Needs Imporovement"/>
  </r>
  <r>
    <s v="FL250931"/>
    <s v="Lauren Lowery"/>
    <s v="Female"/>
    <n v="38"/>
    <s v="30-45"/>
    <x v="6"/>
    <s v="Turkish"/>
    <s v="Web Development"/>
    <n v="14"/>
    <x v="4"/>
    <n v="100"/>
    <n v="100000"/>
    <x v="0"/>
    <n v="3.8"/>
    <x v="0"/>
    <n v="0.66"/>
    <s v="Average"/>
  </r>
  <r>
    <s v="FL250932"/>
    <s v="Alexander Woodward"/>
    <s v="Male"/>
    <n v="21"/>
    <s v="18-29"/>
    <x v="14"/>
    <s v="English"/>
    <s v="Graphic Design"/>
    <n v="0"/>
    <x v="2"/>
    <n v="100"/>
    <n v="100000"/>
    <x v="0"/>
    <n v="1.8"/>
    <x v="0"/>
    <n v="0.64"/>
    <s v="Needs Imporovement"/>
  </r>
  <r>
    <s v="FL250933"/>
    <s v="Anthony Walter"/>
    <s v="Male"/>
    <n v="41"/>
    <s v="30-45"/>
    <x v="1"/>
    <s v="English"/>
    <s v="AI"/>
    <n v="15"/>
    <x v="4"/>
    <n v="40"/>
    <n v="40000"/>
    <x v="1"/>
    <n v="4"/>
    <x v="0"/>
    <n v="1"/>
    <s v="Top Performer"/>
  </r>
  <r>
    <s v="FL250934"/>
    <s v="Valerie Finley"/>
    <s v="Female"/>
    <n v="33"/>
    <s v="30-45"/>
    <x v="4"/>
    <s v="Indonesian"/>
    <s v="Blockchain Development"/>
    <n v="6"/>
    <x v="0"/>
    <n v="40"/>
    <n v="40000"/>
    <x v="1"/>
    <n v="3"/>
    <x v="1"/>
    <n v="0.95"/>
    <s v="Average"/>
  </r>
  <r>
    <s v="FL250935"/>
    <s v="Deborah Kelley"/>
    <s v="Female"/>
    <n v="38"/>
    <s v="30-45"/>
    <x v="19"/>
    <s v="Spanish"/>
    <s v="Mobile Apps"/>
    <n v="11"/>
    <x v="0"/>
    <n v="60"/>
    <n v="60000"/>
    <x v="1"/>
    <n v="3.8"/>
    <x v="0"/>
    <n v="0.91"/>
    <s v="Average"/>
  </r>
  <r>
    <s v="FL250936"/>
    <s v="Kristina Miller"/>
    <s v="Female"/>
    <n v="26"/>
    <s v="18-29"/>
    <x v="13"/>
    <s v="Russian"/>
    <s v="DevOps"/>
    <n v="8"/>
    <x v="0"/>
    <n v="20"/>
    <n v="20000"/>
    <x v="2"/>
    <n v="3"/>
    <x v="1"/>
    <n v="0.82"/>
    <s v="Average"/>
  </r>
  <r>
    <s v="FL250937"/>
    <s v="Anne Hampton"/>
    <s v="Female"/>
    <n v="43"/>
    <s v="30-45"/>
    <x v="3"/>
    <s v="Dutch"/>
    <s v="AI"/>
    <n v="3"/>
    <x v="2"/>
    <n v="20"/>
    <n v="20000"/>
    <x v="2"/>
    <n v="2.5"/>
    <x v="1"/>
    <n v="0.95"/>
    <s v="Needs Imporovement"/>
  </r>
  <r>
    <s v="FL250938"/>
    <s v="Sandra Henry"/>
    <s v="Female"/>
    <n v="21"/>
    <s v="18-29"/>
    <x v="0"/>
    <s v="Italian"/>
    <s v="Cybersecurity"/>
    <n v="0"/>
    <x v="2"/>
    <n v="20"/>
    <n v="20000"/>
    <x v="2"/>
    <n v="1.8"/>
    <x v="1"/>
    <n v="0.95"/>
    <s v="Needs Imporovement"/>
  </r>
  <r>
    <s v="FL250939"/>
    <s v="Tony Hester"/>
    <s v="Male"/>
    <n v="47"/>
    <s v="46-55"/>
    <x v="12"/>
    <s v="Korean"/>
    <s v="Mobile Apps"/>
    <n v="7"/>
    <x v="0"/>
    <n v="30"/>
    <n v="30000"/>
    <x v="2"/>
    <n v="3"/>
    <x v="0"/>
    <n v="0.69"/>
    <s v="Average"/>
  </r>
  <r>
    <s v="FL250940"/>
    <s v="Nathan Davis"/>
    <s v="Male"/>
    <n v="35"/>
    <s v="30-45"/>
    <x v="20"/>
    <s v="Spanish"/>
    <s v="Graphic Design"/>
    <n v="6"/>
    <x v="0"/>
    <n v="40"/>
    <n v="40000"/>
    <x v="1"/>
    <n v="3"/>
    <x v="1"/>
    <n v="0.91"/>
    <s v="Average"/>
  </r>
  <r>
    <s v="FL250941"/>
    <s v="Erica Jackson"/>
    <s v="Female"/>
    <n v="37"/>
    <s v="30-45"/>
    <x v="4"/>
    <s v="Indonesian"/>
    <s v="Mobile Apps"/>
    <n v="9"/>
    <x v="0"/>
    <n v="30"/>
    <n v="30000"/>
    <x v="2"/>
    <n v="3"/>
    <x v="1"/>
    <n v="0.6"/>
    <s v="Average"/>
  </r>
  <r>
    <s v="FL250942"/>
    <s v="Nancy Glover"/>
    <s v="Female"/>
    <n v="38"/>
    <s v="30-45"/>
    <x v="11"/>
    <s v="Portuguese"/>
    <s v="AI"/>
    <n v="15"/>
    <x v="4"/>
    <n v="40"/>
    <n v="40000"/>
    <x v="1"/>
    <n v="4"/>
    <x v="1"/>
    <n v="0.62"/>
    <s v="Top Performer"/>
  </r>
  <r>
    <s v="FL250943"/>
    <s v="Richard Sanchez"/>
    <s v="Male"/>
    <n v="40"/>
    <s v="30-45"/>
    <x v="14"/>
    <s v="English"/>
    <s v="Data Analysis"/>
    <n v="20"/>
    <x v="4"/>
    <n v="20"/>
    <n v="20000"/>
    <x v="2"/>
    <n v="4"/>
    <x v="0"/>
    <n v="0.81"/>
    <s v="Top Performer"/>
  </r>
  <r>
    <s v="FL250944"/>
    <s v="Savannah Reid"/>
    <s v="Female"/>
    <n v="46"/>
    <s v="46-55"/>
    <x v="11"/>
    <s v="Portuguese"/>
    <s v="Data Analysis"/>
    <n v="16"/>
    <x v="4"/>
    <n v="75"/>
    <n v="75000"/>
    <x v="1"/>
    <n v="4"/>
    <x v="0"/>
    <n v="0.94"/>
    <s v="Top Performer"/>
  </r>
  <r>
    <s v="FL250945"/>
    <s v="Robert Salazar"/>
    <s v="Male"/>
    <n v="56"/>
    <s v="55+"/>
    <x v="16"/>
    <s v="Arabic"/>
    <s v="DevOps"/>
    <n v="22"/>
    <x v="3"/>
    <n v="30"/>
    <n v="30000"/>
    <x v="2"/>
    <n v="4"/>
    <x v="0"/>
    <n v="0.95"/>
    <s v="Top Performer"/>
  </r>
  <r>
    <s v="FL250946"/>
    <s v="Hector Greer"/>
    <s v="Male"/>
    <n v="24"/>
    <s v="18-29"/>
    <x v="6"/>
    <s v="Turkish"/>
    <s v="Graphic Design"/>
    <n v="2"/>
    <x v="2"/>
    <n v="20"/>
    <n v="20000"/>
    <x v="2"/>
    <n v="2.5"/>
    <x v="0"/>
    <n v="1"/>
    <s v="Needs Imporovement"/>
  </r>
  <r>
    <s v="FL250947"/>
    <s v="Thomas Jackson"/>
    <s v="Male"/>
    <n v="23"/>
    <s v="18-29"/>
    <x v="19"/>
    <s v="Spanish"/>
    <s v="AI"/>
    <n v="1"/>
    <x v="2"/>
    <n v="75"/>
    <n v="75000"/>
    <x v="1"/>
    <n v="1.8"/>
    <x v="1"/>
    <n v="0.94"/>
    <s v="Needs Imporovement"/>
  </r>
  <r>
    <s v="FL250948"/>
    <s v="Tina Clark"/>
    <s v="Female"/>
    <n v="38"/>
    <s v="30-45"/>
    <x v="6"/>
    <s v="Turkish"/>
    <s v="Mobile Apps"/>
    <n v="8"/>
    <x v="0"/>
    <n v="30"/>
    <n v="30000"/>
    <x v="2"/>
    <n v="3"/>
    <x v="1"/>
    <n v="0.92"/>
    <s v="Average"/>
  </r>
  <r>
    <s v="FL250949"/>
    <s v="Heather Brown"/>
    <s v="Female"/>
    <n v="28"/>
    <s v="18-29"/>
    <x v="15"/>
    <s v="French"/>
    <s v="DevOps"/>
    <n v="8"/>
    <x v="0"/>
    <n v="50"/>
    <n v="50000"/>
    <x v="1"/>
    <n v="3"/>
    <x v="1"/>
    <n v="0.95"/>
    <s v="Average"/>
  </r>
  <r>
    <s v="FL250950"/>
    <s v="John Weaver"/>
    <s v="Male"/>
    <n v="25"/>
    <s v="18-29"/>
    <x v="11"/>
    <s v="Portuguese"/>
    <s v="DevOps"/>
    <n v="7"/>
    <x v="0"/>
    <n v="20"/>
    <n v="20000"/>
    <x v="2"/>
    <n v="3"/>
    <x v="0"/>
    <n v="0.97"/>
    <s v="Average"/>
  </r>
  <r>
    <s v="FL250951"/>
    <s v="Bradley Harris"/>
    <s v="Male"/>
    <n v="41"/>
    <s v="30-45"/>
    <x v="7"/>
    <s v="English"/>
    <s v="DevOps"/>
    <n v="8"/>
    <x v="0"/>
    <n v="50"/>
    <n v="50000"/>
    <x v="1"/>
    <n v="3"/>
    <x v="0"/>
    <n v="0.75"/>
    <s v="Average"/>
  </r>
  <r>
    <s v="FL250952"/>
    <s v="Cassandra Macdonald"/>
    <s v="Female"/>
    <n v="45"/>
    <s v="30-45"/>
    <x v="19"/>
    <s v="Spanish"/>
    <s v="Data Analysis"/>
    <n v="6"/>
    <x v="0"/>
    <n v="40"/>
    <n v="40000"/>
    <x v="1"/>
    <n v="3"/>
    <x v="1"/>
    <n v="0.78"/>
    <s v="Average"/>
  </r>
  <r>
    <s v="FL250953"/>
    <s v="Matthew White"/>
    <s v="Male"/>
    <n v="47"/>
    <s v="46-55"/>
    <x v="6"/>
    <s v="Turkish"/>
    <s v="DevOps"/>
    <n v="16"/>
    <x v="4"/>
    <n v="100"/>
    <n v="100000"/>
    <x v="0"/>
    <n v="4"/>
    <x v="0"/>
    <n v="0.65"/>
    <s v="Top Performer"/>
  </r>
  <r>
    <s v="FL250954"/>
    <s v="Miss Kimberly Marshall"/>
    <s v="Female"/>
    <n v="59"/>
    <s v="55+"/>
    <x v="7"/>
    <s v="English"/>
    <s v="Data Analysis"/>
    <n v="40"/>
    <x v="1"/>
    <n v="40"/>
    <n v="40000"/>
    <x v="1"/>
    <n v="5"/>
    <x v="1"/>
    <n v="0.7"/>
    <s v="Top Performer"/>
  </r>
  <r>
    <s v="FL250955"/>
    <s v="Laura Thompson"/>
    <s v="Female"/>
    <n v="25"/>
    <s v="18-29"/>
    <x v="14"/>
    <s v="English"/>
    <s v="Blockchain Development"/>
    <n v="6"/>
    <x v="0"/>
    <n v="100"/>
    <n v="100000"/>
    <x v="0"/>
    <n v="3"/>
    <x v="1"/>
    <n v="0.78"/>
    <s v="Average"/>
  </r>
  <r>
    <s v="FL250956"/>
    <s v="Nathan Soto"/>
    <s v="Male"/>
    <n v="27"/>
    <s v="18-29"/>
    <x v="1"/>
    <s v="English"/>
    <s v="Web Development"/>
    <n v="3"/>
    <x v="2"/>
    <n v="50"/>
    <n v="50000"/>
    <x v="1"/>
    <n v="2.5"/>
    <x v="1"/>
    <n v="0.96"/>
    <s v="Needs Imporovement"/>
  </r>
  <r>
    <s v="FL250957"/>
    <s v="Rhonda Hines"/>
    <s v="Female"/>
    <n v="57"/>
    <s v="55+"/>
    <x v="1"/>
    <s v="English"/>
    <s v="AI"/>
    <n v="5"/>
    <x v="0"/>
    <n v="100"/>
    <n v="100000"/>
    <x v="0"/>
    <n v="3"/>
    <x v="1"/>
    <n v="0.8"/>
    <s v="Average"/>
  </r>
  <r>
    <s v="FL250958"/>
    <s v="Gabrielle Bowman"/>
    <s v="Female"/>
    <n v="34"/>
    <s v="30-45"/>
    <x v="6"/>
    <s v="Turkish"/>
    <s v="UI/UX Design"/>
    <n v="12"/>
    <x v="0"/>
    <n v="20"/>
    <n v="20000"/>
    <x v="2"/>
    <n v="3.8"/>
    <x v="1"/>
    <n v="0.64"/>
    <s v="Average"/>
  </r>
  <r>
    <s v="FL250959"/>
    <s v="Julian Edwards"/>
    <s v="Male"/>
    <n v="55"/>
    <s v="46-55"/>
    <x v="15"/>
    <s v="French"/>
    <s v="UI/UX Design"/>
    <n v="33"/>
    <x v="1"/>
    <n v="50"/>
    <n v="50000"/>
    <x v="1"/>
    <n v="5"/>
    <x v="0"/>
    <n v="0.92"/>
    <s v="Top Performer"/>
  </r>
  <r>
    <s v="FL250960"/>
    <s v="Nicholas Scott"/>
    <s v="Male"/>
    <n v="21"/>
    <s v="18-29"/>
    <x v="16"/>
    <s v="Arabic"/>
    <s v="Blockchain Development"/>
    <n v="1"/>
    <x v="2"/>
    <n v="100"/>
    <n v="100000"/>
    <x v="0"/>
    <n v="1.8"/>
    <x v="1"/>
    <n v="0.3"/>
    <s v="Needs Imporovement"/>
  </r>
  <r>
    <s v="FL250961"/>
    <s v="Daniel Green"/>
    <s v="Male"/>
    <n v="53"/>
    <s v="46-55"/>
    <x v="3"/>
    <s v="Dutch"/>
    <s v="DevOps"/>
    <n v="27"/>
    <x v="3"/>
    <n v="20"/>
    <n v="20000"/>
    <x v="2"/>
    <n v="4.8"/>
    <x v="1"/>
    <n v="0.71"/>
    <s v="Top Performer"/>
  </r>
  <r>
    <s v="FL250962"/>
    <s v="Catherine Johnston"/>
    <s v="Female"/>
    <n v="21"/>
    <s v="18-29"/>
    <x v="2"/>
    <s v="German"/>
    <s v="UI/UX Design"/>
    <n v="1"/>
    <x v="2"/>
    <n v="100"/>
    <n v="100000"/>
    <x v="0"/>
    <n v="1.8"/>
    <x v="1"/>
    <n v="0.95"/>
    <s v="Needs Imporovement"/>
  </r>
  <r>
    <s v="FL250963"/>
    <s v="Brenda Koch"/>
    <s v="Female"/>
    <n v="36"/>
    <s v="30-45"/>
    <x v="11"/>
    <s v="Portuguese"/>
    <s v="Web Development"/>
    <n v="7"/>
    <x v="0"/>
    <n v="20"/>
    <n v="20000"/>
    <x v="2"/>
    <n v="3"/>
    <x v="0"/>
    <n v="0.86"/>
    <s v="Average"/>
  </r>
  <r>
    <s v="FL250964"/>
    <s v="Mr. Robert Meza"/>
    <s v="Male"/>
    <n v="40"/>
    <s v="30-45"/>
    <x v="2"/>
    <s v="German"/>
    <s v="AI"/>
    <n v="2"/>
    <x v="2"/>
    <n v="30"/>
    <n v="30000"/>
    <x v="2"/>
    <n v="2.5"/>
    <x v="1"/>
    <n v="0.77"/>
    <s v="Needs Imporovement"/>
  </r>
  <r>
    <s v="FL250965"/>
    <s v="Latoya Brown"/>
    <s v="Female"/>
    <n v="59"/>
    <s v="55+"/>
    <x v="7"/>
    <s v="English"/>
    <s v="UI/UX Design"/>
    <n v="40"/>
    <x v="1"/>
    <n v="100"/>
    <n v="100000"/>
    <x v="0"/>
    <n v="5"/>
    <x v="1"/>
    <n v="1"/>
    <s v="Top Performer"/>
  </r>
  <r>
    <s v="FL250966"/>
    <s v="David Osborne III"/>
    <s v="Male"/>
    <n v="45"/>
    <s v="30-45"/>
    <x v="3"/>
    <s v="Dutch"/>
    <s v="Cybersecurity"/>
    <n v="4"/>
    <x v="2"/>
    <n v="20"/>
    <n v="20000"/>
    <x v="2"/>
    <n v="2.5"/>
    <x v="0"/>
    <n v="0.72"/>
    <s v="Needs Imporovement"/>
  </r>
  <r>
    <s v="FL250967"/>
    <s v="David Hooper"/>
    <s v="Male"/>
    <n v="44"/>
    <s v="30-45"/>
    <x v="12"/>
    <s v="Korean"/>
    <s v="Machine Learning"/>
    <n v="9"/>
    <x v="0"/>
    <n v="40"/>
    <n v="40000"/>
    <x v="1"/>
    <n v="3"/>
    <x v="0"/>
    <n v="0.7"/>
    <s v="Average"/>
  </r>
  <r>
    <s v="FL250968"/>
    <s v="Sarah Miller"/>
    <s v="Female"/>
    <n v="36"/>
    <s v="30-45"/>
    <x v="7"/>
    <s v="English"/>
    <s v="Cybersecurity"/>
    <n v="13"/>
    <x v="4"/>
    <n v="30"/>
    <n v="30000"/>
    <x v="2"/>
    <n v="3.8"/>
    <x v="0"/>
    <n v="0.86"/>
    <s v="Average"/>
  </r>
  <r>
    <s v="FL250969"/>
    <s v="Lisa Werner MD"/>
    <s v="Female"/>
    <n v="26"/>
    <s v="18-29"/>
    <x v="10"/>
    <s v="Hindi"/>
    <s v="Graphic Design"/>
    <n v="1"/>
    <x v="2"/>
    <n v="75"/>
    <n v="75000"/>
    <x v="1"/>
    <n v="1.8"/>
    <x v="1"/>
    <n v="0.3"/>
    <s v="Needs Imporovement"/>
  </r>
  <r>
    <s v="FL250970"/>
    <s v="Eric Jimenez"/>
    <s v="Male"/>
    <n v="49"/>
    <s v="46-55"/>
    <x v="10"/>
    <s v="Hindi"/>
    <s v="Web Development"/>
    <n v="1"/>
    <x v="2"/>
    <n v="20"/>
    <n v="20000"/>
    <x v="2"/>
    <n v="1.8"/>
    <x v="0"/>
    <n v="0.82"/>
    <s v="Needs Imporovement"/>
  </r>
  <r>
    <s v="FL250971"/>
    <s v="Jay Bush"/>
    <s v="Male"/>
    <n v="29"/>
    <s v="18-29"/>
    <x v="15"/>
    <s v="French"/>
    <s v="Mobile Apps"/>
    <n v="3"/>
    <x v="2"/>
    <n v="40"/>
    <n v="40000"/>
    <x v="1"/>
    <n v="2.5"/>
    <x v="1"/>
    <n v="0.81"/>
    <s v="Needs Imporovement"/>
  </r>
  <r>
    <s v="FL250972"/>
    <s v="Johnny Rice"/>
    <s v="Male"/>
    <n v="32"/>
    <s v="30-45"/>
    <x v="15"/>
    <s v="French"/>
    <s v="Graphic Design"/>
    <n v="1"/>
    <x v="2"/>
    <n v="40"/>
    <n v="40000"/>
    <x v="1"/>
    <n v="1.8"/>
    <x v="1"/>
    <n v="0.76"/>
    <s v="Needs Imporovement"/>
  </r>
  <r>
    <s v="FL250973"/>
    <s v="Matthew Strong"/>
    <s v="Male"/>
    <n v="24"/>
    <s v="18-29"/>
    <x v="4"/>
    <s v="Indonesian"/>
    <s v="Blockchain Development"/>
    <n v="3"/>
    <x v="2"/>
    <n v="30"/>
    <n v="30000"/>
    <x v="2"/>
    <n v="2.5"/>
    <x v="0"/>
    <n v="0.9"/>
    <s v="Needs Imporovement"/>
  </r>
  <r>
    <s v="FL250974"/>
    <s v="Mark Chandler"/>
    <s v="Male"/>
    <n v="35"/>
    <s v="30-45"/>
    <x v="12"/>
    <s v="Korean"/>
    <s v="DevOps"/>
    <n v="14"/>
    <x v="4"/>
    <n v="30"/>
    <n v="30000"/>
    <x v="2"/>
    <n v="3.8"/>
    <x v="1"/>
    <n v="0.67"/>
    <s v="Average"/>
  </r>
  <r>
    <s v="FL250975"/>
    <s v="Crystal Brown"/>
    <s v="Female"/>
    <n v="43"/>
    <s v="30-45"/>
    <x v="20"/>
    <s v="Spanish"/>
    <s v="Blockchain Development"/>
    <n v="2"/>
    <x v="2"/>
    <n v="30"/>
    <n v="30000"/>
    <x v="2"/>
    <n v="2.5"/>
    <x v="0"/>
    <n v="0.61"/>
    <s v="Needs Imporovement"/>
  </r>
  <r>
    <s v="FL250976"/>
    <s v="Timothy Barton"/>
    <s v="Male"/>
    <n v="53"/>
    <s v="46-55"/>
    <x v="12"/>
    <s v="Korean"/>
    <s v="Machine Learning"/>
    <n v="27"/>
    <x v="3"/>
    <n v="100"/>
    <n v="100000"/>
    <x v="0"/>
    <n v="4.8"/>
    <x v="0"/>
    <n v="0.73"/>
    <s v="Top Performer"/>
  </r>
  <r>
    <s v="FL250977"/>
    <s v="Lisa Hickman"/>
    <s v="Female"/>
    <n v="38"/>
    <s v="30-45"/>
    <x v="13"/>
    <s v="Russian"/>
    <s v="DevOps"/>
    <n v="7"/>
    <x v="0"/>
    <n v="75"/>
    <n v="75000"/>
    <x v="1"/>
    <n v="3"/>
    <x v="0"/>
    <n v="0.6"/>
    <s v="Average"/>
  </r>
  <r>
    <s v="FL250978"/>
    <s v="Alan Mendoza"/>
    <s v="Male"/>
    <n v="57"/>
    <s v="55+"/>
    <x v="7"/>
    <s v="English"/>
    <s v="Cybersecurity"/>
    <n v="29"/>
    <x v="3"/>
    <n v="75"/>
    <n v="75000"/>
    <x v="1"/>
    <n v="4.8"/>
    <x v="0"/>
    <n v="0.9"/>
    <s v="Top Performer"/>
  </r>
  <r>
    <s v="FL250979"/>
    <s v="Jason Sanders"/>
    <s v="Male"/>
    <n v="27"/>
    <s v="18-29"/>
    <x v="18"/>
    <s v="Mandarin"/>
    <s v="Blockchain Development"/>
    <n v="5"/>
    <x v="0"/>
    <n v="75"/>
    <n v="75000"/>
    <x v="1"/>
    <n v="3"/>
    <x v="1"/>
    <n v="0.64"/>
    <s v="Average"/>
  </r>
  <r>
    <s v="FL250980"/>
    <s v="Charles Dean"/>
    <s v="Male"/>
    <n v="43"/>
    <s v="30-45"/>
    <x v="8"/>
    <s v="Spanish"/>
    <s v="Web Development"/>
    <n v="2"/>
    <x v="2"/>
    <n v="100"/>
    <n v="100000"/>
    <x v="0"/>
    <n v="2.5"/>
    <x v="1"/>
    <n v="0.63"/>
    <s v="Needs Imporovement"/>
  </r>
  <r>
    <s v="FL250981"/>
    <s v="Blake Newton"/>
    <s v="Male"/>
    <n v="48"/>
    <s v="46-55"/>
    <x v="14"/>
    <s v="English"/>
    <s v="Data Analysis"/>
    <n v="18"/>
    <x v="4"/>
    <n v="40"/>
    <n v="40000"/>
    <x v="1"/>
    <n v="4"/>
    <x v="1"/>
    <n v="0.85"/>
    <s v="Top Performer"/>
  </r>
  <r>
    <s v="FL250982"/>
    <s v="David Gonzalez"/>
    <s v="Male"/>
    <n v="26"/>
    <s v="18-29"/>
    <x v="11"/>
    <s v="Portuguese"/>
    <s v="Cybersecurity"/>
    <n v="8"/>
    <x v="0"/>
    <n v="20"/>
    <n v="20000"/>
    <x v="2"/>
    <n v="3"/>
    <x v="0"/>
    <n v="0.67"/>
    <s v="Average"/>
  </r>
  <r>
    <s v="FL250983"/>
    <s v="Cindy Williams"/>
    <s v="Female"/>
    <n v="22"/>
    <s v="18-29"/>
    <x v="17"/>
    <s v="Afrikaans"/>
    <s v="Graphic Design"/>
    <n v="0"/>
    <x v="2"/>
    <n v="40"/>
    <n v="40000"/>
    <x v="1"/>
    <n v="1.8"/>
    <x v="0"/>
    <n v="0.97"/>
    <s v="Needs Imporovement"/>
  </r>
  <r>
    <s v="FL250984"/>
    <s v="Laura Wong DDS"/>
    <s v="Female"/>
    <n v="50"/>
    <s v="46-55"/>
    <x v="0"/>
    <s v="Italian"/>
    <s v="Data Analysis"/>
    <n v="16"/>
    <x v="4"/>
    <n v="75"/>
    <n v="75000"/>
    <x v="1"/>
    <n v="4"/>
    <x v="0"/>
    <n v="0.69"/>
    <s v="Top Performer"/>
  </r>
  <r>
    <s v="FL250985"/>
    <s v="Robert Moran"/>
    <s v="Male"/>
    <n v="48"/>
    <s v="46-55"/>
    <x v="17"/>
    <s v="Afrikaans"/>
    <s v="Web Development"/>
    <n v="8"/>
    <x v="0"/>
    <n v="50"/>
    <n v="50000"/>
    <x v="1"/>
    <n v="3"/>
    <x v="1"/>
    <n v="0.73"/>
    <s v="Average"/>
  </r>
  <r>
    <s v="FL250986"/>
    <s v="Bradley Wu"/>
    <s v="Male"/>
    <n v="60"/>
    <s v="55+"/>
    <x v="20"/>
    <s v="Spanish"/>
    <s v="Blockchain Development"/>
    <n v="39"/>
    <x v="1"/>
    <n v="20"/>
    <n v="20000"/>
    <x v="2"/>
    <n v="5"/>
    <x v="1"/>
    <n v="0.86"/>
    <s v="Top Performer"/>
  </r>
  <r>
    <s v="FL250987"/>
    <s v="Daniel Thomas"/>
    <s v="Male"/>
    <n v="26"/>
    <s v="18-29"/>
    <x v="16"/>
    <s v="Arabic"/>
    <s v="Machine Learning"/>
    <n v="3"/>
    <x v="2"/>
    <n v="50"/>
    <n v="50000"/>
    <x v="1"/>
    <n v="2.5"/>
    <x v="1"/>
    <n v="0.81"/>
    <s v="Needs Imporovement"/>
  </r>
  <r>
    <s v="FL250988"/>
    <s v="Michelle Peterson"/>
    <s v="Female"/>
    <n v="35"/>
    <s v="30-45"/>
    <x v="12"/>
    <s v="Korean"/>
    <s v="Graphic Design"/>
    <n v="16"/>
    <x v="4"/>
    <n v="100"/>
    <n v="100000"/>
    <x v="0"/>
    <n v="4"/>
    <x v="1"/>
    <n v="0.74"/>
    <s v="Top Performer"/>
  </r>
  <r>
    <s v="FL250989"/>
    <s v="Seth Thomas"/>
    <s v="Male"/>
    <n v="23"/>
    <s v="18-29"/>
    <x v="5"/>
    <s v="English"/>
    <s v="Blockchain Development"/>
    <n v="4"/>
    <x v="2"/>
    <n v="100"/>
    <n v="100000"/>
    <x v="0"/>
    <n v="2.5"/>
    <x v="1"/>
    <n v="0.64"/>
    <s v="Needs Imporovement"/>
  </r>
  <r>
    <s v="FL250990"/>
    <s v="Evan Ramos"/>
    <s v="Male"/>
    <n v="37"/>
    <s v="30-45"/>
    <x v="1"/>
    <s v="English"/>
    <s v="Graphic Design"/>
    <n v="4"/>
    <x v="2"/>
    <n v="75"/>
    <n v="75000"/>
    <x v="1"/>
    <n v="2.5"/>
    <x v="0"/>
    <n v="0.76"/>
    <s v="Needs Imporovement"/>
  </r>
  <r>
    <s v="FL250991"/>
    <s v="Michelle Solis"/>
    <s v="Female"/>
    <n v="21"/>
    <s v="18-29"/>
    <x v="8"/>
    <s v="Spanish"/>
    <s v="AI"/>
    <n v="2"/>
    <x v="2"/>
    <n v="100"/>
    <n v="100000"/>
    <x v="0"/>
    <n v="2.5"/>
    <x v="1"/>
    <n v="0.73"/>
    <s v="Needs Imporovement"/>
  </r>
  <r>
    <s v="FL250992"/>
    <s v="Charlotte Taylor"/>
    <s v="Female"/>
    <n v="58"/>
    <s v="55+"/>
    <x v="2"/>
    <s v="German"/>
    <s v="UI/UX Design"/>
    <n v="37"/>
    <x v="1"/>
    <n v="50"/>
    <n v="50000"/>
    <x v="1"/>
    <n v="5"/>
    <x v="0"/>
    <n v="0.69"/>
    <s v="Top Performer"/>
  </r>
  <r>
    <s v="FL250993"/>
    <s v="Sandra Preston"/>
    <s v="Female"/>
    <n v="52"/>
    <s v="46-55"/>
    <x v="4"/>
    <s v="Indonesian"/>
    <s v="Mobile Apps"/>
    <n v="32"/>
    <x v="1"/>
    <n v="75"/>
    <n v="75000"/>
    <x v="1"/>
    <n v="5"/>
    <x v="0"/>
    <n v="0.79"/>
    <s v="Top Performer"/>
  </r>
  <r>
    <s v="FL250994"/>
    <s v="Jim Weiss"/>
    <s v="Male"/>
    <n v="46"/>
    <s v="46-55"/>
    <x v="13"/>
    <s v="Russian"/>
    <s v="Mobile Apps"/>
    <n v="8"/>
    <x v="0"/>
    <n v="20"/>
    <n v="20000"/>
    <x v="2"/>
    <n v="3"/>
    <x v="0"/>
    <n v="0.89"/>
    <s v="Average"/>
  </r>
  <r>
    <s v="FL250995"/>
    <s v="Jennifer Hinton"/>
    <s v="Female"/>
    <n v="34"/>
    <s v="30-45"/>
    <x v="17"/>
    <s v="Afrikaans"/>
    <s v="DevOps"/>
    <n v="8"/>
    <x v="0"/>
    <n v="30"/>
    <n v="30000"/>
    <x v="2"/>
    <n v="3"/>
    <x v="1"/>
    <n v="0.95"/>
    <s v="Average"/>
  </r>
  <r>
    <s v="FL250996"/>
    <s v="Albert Wilcox"/>
    <s v="Male"/>
    <n v="56"/>
    <s v="55+"/>
    <x v="6"/>
    <s v="Turkish"/>
    <s v="DevOps"/>
    <n v="13"/>
    <x v="4"/>
    <n v="100"/>
    <n v="100000"/>
    <x v="0"/>
    <n v="3.8"/>
    <x v="0"/>
    <n v="0.68"/>
    <s v="Average"/>
  </r>
  <r>
    <s v="FL250997"/>
    <s v="Cheryl Norris"/>
    <s v="Female"/>
    <n v="26"/>
    <s v="18-29"/>
    <x v="2"/>
    <s v="German"/>
    <s v="Blockchain Development"/>
    <n v="6"/>
    <x v="0"/>
    <n v="40"/>
    <n v="40000"/>
    <x v="1"/>
    <n v="3"/>
    <x v="0"/>
    <n v="0.82"/>
    <s v="Average"/>
  </r>
  <r>
    <s v="FL250998"/>
    <s v="Kathy Watkins"/>
    <s v="Female"/>
    <n v="37"/>
    <s v="30-45"/>
    <x v="9"/>
    <s v="Japanese"/>
    <s v="Data Analysis"/>
    <n v="15"/>
    <x v="4"/>
    <n v="75"/>
    <n v="75000"/>
    <x v="1"/>
    <n v="4"/>
    <x v="0"/>
    <n v="0.94"/>
    <s v="Top Performer"/>
  </r>
  <r>
    <s v="FL250999"/>
    <s v="John Obrien"/>
    <s v="Male"/>
    <n v="46"/>
    <s v="46-55"/>
    <x v="13"/>
    <s v="Russian"/>
    <s v="Machine Learning"/>
    <n v="22"/>
    <x v="3"/>
    <n v="100"/>
    <n v="100000"/>
    <x v="0"/>
    <n v="4"/>
    <x v="1"/>
    <n v="0.97"/>
    <s v="Top Performer"/>
  </r>
  <r>
    <s v="FL251000"/>
    <s v="Dawn Green"/>
    <s v="Female"/>
    <n v="36"/>
    <s v="30-45"/>
    <x v="19"/>
    <s v="Spanish"/>
    <s v="UI/UX Design"/>
    <n v="18"/>
    <x v="4"/>
    <n v="20"/>
    <n v="20000"/>
    <x v="2"/>
    <n v="4"/>
    <x v="1"/>
    <n v="0.72"/>
    <s v="Top Perfor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50EA4B-6160-4A09-ACF7-DA2C1E7458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C23" firstHeaderRow="1" firstDataRow="1" firstDataCol="1"/>
  <pivotFields count="17">
    <pivotField dataField="1" showAll="0"/>
    <pivotField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pivotField showAll="0"/>
    <pivotField showAll="0"/>
    <pivotField showAll="0"/>
    <pivotField numFmtId="164" showAll="0"/>
    <pivotField numFmtId="164" showAll="0"/>
    <pivotField showAll="0">
      <items count="4">
        <item x="2"/>
        <item x="0"/>
        <item x="1"/>
        <item t="default"/>
      </items>
    </pivotField>
    <pivotField showAll="0"/>
    <pivotField axis="axisRow" showAll="0">
      <items count="3">
        <item x="1"/>
        <item x="0"/>
        <item t="default"/>
      </items>
    </pivotField>
    <pivotField numFmtId="10" showAll="0"/>
    <pivotField showAll="0"/>
  </pivotFields>
  <rowFields count="1">
    <field x="14"/>
  </rowFields>
  <rowItems count="3">
    <i>
      <x/>
    </i>
    <i>
      <x v="1"/>
    </i>
    <i t="grand">
      <x/>
    </i>
  </rowItems>
  <colItems count="1">
    <i/>
  </colItems>
  <dataFields count="1">
    <dataField name="Count of Freelancer ID" fld="0" subtotal="count" baseField="0" baseItem="0"/>
  </dataFields>
  <formats count="4">
    <format dxfId="14">
      <pivotArea collapsedLevelsAreSubtotals="1" fieldPosition="0">
        <references count="1">
          <reference field="14" count="1">
            <x v="1"/>
          </reference>
        </references>
      </pivotArea>
    </format>
    <format dxfId="13">
      <pivotArea collapsedLevelsAreSubtotals="1" fieldPosition="0">
        <references count="1">
          <reference field="14" count="1">
            <x v="0"/>
          </reference>
        </references>
      </pivotArea>
    </format>
    <format dxfId="12">
      <pivotArea dataOnly="0" labelOnly="1" fieldPosition="0">
        <references count="1">
          <reference field="14" count="1">
            <x v="1"/>
          </reference>
        </references>
      </pivotArea>
    </format>
    <format dxfId="11">
      <pivotArea dataOnly="0" labelOnly="1" fieldPosition="0">
        <references count="1">
          <reference field="1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6968-B559-4732-A0C6-ADA2253A79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17">
    <pivotField showAll="0"/>
    <pivotField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pivotField showAll="0"/>
    <pivotField showAll="0"/>
    <pivotField axis="axisRow" showAll="0">
      <items count="6">
        <item x="1"/>
        <item x="2"/>
        <item x="0"/>
        <item x="4"/>
        <item x="3"/>
        <item t="default"/>
      </items>
    </pivotField>
    <pivotField dataField="1" numFmtId="164" showAll="0"/>
    <pivotField dataField="1" numFmtId="164" showAll="0"/>
    <pivotField showAll="0">
      <items count="4">
        <item x="2"/>
        <item x="0"/>
        <item x="1"/>
        <item t="default"/>
      </items>
    </pivotField>
    <pivotField showAll="0"/>
    <pivotField showAll="0">
      <items count="3">
        <item x="1"/>
        <item x="0"/>
        <item t="default"/>
      </items>
    </pivotField>
    <pivotField numFmtId="10" showAll="0"/>
    <pivotField showAll="0"/>
  </pivotFields>
  <rowFields count="1">
    <field x="9"/>
  </rowFields>
  <rowItems count="6">
    <i>
      <x/>
    </i>
    <i>
      <x v="1"/>
    </i>
    <i>
      <x v="2"/>
    </i>
    <i>
      <x v="3"/>
    </i>
    <i>
      <x v="4"/>
    </i>
    <i t="grand">
      <x/>
    </i>
  </rowItems>
  <colFields count="1">
    <field x="-2"/>
  </colFields>
  <colItems count="2">
    <i>
      <x/>
    </i>
    <i i="1">
      <x v="1"/>
    </i>
  </colItems>
  <dataFields count="2">
    <dataField name="Average Hourly Rate" fld="10" subtotal="average" baseField="9" baseItem="0" numFmtId="164"/>
    <dataField name="Sum of Est. Annual Revenue" fld="11" baseField="0" baseItem="0" numFmtId="164"/>
  </dataFields>
  <formats count="10">
    <format dxfId="24">
      <pivotArea type="all" dataOnly="0" outline="0" fieldPosition="0"/>
    </format>
    <format dxfId="23">
      <pivotArea outline="0" collapsedLevelsAreSubtotals="1" fieldPosition="0"/>
    </format>
    <format dxfId="22">
      <pivotArea field="9" type="button" dataOnly="0" labelOnly="1" outline="0" axis="axisRow" fieldPosition="0"/>
    </format>
    <format dxfId="21">
      <pivotArea dataOnly="0" labelOnly="1" fieldPosition="0">
        <references count="1">
          <reference field="9"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 dxfId="18">
      <pivotArea field="9" type="button" dataOnly="0" labelOnly="1" outline="0" axis="axisRow" fieldPosition="0"/>
    </format>
    <format dxfId="17">
      <pivotArea dataOnly="0" labelOnly="1" outline="0" fieldPosition="0">
        <references count="1">
          <reference field="4294967294" count="2">
            <x v="0"/>
            <x v="1"/>
          </reference>
        </references>
      </pivotArea>
    </format>
    <format dxfId="16">
      <pivotArea grandRow="1" outline="0" collapsedLevelsAreSubtotals="1" fieldPosition="0"/>
    </format>
    <format dxfId="15">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4D3CD41-6616-4B2C-8B35-02E3B875136A}" sourceName="Country">
  <pivotTables>
    <pivotTable tabId="2" name="PivotTable1"/>
    <pivotTable tabId="2" name="PivotTable2"/>
  </pivotTables>
  <data>
    <tabular pivotCacheId="2056445806">
      <items count="21">
        <i x="8" s="1"/>
        <i x="1" s="1"/>
        <i x="11" s="1"/>
        <i x="14" s="1"/>
        <i x="18" s="1"/>
        <i x="16" s="1"/>
        <i x="15" s="1"/>
        <i x="2" s="1"/>
        <i x="10" s="1"/>
        <i x="4" s="1"/>
        <i x="0" s="1"/>
        <i x="9" s="1"/>
        <i x="19" s="1"/>
        <i x="3" s="1"/>
        <i x="13" s="1"/>
        <i x="17" s="1"/>
        <i x="12" s="1"/>
        <i x="20" s="1"/>
        <i x="6"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ing_Tier" xr10:uid="{BA5212DB-45E9-4103-B193-9BAAAA7CBD8F}" sourceName="Pricing Tier">
  <pivotTables>
    <pivotTable tabId="2" name="PivotTable1"/>
    <pivotTable tabId="2" name="PivotTable2"/>
  </pivotTables>
  <data>
    <tabular pivotCacheId="205644580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 xr10:uid="{72D358AA-F8D6-44C8-AFFC-885F036A480D}" sourceName="Activity">
  <pivotTables>
    <pivotTable tabId="2" name="PivotTable1"/>
  </pivotTables>
  <data>
    <tabular pivotCacheId="20564458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A6F3573-767D-476F-9D6D-A8BCF74F39C3}" cache="Slicer_Country" caption="Country" rowHeight="234950"/>
  <slicer name="Pricing Tier" xr10:uid="{F7352677-FCAD-460B-B882-7015DDA9C4F7}" cache="Slicer_Pricing_Tier" caption="Pricing Tier" rowHeight="234950"/>
  <slicer name="Activity" xr10:uid="{DF4A1492-2D86-430B-842D-AE244D7E4669}" cache="Slicer_Activity" caption="Activ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170C-B396-476B-9D8C-C4CB73BBE275}" name="Table1" displayName="Table1" ref="A1:Q1001" totalsRowShown="0" headerRowDxfId="43" dataDxfId="42">
  <autoFilter ref="A1:Q1001" xr:uid="{00C7170C-B396-476B-9D8C-C4CB73BBE275}"/>
  <tableColumns count="17">
    <tableColumn id="1" xr3:uid="{53AA01CA-07EE-4EA2-B0D0-D44E2BCBF5D2}" name="Freelancer ID" dataDxfId="41"/>
    <tableColumn id="2" xr3:uid="{F22CA442-F743-431E-8C33-D63E9AA10222}" name="Name" dataDxfId="40"/>
    <tableColumn id="3" xr3:uid="{9FAB0F40-CF74-427E-BCB8-03486793DFDC}" name="Gender" dataDxfId="39"/>
    <tableColumn id="4" xr3:uid="{596D8E74-2A24-42A5-BFD7-040223B9D5B7}" name="Age" dataDxfId="38"/>
    <tableColumn id="19" xr3:uid="{D281EC03-BB86-4868-BAA3-9B2F9CB1897F}" name="Age Group" dataDxfId="37">
      <calculatedColumnFormula>_xlfn.IFS(Table1[[#This Row],[Age]]&lt;30, "18-29", D2&lt;=45,"30-45", D2&lt;=55, "46-55", TRUE, "55+")</calculatedColumnFormula>
    </tableColumn>
    <tableColumn id="5" xr3:uid="{2DD7F69B-9328-4E7F-A60E-07AEC61B3F83}" name="Country" dataDxfId="36"/>
    <tableColumn id="6" xr3:uid="{6D798917-0C9A-4A5E-90AE-595434D244E4}" name="Language" dataDxfId="35"/>
    <tableColumn id="7" xr3:uid="{D0DA3989-A467-46A8-8112-D897AA4A382E}" name="Primary Skills" dataDxfId="34"/>
    <tableColumn id="9" xr3:uid="{1E1E2451-187E-4D7B-86D8-32CA1EE15559}" name="Experience(Years)" dataDxfId="33"/>
    <tableColumn id="14" xr3:uid="{8FD90448-37AF-4FAF-A26C-C43B3969B09A}" name="Experience Level" dataDxfId="32">
      <calculatedColumnFormula>_xlfn.IFS(Table1[[#This Row],[Experience(Years)]]&lt;5, "Junior", I2&lt;=12, "Mid-Level", I2&lt;=20, "Senior", I2&lt;=30, "Super Senior", TRUE, "Expert")</calculatedColumnFormula>
    </tableColumn>
    <tableColumn id="10" xr3:uid="{541D9041-856E-4BB2-9411-B49086F0F557}" name="Hourly Rate" dataDxfId="31"/>
    <tableColumn id="18" xr3:uid="{D1E5814B-43A4-4691-9941-458F86A9B58C}" name="Est. Annual Revenue" dataDxfId="30">
      <calculatedColumnFormula>Table1[[#This Row],[Hourly Rate]]*1000</calculatedColumnFormula>
    </tableColumn>
    <tableColumn id="17" xr3:uid="{D017EA8A-F217-4A0C-B11C-FB3EECA9373B}" name="Pricing Tier" dataDxfId="29">
      <calculatedColumnFormula>_xlfn.IFS(K2&lt;40, "Budget", K2&lt;=80, "Standard", TRUE, "Premium")</calculatedColumnFormula>
    </tableColumn>
    <tableColumn id="15" xr3:uid="{91239395-89AE-48E4-AAF9-07ED129B946C}" name="Rating" dataDxfId="28">
      <calculatedColumnFormula>IF(ISNUMBER(#REF!),#REF!, _xlfn.IFS( I2&gt;=30, 5, I2&gt;=25, 4.8, I2&gt;=15, 4, I2&gt;=10, 3.8, I2&gt;=5, 3, I2&gt;=2, 2.5, I2&gt;=0, 1.8, TRUE, 1.3))</calculatedColumnFormula>
    </tableColumn>
    <tableColumn id="12" xr3:uid="{028A8C2B-E636-499B-8695-D3E352F0B6A7}" name="Activity" dataDxfId="27"/>
    <tableColumn id="13" xr3:uid="{19206853-D8EF-44ED-81F4-757713DBEB78}" name="Client Satisfaction" dataDxfId="26"/>
    <tableColumn id="20" xr3:uid="{3F140797-6C77-4D0F-90F6-AC4C75A5F286}" name="Performance" dataDxfId="25">
      <calculatedColumnFormula>_xlfn.IFS(Table1[[#This Row],[Rating]]&gt;=4, "Top Performer", Table1[[#This Row],[Rating]]&gt;=3, "Average", TRUE, "Needs Imporovement")</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0B37-1F5B-4D10-A3AB-BE8C787D94C0}">
  <dimension ref="A1:Q1001"/>
  <sheetViews>
    <sheetView tabSelected="1" topLeftCell="J1" workbookViewId="0">
      <selection activeCell="T13" sqref="T13"/>
    </sheetView>
  </sheetViews>
  <sheetFormatPr defaultRowHeight="14.4" x14ac:dyDescent="0.3"/>
  <cols>
    <col min="1" max="1" width="17.6640625" style="2" customWidth="1"/>
    <col min="2" max="2" width="21.109375" style="2" customWidth="1"/>
    <col min="3" max="3" width="15.5546875" style="2" customWidth="1"/>
    <col min="4" max="5" width="14.5546875" style="2" customWidth="1"/>
    <col min="6" max="6" width="16.88671875" style="2" customWidth="1"/>
    <col min="7" max="7" width="14.5546875" style="2" customWidth="1"/>
    <col min="8" max="8" width="22.21875" style="2" customWidth="1"/>
    <col min="9" max="10" width="19.77734375" style="5" customWidth="1"/>
    <col min="11" max="11" width="18" style="7" customWidth="1"/>
    <col min="12" max="12" width="22.109375" style="7" customWidth="1"/>
    <col min="13" max="13" width="18" style="7" customWidth="1"/>
    <col min="14" max="14" width="12.33203125" style="2" customWidth="1"/>
    <col min="15" max="15" width="12.44140625" style="2" customWidth="1"/>
    <col min="16" max="17" width="20.44140625" style="3" customWidth="1"/>
  </cols>
  <sheetData>
    <row r="1" spans="1:17" x14ac:dyDescent="0.3">
      <c r="A1" s="1" t="s">
        <v>2050</v>
      </c>
      <c r="B1" s="9" t="s">
        <v>2041</v>
      </c>
      <c r="C1" s="1" t="s">
        <v>2042</v>
      </c>
      <c r="D1" s="1" t="s">
        <v>2043</v>
      </c>
      <c r="E1" s="1" t="s">
        <v>2058</v>
      </c>
      <c r="F1" s="1" t="s">
        <v>2044</v>
      </c>
      <c r="G1" s="1" t="s">
        <v>2045</v>
      </c>
      <c r="H1" s="9" t="s">
        <v>2046</v>
      </c>
      <c r="I1" s="4" t="s">
        <v>2051</v>
      </c>
      <c r="J1" s="4" t="s">
        <v>2054</v>
      </c>
      <c r="K1" s="6" t="s">
        <v>2056</v>
      </c>
      <c r="L1" s="6" t="s">
        <v>2057</v>
      </c>
      <c r="M1" s="6" t="s">
        <v>2055</v>
      </c>
      <c r="N1" s="1" t="s">
        <v>2047</v>
      </c>
      <c r="O1" s="1" t="s">
        <v>2048</v>
      </c>
      <c r="P1" s="11" t="s">
        <v>2049</v>
      </c>
      <c r="Q1" s="11" t="s">
        <v>2059</v>
      </c>
    </row>
    <row r="2" spans="1:17" x14ac:dyDescent="0.3">
      <c r="A2" s="2" t="s">
        <v>0</v>
      </c>
      <c r="B2" s="2" t="s">
        <v>1</v>
      </c>
      <c r="C2" s="2" t="s">
        <v>49</v>
      </c>
      <c r="D2" s="2">
        <v>52</v>
      </c>
      <c r="E2" s="2" t="str">
        <f>_xlfn.IFS(Table1[[#This Row],[Age]]&lt;30, "18-29", D2&lt;=45,"30-45", D2&lt;=55, "46-55", TRUE, "55+")</f>
        <v>46-55</v>
      </c>
      <c r="F2" s="2" t="s">
        <v>2</v>
      </c>
      <c r="G2" s="2" t="s">
        <v>3</v>
      </c>
      <c r="H2" s="2" t="s">
        <v>4</v>
      </c>
      <c r="I2" s="5">
        <v>11</v>
      </c>
      <c r="J2" s="5" t="str">
        <f>_xlfn.IFS(Table1[[#This Row],[Experience(Years)]]&lt;5, "Junior", I2&lt;=12, "Mid-Level", I2&lt;=20, "Senior", I2&lt;=30, "Super Senior", TRUE, "Expert")</f>
        <v>Mid-Level</v>
      </c>
      <c r="K2" s="7">
        <v>100</v>
      </c>
      <c r="L2" s="7">
        <f>Table1[[#This Row],[Hourly Rate]]*1000</f>
        <v>100000</v>
      </c>
      <c r="M2" s="7" t="str">
        <f t="shared" ref="M2:M65" si="0">_xlfn.IFS(K2&lt;40, "Budget", K2&lt;=80, "Standard", TRUE, "Premium")</f>
        <v>Premium</v>
      </c>
      <c r="N2" s="2">
        <f>IF(ISNUMBER(#REF!),#REF!, _xlfn.IFS( I2&gt;=30, 5, I2&gt;=25, 4.8, I2&gt;=15, 4, I2&gt;=10, 3.8, I2&gt;=5, 3, I2&gt;=2, 2.5, I2&gt;=0, 1.8, TRUE, 1.3))</f>
        <v>3.8</v>
      </c>
      <c r="O2" s="2" t="s">
        <v>2052</v>
      </c>
      <c r="P2" s="10">
        <v>0.75</v>
      </c>
      <c r="Q2" s="10" t="str">
        <f>_xlfn.IFS(Table1[[#This Row],[Rating]]&gt;=4, "Top Performer", Table1[[#This Row],[Rating]]&gt;=3, "Average", TRUE, "Needs Imporovement")</f>
        <v>Average</v>
      </c>
    </row>
    <row r="3" spans="1:17" x14ac:dyDescent="0.3">
      <c r="A3" s="2" t="s">
        <v>5</v>
      </c>
      <c r="B3" s="2" t="s">
        <v>6</v>
      </c>
      <c r="C3" s="2" t="s">
        <v>49</v>
      </c>
      <c r="D3" s="2">
        <v>52</v>
      </c>
      <c r="E3" s="2" t="str">
        <f>_xlfn.IFS(Table1[[#This Row],[Age]]&lt;30, "18-29", D3&lt;=45,"30-45", D3&lt;=55, "46-55", TRUE, "55+")</f>
        <v>46-55</v>
      </c>
      <c r="F3" s="2" t="s">
        <v>7</v>
      </c>
      <c r="G3" s="2" t="s">
        <v>8</v>
      </c>
      <c r="H3" s="2" t="s">
        <v>9</v>
      </c>
      <c r="I3" s="5">
        <v>34</v>
      </c>
      <c r="J3" s="5" t="str">
        <f>_xlfn.IFS(Table1[[#This Row],[Experience(Years)]]&lt;5, "Junior", I3&lt;=12, "Mid-Level", I3&lt;=20, "Senior", I3&lt;=30, "Super Senior", TRUE, "Expert")</f>
        <v>Expert</v>
      </c>
      <c r="K3" s="7">
        <v>100</v>
      </c>
      <c r="L3" s="7">
        <f>Table1[[#This Row],[Hourly Rate]]*1000</f>
        <v>100000</v>
      </c>
      <c r="M3" s="7" t="str">
        <f t="shared" si="0"/>
        <v>Premium</v>
      </c>
      <c r="N3" s="2">
        <f>IF(ISNUMBER(#REF!),#REF!, _xlfn.IFS( I3&gt;=30, 5, I3&gt;=25, 4.8, I3&gt;=15, 4, I3&gt;=10, 3.8, I3&gt;=5, 3, I3&gt;=2, 2.5, I3&gt;=0, 1.8, TRUE, 1.3))</f>
        <v>5</v>
      </c>
      <c r="O3" s="2" t="s">
        <v>2053</v>
      </c>
      <c r="P3" s="10">
        <v>0.84</v>
      </c>
      <c r="Q3" s="10" t="str">
        <f>_xlfn.IFS(Table1[[#This Row],[Rating]]&gt;=4, "Top Performer", Table1[[#This Row],[Rating]]&gt;=3, "Average", TRUE, "Needs Imporovement")</f>
        <v>Top Performer</v>
      </c>
    </row>
    <row r="4" spans="1:17" x14ac:dyDescent="0.3">
      <c r="A4" s="2" t="s">
        <v>10</v>
      </c>
      <c r="B4" s="2" t="s">
        <v>11</v>
      </c>
      <c r="C4" s="2" t="s">
        <v>68</v>
      </c>
      <c r="D4" s="2">
        <v>53</v>
      </c>
      <c r="E4" s="2" t="str">
        <f>_xlfn.IFS(Table1[[#This Row],[Age]]&lt;30, "18-29", D4&lt;=45,"30-45", D4&lt;=55, "46-55", TRUE, "55+")</f>
        <v>46-55</v>
      </c>
      <c r="F4" s="2" t="s">
        <v>12</v>
      </c>
      <c r="G4" s="2" t="s">
        <v>13</v>
      </c>
      <c r="H4" s="2" t="s">
        <v>14</v>
      </c>
      <c r="I4" s="5">
        <v>31</v>
      </c>
      <c r="J4" s="5" t="str">
        <f>_xlfn.IFS(Table1[[#This Row],[Experience(Years)]]&lt;5, "Junior", I4&lt;=12, "Mid-Level", I4&lt;=20, "Senior", I4&lt;=30, "Super Senior", TRUE, "Expert")</f>
        <v>Expert</v>
      </c>
      <c r="K4" s="7">
        <v>50</v>
      </c>
      <c r="L4" s="7">
        <f>Table1[[#This Row],[Hourly Rate]]*1000</f>
        <v>50000</v>
      </c>
      <c r="M4" s="7" t="str">
        <f t="shared" si="0"/>
        <v>Standard</v>
      </c>
      <c r="N4" s="2">
        <f>IF(ISNUMBER(#REF!),#REF!, _xlfn.IFS( I4&gt;=30, 5, I4&gt;=25, 4.8, I4&gt;=15, 4, I4&gt;=10, 3.8, I4&gt;=5, 3, I4&gt;=2, 2.5, I4&gt;=0, 1.8, TRUE, 1.3))</f>
        <v>5</v>
      </c>
      <c r="O4" s="2" t="s">
        <v>2052</v>
      </c>
      <c r="P4" s="10">
        <v>0.71</v>
      </c>
      <c r="Q4" s="10" t="str">
        <f>_xlfn.IFS(Table1[[#This Row],[Rating]]&gt;=4, "Top Performer", Table1[[#This Row],[Rating]]&gt;=3, "Average", TRUE, "Needs Imporovement")</f>
        <v>Top Performer</v>
      </c>
    </row>
    <row r="5" spans="1:17" x14ac:dyDescent="0.3">
      <c r="A5" s="2" t="s">
        <v>15</v>
      </c>
      <c r="B5" s="2" t="s">
        <v>16</v>
      </c>
      <c r="C5" s="2" t="s">
        <v>49</v>
      </c>
      <c r="D5" s="2">
        <v>38</v>
      </c>
      <c r="E5" s="2" t="str">
        <f>_xlfn.IFS(Table1[[#This Row],[Age]]&lt;30, "18-29", D5&lt;=45,"30-45", D5&lt;=55, "46-55", TRUE, "55+")</f>
        <v>30-45</v>
      </c>
      <c r="F5" s="2" t="s">
        <v>7</v>
      </c>
      <c r="G5" s="2" t="s">
        <v>8</v>
      </c>
      <c r="H5" s="2" t="s">
        <v>17</v>
      </c>
      <c r="I5" s="5">
        <v>4</v>
      </c>
      <c r="J5" s="5" t="str">
        <f>_xlfn.IFS(Table1[[#This Row],[Experience(Years)]]&lt;5, "Junior", I5&lt;=12, "Mid-Level", I5&lt;=20, "Senior", I5&lt;=30, "Super Senior", TRUE, "Expert")</f>
        <v>Junior</v>
      </c>
      <c r="K5" s="7">
        <v>40</v>
      </c>
      <c r="L5" s="7">
        <f>Table1[[#This Row],[Hourly Rate]]*1000</f>
        <v>40000</v>
      </c>
      <c r="M5" s="7" t="str">
        <f t="shared" si="0"/>
        <v>Standard</v>
      </c>
      <c r="N5" s="2">
        <f>IF(ISNUMBER(#REF!),#REF!, _xlfn.IFS( I5&gt;=30, 5, I5&gt;=25, 4.8, I5&gt;=15, 4, I5&gt;=10, 3.8, I5&gt;=5, 3, I5&gt;=2, 2.5, I5&gt;=0, 1.8, TRUE, 1.3))</f>
        <v>2.5</v>
      </c>
      <c r="O5" s="2" t="s">
        <v>2052</v>
      </c>
      <c r="P5" s="10">
        <v>0.9</v>
      </c>
      <c r="Q5" s="10" t="str">
        <f>_xlfn.IFS(Table1[[#This Row],[Rating]]&gt;=4, "Top Performer", Table1[[#This Row],[Rating]]&gt;=3, "Average", TRUE, "Needs Imporovement")</f>
        <v>Needs Imporovement</v>
      </c>
    </row>
    <row r="6" spans="1:17" x14ac:dyDescent="0.3">
      <c r="A6" s="2" t="s">
        <v>18</v>
      </c>
      <c r="B6" s="2" t="s">
        <v>19</v>
      </c>
      <c r="C6" s="2" t="s">
        <v>49</v>
      </c>
      <c r="D6" s="2">
        <v>53</v>
      </c>
      <c r="E6" s="2" t="str">
        <f>_xlfn.IFS(Table1[[#This Row],[Age]]&lt;30, "18-29", D6&lt;=45,"30-45", D6&lt;=55, "46-55", TRUE, "55+")</f>
        <v>46-55</v>
      </c>
      <c r="F6" s="2" t="s">
        <v>12</v>
      </c>
      <c r="G6" s="2" t="s">
        <v>13</v>
      </c>
      <c r="H6" s="2" t="s">
        <v>17</v>
      </c>
      <c r="I6" s="5">
        <v>27</v>
      </c>
      <c r="J6" s="5" t="str">
        <f>_xlfn.IFS(Table1[[#This Row],[Experience(Years)]]&lt;5, "Junior", I6&lt;=12, "Mid-Level", I6&lt;=20, "Senior", I6&lt;=30, "Super Senior", TRUE, "Expert")</f>
        <v>Super Senior</v>
      </c>
      <c r="K6" s="7">
        <v>30</v>
      </c>
      <c r="L6" s="7">
        <f>Table1[[#This Row],[Hourly Rate]]*1000</f>
        <v>30000</v>
      </c>
      <c r="M6" s="7" t="str">
        <f t="shared" si="0"/>
        <v>Budget</v>
      </c>
      <c r="N6" s="2">
        <f>IF(ISNUMBER(#REF!),#REF!, _xlfn.IFS( I6&gt;=30, 5, I6&gt;=25, 4.8, I6&gt;=15, 4, I6&gt;=10, 3.8, I6&gt;=5, 3, I6&gt;=2, 2.5, I6&gt;=0, 1.8, TRUE, 1.3))</f>
        <v>4.8</v>
      </c>
      <c r="O6" s="2" t="s">
        <v>2052</v>
      </c>
      <c r="P6" s="10">
        <v>0.83</v>
      </c>
      <c r="Q6" s="10" t="str">
        <f>_xlfn.IFS(Table1[[#This Row],[Rating]]&gt;=4, "Top Performer", Table1[[#This Row],[Rating]]&gt;=3, "Average", TRUE, "Needs Imporovement")</f>
        <v>Top Performer</v>
      </c>
    </row>
    <row r="7" spans="1:17" x14ac:dyDescent="0.3">
      <c r="A7" s="2" t="s">
        <v>20</v>
      </c>
      <c r="B7" s="2" t="s">
        <v>21</v>
      </c>
      <c r="C7" s="2" t="s">
        <v>49</v>
      </c>
      <c r="D7" s="2">
        <v>59</v>
      </c>
      <c r="E7" s="2" t="str">
        <f>_xlfn.IFS(Table1[[#This Row],[Age]]&lt;30, "18-29", D7&lt;=45,"30-45", D7&lt;=55, "46-55", TRUE, "55+")</f>
        <v>55+</v>
      </c>
      <c r="F7" s="2" t="s">
        <v>22</v>
      </c>
      <c r="G7" s="2" t="s">
        <v>23</v>
      </c>
      <c r="H7" s="2" t="s">
        <v>24</v>
      </c>
      <c r="I7" s="5">
        <v>14</v>
      </c>
      <c r="J7" s="5" t="str">
        <f>_xlfn.IFS(Table1[[#This Row],[Experience(Years)]]&lt;5, "Junior", I7&lt;=12, "Mid-Level", I7&lt;=20, "Senior", I7&lt;=30, "Super Senior", TRUE, "Expert")</f>
        <v>Senior</v>
      </c>
      <c r="K7" s="7">
        <v>30</v>
      </c>
      <c r="L7" s="7">
        <f>Table1[[#This Row],[Hourly Rate]]*1000</f>
        <v>30000</v>
      </c>
      <c r="M7" s="7" t="str">
        <f t="shared" si="0"/>
        <v>Budget</v>
      </c>
      <c r="N7" s="2">
        <f>IF(ISNUMBER(#REF!),#REF!, _xlfn.IFS( I7&gt;=30, 5, I7&gt;=25, 4.8, I7&gt;=15, 4, I7&gt;=10, 3.8, I7&gt;=5, 3, I7&gt;=2, 2.5, I7&gt;=0, 1.8, TRUE, 1.3))</f>
        <v>3.8</v>
      </c>
      <c r="O7" s="2" t="s">
        <v>2052</v>
      </c>
      <c r="P7" s="10">
        <v>0.75</v>
      </c>
      <c r="Q7" s="10" t="str">
        <f>_xlfn.IFS(Table1[[#This Row],[Rating]]&gt;=4, "Top Performer", Table1[[#This Row],[Rating]]&gt;=3, "Average", TRUE, "Needs Imporovement")</f>
        <v>Average</v>
      </c>
    </row>
    <row r="8" spans="1:17" x14ac:dyDescent="0.3">
      <c r="A8" s="2" t="s">
        <v>25</v>
      </c>
      <c r="B8" s="2" t="s">
        <v>26</v>
      </c>
      <c r="C8" s="2" t="s">
        <v>68</v>
      </c>
      <c r="D8" s="2">
        <v>52</v>
      </c>
      <c r="E8" s="2" t="str">
        <f>_xlfn.IFS(Table1[[#This Row],[Age]]&lt;30, "18-29", D8&lt;=45,"30-45", D8&lt;=55, "46-55", TRUE, "55+")</f>
        <v>46-55</v>
      </c>
      <c r="F8" s="2" t="s">
        <v>27</v>
      </c>
      <c r="G8" s="2" t="s">
        <v>28</v>
      </c>
      <c r="H8" s="2" t="s">
        <v>29</v>
      </c>
      <c r="I8" s="5">
        <v>10</v>
      </c>
      <c r="J8" s="5" t="str">
        <f>_xlfn.IFS(Table1[[#This Row],[Experience(Years)]]&lt;5, "Junior", I8&lt;=12, "Mid-Level", I8&lt;=20, "Senior", I8&lt;=30, "Super Senior", TRUE, "Expert")</f>
        <v>Mid-Level</v>
      </c>
      <c r="K8" s="7">
        <v>75</v>
      </c>
      <c r="L8" s="7">
        <f>Table1[[#This Row],[Hourly Rate]]*1000</f>
        <v>75000</v>
      </c>
      <c r="M8" s="7" t="str">
        <f t="shared" si="0"/>
        <v>Standard</v>
      </c>
      <c r="N8" s="8">
        <f>IF(ISNUMBER(#REF!),#REF!, _xlfn.IFS( I8&gt;=30, 5, I8&gt;=25, 4.8, I8&gt;=15, 4, I8&gt;=10, 3.8, I8&gt;=5, 3, I8&gt;=2, 2.5, I8&gt;=0, 1.8, TRUE, 1.3))</f>
        <v>3.8</v>
      </c>
      <c r="O8" s="2" t="s">
        <v>2052</v>
      </c>
      <c r="P8" s="10">
        <v>0.94</v>
      </c>
      <c r="Q8" s="10" t="str">
        <f>_xlfn.IFS(Table1[[#This Row],[Rating]]&gt;=4, "Top Performer", Table1[[#This Row],[Rating]]&gt;=3, "Average", TRUE, "Needs Imporovement")</f>
        <v>Average</v>
      </c>
    </row>
    <row r="9" spans="1:17" x14ac:dyDescent="0.3">
      <c r="A9" s="2" t="s">
        <v>30</v>
      </c>
      <c r="B9" s="2" t="s">
        <v>31</v>
      </c>
      <c r="C9" s="2" t="s">
        <v>68</v>
      </c>
      <c r="D9" s="2">
        <v>43</v>
      </c>
      <c r="E9" s="2" t="str">
        <f>_xlfn.IFS(Table1[[#This Row],[Age]]&lt;30, "18-29", D9&lt;=45,"30-45", D9&lt;=55, "46-55", TRUE, "55+")</f>
        <v>30-45</v>
      </c>
      <c r="F9" s="2" t="s">
        <v>2</v>
      </c>
      <c r="G9" s="2" t="s">
        <v>3</v>
      </c>
      <c r="H9" s="2" t="s">
        <v>4</v>
      </c>
      <c r="I9" s="5">
        <v>14</v>
      </c>
      <c r="J9" s="5" t="str">
        <f>_xlfn.IFS(Table1[[#This Row],[Experience(Years)]]&lt;5, "Junior", I9&lt;=12, "Mid-Level", I9&lt;=20, "Senior", I9&lt;=30, "Super Senior", TRUE, "Expert")</f>
        <v>Senior</v>
      </c>
      <c r="K9" s="7">
        <v>40</v>
      </c>
      <c r="L9" s="7">
        <f>Table1[[#This Row],[Hourly Rate]]*1000</f>
        <v>40000</v>
      </c>
      <c r="M9" s="7" t="str">
        <f t="shared" si="0"/>
        <v>Standard</v>
      </c>
      <c r="N9" s="2">
        <f>IF(ISNUMBER(#REF!),#REF!, _xlfn.IFS( I9&gt;=30, 5, I9&gt;=25, 4.8, I9&gt;=15, 4, I9&gt;=10, 3.8, I9&gt;=5, 3, I9&gt;=2, 2.5, I9&gt;=0, 1.8, TRUE, 1.3))</f>
        <v>3.8</v>
      </c>
      <c r="O9" s="2" t="s">
        <v>2052</v>
      </c>
      <c r="P9" s="10">
        <v>0.94</v>
      </c>
      <c r="Q9" s="10" t="str">
        <f>_xlfn.IFS(Table1[[#This Row],[Rating]]&gt;=4, "Top Performer", Table1[[#This Row],[Rating]]&gt;=3, "Average", TRUE, "Needs Imporovement")</f>
        <v>Average</v>
      </c>
    </row>
    <row r="10" spans="1:17" x14ac:dyDescent="0.3">
      <c r="A10" s="2" t="s">
        <v>32</v>
      </c>
      <c r="B10" s="2" t="s">
        <v>33</v>
      </c>
      <c r="C10" s="2" t="s">
        <v>68</v>
      </c>
      <c r="D10" s="2">
        <v>26</v>
      </c>
      <c r="E10" s="2" t="str">
        <f>_xlfn.IFS(Table1[[#This Row],[Age]]&lt;30, "18-29", D10&lt;=45,"30-45", D10&lt;=55, "46-55", TRUE, "55+")</f>
        <v>18-29</v>
      </c>
      <c r="F10" s="2" t="s">
        <v>34</v>
      </c>
      <c r="G10" s="2" t="s">
        <v>8</v>
      </c>
      <c r="H10" s="2" t="s">
        <v>4</v>
      </c>
      <c r="I10" s="5">
        <v>4</v>
      </c>
      <c r="J10" s="5" t="str">
        <f>_xlfn.IFS(Table1[[#This Row],[Experience(Years)]]&lt;5, "Junior", I10&lt;=12, "Mid-Level", I10&lt;=20, "Senior", I10&lt;=30, "Super Senior", TRUE, "Expert")</f>
        <v>Junior</v>
      </c>
      <c r="K10" s="7">
        <v>60</v>
      </c>
      <c r="L10" s="7">
        <f>Table1[[#This Row],[Hourly Rate]]*1000</f>
        <v>60000</v>
      </c>
      <c r="M10" s="7" t="str">
        <f t="shared" si="0"/>
        <v>Standard</v>
      </c>
      <c r="N10" s="2">
        <f>IF(ISNUMBER(#REF!),#REF!, _xlfn.IFS( I10&gt;=30, 5, I10&gt;=25, 4.8, I10&gt;=15, 4, I10&gt;=10, 3.8, I10&gt;=5, 3, I10&gt;=2, 2.5, I10&gt;=0, 1.8, TRUE, 1.3))</f>
        <v>2.5</v>
      </c>
      <c r="O10" s="2" t="s">
        <v>2053</v>
      </c>
      <c r="P10" s="10">
        <v>0.76</v>
      </c>
      <c r="Q10" s="10" t="str">
        <f>_xlfn.IFS(Table1[[#This Row],[Rating]]&gt;=4, "Top Performer", Table1[[#This Row],[Rating]]&gt;=3, "Average", TRUE, "Needs Imporovement")</f>
        <v>Needs Imporovement</v>
      </c>
    </row>
    <row r="11" spans="1:17" x14ac:dyDescent="0.3">
      <c r="A11" s="2" t="s">
        <v>35</v>
      </c>
      <c r="B11" s="2" t="s">
        <v>36</v>
      </c>
      <c r="C11" s="2" t="s">
        <v>68</v>
      </c>
      <c r="D11" s="2">
        <v>52</v>
      </c>
      <c r="E11" s="2" t="str">
        <f>_xlfn.IFS(Table1[[#This Row],[Age]]&lt;30, "18-29", D11&lt;=45,"30-45", D11&lt;=55, "46-55", TRUE, "55+")</f>
        <v>46-55</v>
      </c>
      <c r="F11" s="2" t="s">
        <v>37</v>
      </c>
      <c r="G11" s="2" t="s">
        <v>38</v>
      </c>
      <c r="H11" s="2" t="s">
        <v>24</v>
      </c>
      <c r="I11" s="5">
        <v>22</v>
      </c>
      <c r="J11" s="5" t="str">
        <f>_xlfn.IFS(Table1[[#This Row],[Experience(Years)]]&lt;5, "Junior", I11&lt;=12, "Mid-Level", I11&lt;=20, "Senior", I11&lt;=30, "Super Senior", TRUE, "Expert")</f>
        <v>Super Senior</v>
      </c>
      <c r="K11" s="7">
        <v>50</v>
      </c>
      <c r="L11" s="7">
        <f>Table1[[#This Row],[Hourly Rate]]*1000</f>
        <v>50000</v>
      </c>
      <c r="M11" s="7" t="str">
        <f t="shared" si="0"/>
        <v>Standard</v>
      </c>
      <c r="N11" s="2">
        <f>IF(ISNUMBER(#REF!),#REF!, _xlfn.IFS( I11&gt;=30, 5, I11&gt;=25, 4.8, I11&gt;=15, 4, I11&gt;=10, 3.8, I11&gt;=5, 3, I11&gt;=2, 2.5, I11&gt;=0, 1.8, TRUE, 1.3))</f>
        <v>4</v>
      </c>
      <c r="O11" s="2" t="s">
        <v>2053</v>
      </c>
      <c r="P11" s="10">
        <v>0.85</v>
      </c>
      <c r="Q11" s="10" t="str">
        <f>_xlfn.IFS(Table1[[#This Row],[Rating]]&gt;=4, "Top Performer", Table1[[#This Row],[Rating]]&gt;=3, "Average", TRUE, "Needs Imporovement")</f>
        <v>Top Performer</v>
      </c>
    </row>
    <row r="12" spans="1:17" x14ac:dyDescent="0.3">
      <c r="A12" s="2" t="s">
        <v>39</v>
      </c>
      <c r="B12" s="2" t="s">
        <v>40</v>
      </c>
      <c r="C12" s="2" t="s">
        <v>68</v>
      </c>
      <c r="D12" s="2">
        <v>40</v>
      </c>
      <c r="E12" s="2" t="str">
        <f>_xlfn.IFS(Table1[[#This Row],[Age]]&lt;30, "18-29", D12&lt;=45,"30-45", D12&lt;=55, "46-55", TRUE, "55+")</f>
        <v>30-45</v>
      </c>
      <c r="F12" s="2" t="s">
        <v>41</v>
      </c>
      <c r="G12" s="2" t="s">
        <v>8</v>
      </c>
      <c r="H12" s="2" t="s">
        <v>29</v>
      </c>
      <c r="J12" s="5" t="str">
        <f>_xlfn.IFS(Table1[[#This Row],[Experience(Years)]]&lt;5, "Junior", I12&lt;=12, "Mid-Level", I12&lt;=20, "Senior", I12&lt;=30, "Super Senior", TRUE, "Expert")</f>
        <v>Junior</v>
      </c>
      <c r="K12" s="7">
        <v>40</v>
      </c>
      <c r="L12" s="7">
        <f>Table1[[#This Row],[Hourly Rate]]*1000</f>
        <v>40000</v>
      </c>
      <c r="M12" s="7" t="str">
        <f t="shared" si="0"/>
        <v>Standard</v>
      </c>
      <c r="N12" s="2">
        <f>IF(ISNUMBER(#REF!),#REF!, _xlfn.IFS( I12&gt;=30, 5, I12&gt;=25, 4.8, I12&gt;=15, 4, I12&gt;=10, 3.8, I12&gt;=5, 3, I12&gt;=2, 2.5, I12&gt;=0, 1.8, TRUE, 1.3))</f>
        <v>1.8</v>
      </c>
      <c r="O12" s="2" t="s">
        <v>2053</v>
      </c>
      <c r="P12" s="10">
        <v>0.77</v>
      </c>
      <c r="Q12" s="10" t="str">
        <f>_xlfn.IFS(Table1[[#This Row],[Rating]]&gt;=4, "Top Performer", Table1[[#This Row],[Rating]]&gt;=3, "Average", TRUE, "Needs Imporovement")</f>
        <v>Needs Imporovement</v>
      </c>
    </row>
    <row r="13" spans="1:17" x14ac:dyDescent="0.3">
      <c r="A13" s="2" t="s">
        <v>42</v>
      </c>
      <c r="B13" s="2" t="s">
        <v>43</v>
      </c>
      <c r="C13" s="2" t="s">
        <v>49</v>
      </c>
      <c r="D13" s="2">
        <v>55</v>
      </c>
      <c r="E13" s="2" t="str">
        <f>_xlfn.IFS(Table1[[#This Row],[Age]]&lt;30, "18-29", D13&lt;=45,"30-45", D13&lt;=55, "46-55", TRUE, "55+")</f>
        <v>46-55</v>
      </c>
      <c r="F13" s="2" t="s">
        <v>44</v>
      </c>
      <c r="G13" s="2" t="s">
        <v>45</v>
      </c>
      <c r="H13" s="2" t="s">
        <v>46</v>
      </c>
      <c r="I13" s="5">
        <v>15</v>
      </c>
      <c r="J13" s="5" t="str">
        <f>_xlfn.IFS(Table1[[#This Row],[Experience(Years)]]&lt;5, "Junior", I13&lt;=12, "Mid-Level", I13&lt;=20, "Senior", I13&lt;=30, "Super Senior", TRUE, "Expert")</f>
        <v>Senior</v>
      </c>
      <c r="K13" s="7">
        <v>100</v>
      </c>
      <c r="L13" s="7">
        <f>Table1[[#This Row],[Hourly Rate]]*1000</f>
        <v>100000</v>
      </c>
      <c r="M13" s="7" t="str">
        <f t="shared" si="0"/>
        <v>Premium</v>
      </c>
      <c r="N13" s="2">
        <f>IF(ISNUMBER(#REF!),#REF!, _xlfn.IFS( I13&gt;=30, 5, I13&gt;=25, 4.8, I13&gt;=15, 4, I13&gt;=10, 3.8, I13&gt;=5, 3, I13&gt;=2, 2.5, I13&gt;=0, 1.8, TRUE, 1.3))</f>
        <v>4</v>
      </c>
      <c r="O13" s="2" t="s">
        <v>2053</v>
      </c>
      <c r="P13" s="10">
        <v>0.86</v>
      </c>
      <c r="Q13" s="10" t="str">
        <f>_xlfn.IFS(Table1[[#This Row],[Rating]]&gt;=4, "Top Performer", Table1[[#This Row],[Rating]]&gt;=3, "Average", TRUE, "Needs Imporovement")</f>
        <v>Top Performer</v>
      </c>
    </row>
    <row r="14" spans="1:17" x14ac:dyDescent="0.3">
      <c r="A14" s="2" t="s">
        <v>47</v>
      </c>
      <c r="B14" s="2" t="s">
        <v>48</v>
      </c>
      <c r="C14" s="2" t="s">
        <v>49</v>
      </c>
      <c r="D14" s="2">
        <v>57</v>
      </c>
      <c r="E14" s="2" t="str">
        <f>_xlfn.IFS(Table1[[#This Row],[Age]]&lt;30, "18-29", D14&lt;=45,"30-45", D14&lt;=55, "46-55", TRUE, "55+")</f>
        <v>55+</v>
      </c>
      <c r="F14" s="2" t="s">
        <v>41</v>
      </c>
      <c r="G14" s="2" t="s">
        <v>8</v>
      </c>
      <c r="H14" s="2" t="s">
        <v>50</v>
      </c>
      <c r="I14" s="5">
        <v>18</v>
      </c>
      <c r="J14" s="5" t="str">
        <f>_xlfn.IFS(Table1[[#This Row],[Experience(Years)]]&lt;5, "Junior", I14&lt;=12, "Mid-Level", I14&lt;=20, "Senior", I14&lt;=30, "Super Senior", TRUE, "Expert")</f>
        <v>Senior</v>
      </c>
      <c r="K14" s="7">
        <v>90</v>
      </c>
      <c r="L14" s="7">
        <f>Table1[[#This Row],[Hourly Rate]]*1000</f>
        <v>90000</v>
      </c>
      <c r="M14" s="7" t="str">
        <f t="shared" si="0"/>
        <v>Premium</v>
      </c>
      <c r="N14" s="2">
        <f>IF(ISNUMBER(#REF!),#REF!, _xlfn.IFS( I14&gt;=30, 5, I14&gt;=25, 4.8, I14&gt;=15, 4, I14&gt;=10, 3.8, I14&gt;=5, 3, I14&gt;=2, 2.5, I14&gt;=0, 1.8, TRUE, 1.3))</f>
        <v>4</v>
      </c>
      <c r="O14" s="2" t="s">
        <v>2052</v>
      </c>
      <c r="P14" s="10">
        <v>0.86</v>
      </c>
      <c r="Q14" s="10" t="str">
        <f>_xlfn.IFS(Table1[[#This Row],[Rating]]&gt;=4, "Top Performer", Table1[[#This Row],[Rating]]&gt;=3, "Average", TRUE, "Needs Imporovement")</f>
        <v>Top Performer</v>
      </c>
    </row>
    <row r="15" spans="1:17" x14ac:dyDescent="0.3">
      <c r="A15" s="2" t="s">
        <v>51</v>
      </c>
      <c r="B15" s="2" t="s">
        <v>52</v>
      </c>
      <c r="C15" s="2" t="s">
        <v>68</v>
      </c>
      <c r="D15" s="2">
        <v>38</v>
      </c>
      <c r="E15" s="2" t="str">
        <f>_xlfn.IFS(Table1[[#This Row],[Age]]&lt;30, "18-29", D15&lt;=45,"30-45", D15&lt;=55, "46-55", TRUE, "55+")</f>
        <v>30-45</v>
      </c>
      <c r="F15" s="2" t="s">
        <v>44</v>
      </c>
      <c r="G15" s="2" t="s">
        <v>45</v>
      </c>
      <c r="H15" s="2" t="s">
        <v>14</v>
      </c>
      <c r="I15" s="5">
        <v>20</v>
      </c>
      <c r="J15" s="5" t="str">
        <f>_xlfn.IFS(Table1[[#This Row],[Experience(Years)]]&lt;5, "Junior", I15&lt;=12, "Mid-Level", I15&lt;=20, "Senior", I15&lt;=30, "Super Senior", TRUE, "Expert")</f>
        <v>Senior</v>
      </c>
      <c r="K15" s="7">
        <v>75</v>
      </c>
      <c r="L15" s="7">
        <f>Table1[[#This Row],[Hourly Rate]]*1000</f>
        <v>75000</v>
      </c>
      <c r="M15" s="7" t="str">
        <f t="shared" si="0"/>
        <v>Standard</v>
      </c>
      <c r="N15" s="2">
        <f>IF(ISNUMBER(#REF!),#REF!, _xlfn.IFS( I15&gt;=30, 5, I15&gt;=25, 4.8, I15&gt;=15, 4, I15&gt;=10, 3.8, I15&gt;=5, 3, I15&gt;=2, 2.5, I15&gt;=0, 1.8, TRUE, 1.3))</f>
        <v>4</v>
      </c>
      <c r="O15" s="2" t="s">
        <v>2053</v>
      </c>
      <c r="P15" s="10">
        <v>0.93</v>
      </c>
      <c r="Q15" s="10" t="str">
        <f>_xlfn.IFS(Table1[[#This Row],[Rating]]&gt;=4, "Top Performer", Table1[[#This Row],[Rating]]&gt;=3, "Average", TRUE, "Needs Imporovement")</f>
        <v>Top Performer</v>
      </c>
    </row>
    <row r="16" spans="1:17" x14ac:dyDescent="0.3">
      <c r="A16" s="2" t="s">
        <v>53</v>
      </c>
      <c r="B16" s="2" t="s">
        <v>54</v>
      </c>
      <c r="C16" s="2" t="s">
        <v>68</v>
      </c>
      <c r="D16" s="2">
        <v>50</v>
      </c>
      <c r="E16" s="2" t="str">
        <f>_xlfn.IFS(Table1[[#This Row],[Age]]&lt;30, "18-29", D16&lt;=45,"30-45", D16&lt;=55, "46-55", TRUE, "55+")</f>
        <v>46-55</v>
      </c>
      <c r="F16" s="2" t="s">
        <v>12</v>
      </c>
      <c r="G16" s="2" t="s">
        <v>13</v>
      </c>
      <c r="H16" s="2" t="s">
        <v>29</v>
      </c>
      <c r="I16" s="5">
        <v>22</v>
      </c>
      <c r="J16" s="5" t="str">
        <f>_xlfn.IFS(Table1[[#This Row],[Experience(Years)]]&lt;5, "Junior", I16&lt;=12, "Mid-Level", I16&lt;=20, "Senior", I16&lt;=30, "Super Senior", TRUE, "Expert")</f>
        <v>Super Senior</v>
      </c>
      <c r="K16" s="7">
        <v>75</v>
      </c>
      <c r="L16" s="7">
        <f>Table1[[#This Row],[Hourly Rate]]*1000</f>
        <v>75000</v>
      </c>
      <c r="M16" s="7" t="str">
        <f t="shared" si="0"/>
        <v>Standard</v>
      </c>
      <c r="N16" s="2">
        <f>IF(ISNUMBER(#REF!),#REF!, _xlfn.IFS( I16&gt;=30, 5, I16&gt;=25, 4.8, I16&gt;=15, 4, I16&gt;=10, 3.8, I16&gt;=5, 3, I16&gt;=2, 2.5, I16&gt;=0, 1.8, TRUE, 1.3))</f>
        <v>4</v>
      </c>
      <c r="O16" s="2" t="s">
        <v>2053</v>
      </c>
      <c r="P16" s="10">
        <v>0.7</v>
      </c>
      <c r="Q16" s="10" t="str">
        <f>_xlfn.IFS(Table1[[#This Row],[Rating]]&gt;=4, "Top Performer", Table1[[#This Row],[Rating]]&gt;=3, "Average", TRUE, "Needs Imporovement")</f>
        <v>Top Performer</v>
      </c>
    </row>
    <row r="17" spans="1:17" x14ac:dyDescent="0.3">
      <c r="A17" s="2" t="s">
        <v>55</v>
      </c>
      <c r="B17" s="2" t="s">
        <v>56</v>
      </c>
      <c r="C17" s="2" t="s">
        <v>68</v>
      </c>
      <c r="D17" s="2">
        <v>42</v>
      </c>
      <c r="E17" s="2" t="str">
        <f>_xlfn.IFS(Table1[[#This Row],[Age]]&lt;30, "18-29", D17&lt;=45,"30-45", D17&lt;=55, "46-55", TRUE, "55+")</f>
        <v>30-45</v>
      </c>
      <c r="F17" s="2" t="s">
        <v>57</v>
      </c>
      <c r="G17" s="2" t="s">
        <v>58</v>
      </c>
      <c r="H17" s="2" t="s">
        <v>29</v>
      </c>
      <c r="I17" s="5">
        <v>0</v>
      </c>
      <c r="J17" s="5" t="str">
        <f>_xlfn.IFS(Table1[[#This Row],[Experience(Years)]]&lt;5, "Junior", I17&lt;=12, "Mid-Level", I17&lt;=20, "Senior", I17&lt;=30, "Super Senior", TRUE, "Expert")</f>
        <v>Junior</v>
      </c>
      <c r="K17" s="7">
        <v>30</v>
      </c>
      <c r="L17" s="7">
        <f>Table1[[#This Row],[Hourly Rate]]*1000</f>
        <v>30000</v>
      </c>
      <c r="M17" s="7" t="str">
        <f t="shared" si="0"/>
        <v>Budget</v>
      </c>
      <c r="N17" s="2">
        <f>IF(ISNUMBER(#REF!),#REF!, _xlfn.IFS( I17&gt;=30, 5, I17&gt;=25, 4.8, I17&gt;=15, 4, I17&gt;=10, 3.8, I17&gt;=5, 3, I17&gt;=2, 2.5, I17&gt;=0, 1.8, TRUE, 1.3))</f>
        <v>1.8</v>
      </c>
      <c r="O17" s="2" t="s">
        <v>2052</v>
      </c>
      <c r="P17" s="10">
        <v>0.69</v>
      </c>
      <c r="Q17" s="10" t="str">
        <f>_xlfn.IFS(Table1[[#This Row],[Rating]]&gt;=4, "Top Performer", Table1[[#This Row],[Rating]]&gt;=3, "Average", TRUE, "Needs Imporovement")</f>
        <v>Needs Imporovement</v>
      </c>
    </row>
    <row r="18" spans="1:17" x14ac:dyDescent="0.3">
      <c r="A18" s="2" t="s">
        <v>59</v>
      </c>
      <c r="B18" s="2" t="s">
        <v>60</v>
      </c>
      <c r="C18" s="2" t="s">
        <v>49</v>
      </c>
      <c r="D18" s="2">
        <v>39</v>
      </c>
      <c r="E18" s="2" t="str">
        <f>_xlfn.IFS(Table1[[#This Row],[Age]]&lt;30, "18-29", D18&lt;=45,"30-45", D18&lt;=55, "46-55", TRUE, "55+")</f>
        <v>30-45</v>
      </c>
      <c r="F18" s="2" t="s">
        <v>7</v>
      </c>
      <c r="G18" s="2" t="s">
        <v>8</v>
      </c>
      <c r="H18" s="2" t="s">
        <v>61</v>
      </c>
      <c r="I18" s="5">
        <v>13</v>
      </c>
      <c r="J18" s="5" t="str">
        <f>_xlfn.IFS(Table1[[#This Row],[Experience(Years)]]&lt;5, "Junior", I18&lt;=12, "Mid-Level", I18&lt;=20, "Senior", I18&lt;=30, "Super Senior", TRUE, "Expert")</f>
        <v>Senior</v>
      </c>
      <c r="K18" s="7">
        <v>30</v>
      </c>
      <c r="L18" s="7">
        <f>Table1[[#This Row],[Hourly Rate]]*1000</f>
        <v>30000</v>
      </c>
      <c r="M18" s="7" t="str">
        <f t="shared" si="0"/>
        <v>Budget</v>
      </c>
      <c r="N18" s="2">
        <f>IF(ISNUMBER(#REF!),#REF!, _xlfn.IFS( I18&gt;=30, 5, I18&gt;=25, 4.8, I18&gt;=15, 4, I18&gt;=10, 3.8, I18&gt;=5, 3, I18&gt;=2, 2.5, I18&gt;=0, 1.8, TRUE, 1.3))</f>
        <v>3.8</v>
      </c>
      <c r="O18" s="2" t="s">
        <v>2052</v>
      </c>
      <c r="P18" s="10">
        <v>0.6</v>
      </c>
      <c r="Q18" s="10" t="str">
        <f>_xlfn.IFS(Table1[[#This Row],[Rating]]&gt;=4, "Top Performer", Table1[[#This Row],[Rating]]&gt;=3, "Average", TRUE, "Needs Imporovement")</f>
        <v>Average</v>
      </c>
    </row>
    <row r="19" spans="1:17" x14ac:dyDescent="0.3">
      <c r="A19" s="2" t="s">
        <v>62</v>
      </c>
      <c r="B19" s="2" t="s">
        <v>63</v>
      </c>
      <c r="C19" s="2" t="s">
        <v>68</v>
      </c>
      <c r="D19" s="2">
        <v>56</v>
      </c>
      <c r="E19" s="2" t="str">
        <f>_xlfn.IFS(Table1[[#This Row],[Age]]&lt;30, "18-29", D19&lt;=45,"30-45", D19&lt;=55, "46-55", TRUE, "55+")</f>
        <v>55+</v>
      </c>
      <c r="F19" s="2" t="s">
        <v>64</v>
      </c>
      <c r="G19" s="2" t="s">
        <v>65</v>
      </c>
      <c r="H19" s="2" t="s">
        <v>4</v>
      </c>
      <c r="I19" s="5">
        <v>10</v>
      </c>
      <c r="J19" s="5" t="str">
        <f>_xlfn.IFS(Table1[[#This Row],[Experience(Years)]]&lt;5, "Junior", I19&lt;=12, "Mid-Level", I19&lt;=20, "Senior", I19&lt;=30, "Super Senior", TRUE, "Expert")</f>
        <v>Mid-Level</v>
      </c>
      <c r="K19" s="7">
        <v>50</v>
      </c>
      <c r="L19" s="7">
        <f>Table1[[#This Row],[Hourly Rate]]*1000</f>
        <v>50000</v>
      </c>
      <c r="M19" s="7" t="str">
        <f t="shared" si="0"/>
        <v>Standard</v>
      </c>
      <c r="N19" s="2">
        <f>IF(ISNUMBER(#REF!),#REF!, _xlfn.IFS( I19&gt;=30, 5, I19&gt;=25, 4.8, I19&gt;=15, 4, I19&gt;=10, 3.8, I19&gt;=5, 3, I19&gt;=2, 2.5, I19&gt;=0, 1.8, TRUE, 1.3))</f>
        <v>3.8</v>
      </c>
      <c r="O19" s="2" t="str">
        <f>IF(AND( Table1[[#This Row],[Rating]]&gt;=3.5, Table1[[#This Row],[Experience(Years)]]&gt;=15), "Active", "Inactive")</f>
        <v>Inactive</v>
      </c>
      <c r="P19" s="10">
        <v>0.87</v>
      </c>
      <c r="Q19" s="10" t="str">
        <f>_xlfn.IFS(Table1[[#This Row],[Rating]]&gt;=4, "Top Performer", Table1[[#This Row],[Rating]]&gt;=3, "Average", TRUE, "Needs Imporovement")</f>
        <v>Average</v>
      </c>
    </row>
    <row r="20" spans="1:17" x14ac:dyDescent="0.3">
      <c r="A20" s="2" t="s">
        <v>66</v>
      </c>
      <c r="B20" s="2" t="s">
        <v>67</v>
      </c>
      <c r="C20" s="2" t="s">
        <v>68</v>
      </c>
      <c r="D20" s="2">
        <v>56</v>
      </c>
      <c r="E20" s="2" t="str">
        <f>_xlfn.IFS(Table1[[#This Row],[Age]]&lt;30, "18-29", D20&lt;=45,"30-45", D20&lt;=55, "46-55", TRUE, "55+")</f>
        <v>55+</v>
      </c>
      <c r="F20" s="2" t="s">
        <v>34</v>
      </c>
      <c r="G20" s="2" t="s">
        <v>8</v>
      </c>
      <c r="H20" s="2" t="s">
        <v>46</v>
      </c>
      <c r="I20" s="5">
        <v>31</v>
      </c>
      <c r="J20" s="5" t="str">
        <f>_xlfn.IFS(Table1[[#This Row],[Experience(Years)]]&lt;5, "Junior", I20&lt;=12, "Mid-Level", I20&lt;=20, "Senior", I20&lt;=30, "Super Senior", TRUE, "Expert")</f>
        <v>Expert</v>
      </c>
      <c r="K20" s="7">
        <v>50</v>
      </c>
      <c r="L20" s="7">
        <f>Table1[[#This Row],[Hourly Rate]]*1000</f>
        <v>50000</v>
      </c>
      <c r="M20" s="7" t="str">
        <f t="shared" si="0"/>
        <v>Standard</v>
      </c>
      <c r="N20" s="2">
        <f>IF(ISNUMBER(#REF!),#REF!, _xlfn.IFS( I20&gt;=30, 5, I20&gt;=25, 4.8, I20&gt;=15, 4, I20&gt;=10, 3.8, I20&gt;=5, 3, I20&gt;=2, 2.5, I20&gt;=0, 1.8, TRUE, 1.3))</f>
        <v>5</v>
      </c>
      <c r="O20" s="2" t="str">
        <f>IF(AND( Table1[[#This Row],[Rating]]&gt;=3.5, Table1[[#This Row],[Experience(Years)]]&gt;=15), "Active", "Inactive")</f>
        <v>Active</v>
      </c>
      <c r="P20" s="10">
        <v>0.75</v>
      </c>
      <c r="Q20" s="10" t="str">
        <f>_xlfn.IFS(Table1[[#This Row],[Rating]]&gt;=4, "Top Performer", Table1[[#This Row],[Rating]]&gt;=3, "Average", TRUE, "Needs Imporovement")</f>
        <v>Top Performer</v>
      </c>
    </row>
    <row r="21" spans="1:17" x14ac:dyDescent="0.3">
      <c r="A21" s="2" t="s">
        <v>69</v>
      </c>
      <c r="B21" s="2" t="s">
        <v>70</v>
      </c>
      <c r="C21" s="2" t="s">
        <v>68</v>
      </c>
      <c r="D21" s="2">
        <v>57</v>
      </c>
      <c r="E21" s="2" t="str">
        <f>_xlfn.IFS(Table1[[#This Row],[Age]]&lt;30, "18-29", D21&lt;=45,"30-45", D21&lt;=55, "46-55", TRUE, "55+")</f>
        <v>55+</v>
      </c>
      <c r="F21" s="2" t="s">
        <v>2</v>
      </c>
      <c r="G21" s="2" t="s">
        <v>3</v>
      </c>
      <c r="H21" s="2" t="s">
        <v>17</v>
      </c>
      <c r="I21" s="5">
        <v>3</v>
      </c>
      <c r="J21" s="5" t="str">
        <f>_xlfn.IFS(Table1[[#This Row],[Experience(Years)]]&lt;5, "Junior", I21&lt;=12, "Mid-Level", I21&lt;=20, "Senior", I21&lt;=30, "Super Senior", TRUE, "Expert")</f>
        <v>Junior</v>
      </c>
      <c r="K21" s="7">
        <v>100</v>
      </c>
      <c r="L21" s="7">
        <f>Table1[[#This Row],[Hourly Rate]]*1000</f>
        <v>100000</v>
      </c>
      <c r="M21" s="7" t="str">
        <f t="shared" si="0"/>
        <v>Premium</v>
      </c>
      <c r="N21" s="2">
        <f>IF(ISNUMBER(#REF!),#REF!, _xlfn.IFS( I21&gt;=30, 5, I21&gt;=25, 4.8, I21&gt;=15, 4, I21&gt;=10, 3.8, I21&gt;=5, 3, I21&gt;=2, 2.5, I21&gt;=0, 1.8, TRUE, 1.3))</f>
        <v>2.5</v>
      </c>
      <c r="O21" s="2" t="s">
        <v>2053</v>
      </c>
      <c r="P21" s="10">
        <v>0.68</v>
      </c>
      <c r="Q21" s="10" t="str">
        <f>_xlfn.IFS(Table1[[#This Row],[Rating]]&gt;=4, "Top Performer", Table1[[#This Row],[Rating]]&gt;=3, "Average", TRUE, "Needs Imporovement")</f>
        <v>Needs Imporovement</v>
      </c>
    </row>
    <row r="22" spans="1:17" x14ac:dyDescent="0.3">
      <c r="A22" s="2" t="s">
        <v>71</v>
      </c>
      <c r="B22" s="2" t="s">
        <v>72</v>
      </c>
      <c r="C22" s="2" t="s">
        <v>68</v>
      </c>
      <c r="D22" s="2">
        <v>52</v>
      </c>
      <c r="E22" s="2" t="str">
        <f>_xlfn.IFS(Table1[[#This Row],[Age]]&lt;30, "18-29", D22&lt;=45,"30-45", D22&lt;=55, "46-55", TRUE, "55+")</f>
        <v>46-55</v>
      </c>
      <c r="F22" s="2" t="s">
        <v>27</v>
      </c>
      <c r="G22" s="2" t="s">
        <v>28</v>
      </c>
      <c r="H22" s="2" t="s">
        <v>24</v>
      </c>
      <c r="I22" s="5">
        <v>9</v>
      </c>
      <c r="J22" s="5" t="str">
        <f>_xlfn.IFS(Table1[[#This Row],[Experience(Years)]]&lt;5, "Junior", I22&lt;=12, "Mid-Level", I22&lt;=20, "Senior", I22&lt;=30, "Super Senior", TRUE, "Expert")</f>
        <v>Mid-Level</v>
      </c>
      <c r="K22" s="7">
        <v>50</v>
      </c>
      <c r="L22" s="7">
        <f>Table1[[#This Row],[Hourly Rate]]*1000</f>
        <v>50000</v>
      </c>
      <c r="M22" s="7" t="str">
        <f t="shared" si="0"/>
        <v>Standard</v>
      </c>
      <c r="N22" s="2">
        <f>IF(ISNUMBER(#REF!),#REF!, _xlfn.IFS( I22&gt;=30, 5, I22&gt;=25, 4.8, I22&gt;=15, 4, I22&gt;=10, 3.8, I22&gt;=5, 3, I22&gt;=2, 2.5, I22&gt;=0, 1.8, TRUE, 1.3))</f>
        <v>3</v>
      </c>
      <c r="O22" s="2" t="s">
        <v>2052</v>
      </c>
      <c r="P22" s="10">
        <v>0.65</v>
      </c>
      <c r="Q22" s="10" t="str">
        <f>_xlfn.IFS(Table1[[#This Row],[Rating]]&gt;=4, "Top Performer", Table1[[#This Row],[Rating]]&gt;=3, "Average", TRUE, "Needs Imporovement")</f>
        <v>Average</v>
      </c>
    </row>
    <row r="23" spans="1:17" x14ac:dyDescent="0.3">
      <c r="A23" s="2" t="s">
        <v>73</v>
      </c>
      <c r="B23" s="2" t="s">
        <v>74</v>
      </c>
      <c r="C23" s="2" t="s">
        <v>68</v>
      </c>
      <c r="D23" s="2">
        <v>51</v>
      </c>
      <c r="E23" s="2" t="str">
        <f>_xlfn.IFS(Table1[[#This Row],[Age]]&lt;30, "18-29", D23&lt;=45,"30-45", D23&lt;=55, "46-55", TRUE, "55+")</f>
        <v>46-55</v>
      </c>
      <c r="F23" s="2" t="s">
        <v>57</v>
      </c>
      <c r="G23" s="2" t="s">
        <v>58</v>
      </c>
      <c r="H23" s="2" t="s">
        <v>61</v>
      </c>
      <c r="I23" s="5">
        <v>15</v>
      </c>
      <c r="J23" s="5" t="str">
        <f>_xlfn.IFS(Table1[[#This Row],[Experience(Years)]]&lt;5, "Junior", I23&lt;=12, "Mid-Level", I23&lt;=20, "Senior", I23&lt;=30, "Super Senior", TRUE, "Expert")</f>
        <v>Senior</v>
      </c>
      <c r="K23" s="7">
        <v>50</v>
      </c>
      <c r="L23" s="7">
        <f>Table1[[#This Row],[Hourly Rate]]*1000</f>
        <v>50000</v>
      </c>
      <c r="M23" s="7" t="str">
        <f t="shared" si="0"/>
        <v>Standard</v>
      </c>
      <c r="N23" s="2">
        <f>IF(ISNUMBER(#REF!),#REF!, _xlfn.IFS( I23&gt;=30, 5, I23&gt;=25, 4.8, I23&gt;=15, 4, I23&gt;=10, 3.8, I23&gt;=5, 3, I23&gt;=2, 2.5, I23&gt;=0, 1.8, TRUE, 1.3))</f>
        <v>4</v>
      </c>
      <c r="O23" s="2" t="s">
        <v>2052</v>
      </c>
      <c r="P23" s="10">
        <v>0.69</v>
      </c>
      <c r="Q23" s="10" t="str">
        <f>_xlfn.IFS(Table1[[#This Row],[Rating]]&gt;=4, "Top Performer", Table1[[#This Row],[Rating]]&gt;=3, "Average", TRUE, "Needs Imporovement")</f>
        <v>Top Performer</v>
      </c>
    </row>
    <row r="24" spans="1:17" x14ac:dyDescent="0.3">
      <c r="A24" s="2" t="s">
        <v>75</v>
      </c>
      <c r="B24" s="2" t="s">
        <v>76</v>
      </c>
      <c r="C24" s="2" t="s">
        <v>68</v>
      </c>
      <c r="D24" s="2">
        <v>51</v>
      </c>
      <c r="E24" s="2" t="str">
        <f>_xlfn.IFS(Table1[[#This Row],[Age]]&lt;30, "18-29", D24&lt;=45,"30-45", D24&lt;=55, "46-55", TRUE, "55+")</f>
        <v>46-55</v>
      </c>
      <c r="F24" s="2" t="s">
        <v>77</v>
      </c>
      <c r="G24" s="2" t="s">
        <v>78</v>
      </c>
      <c r="H24" s="2" t="s">
        <v>50</v>
      </c>
      <c r="I24" s="5">
        <v>21</v>
      </c>
      <c r="J24" s="5" t="str">
        <f>_xlfn.IFS(Table1[[#This Row],[Experience(Years)]]&lt;5, "Junior", I24&lt;=12, "Mid-Level", I24&lt;=20, "Senior", I24&lt;=30, "Super Senior", TRUE, "Expert")</f>
        <v>Super Senior</v>
      </c>
      <c r="K24" s="7">
        <v>30</v>
      </c>
      <c r="L24" s="7">
        <f>Table1[[#This Row],[Hourly Rate]]*1000</f>
        <v>30000</v>
      </c>
      <c r="M24" s="7" t="str">
        <f t="shared" si="0"/>
        <v>Budget</v>
      </c>
      <c r="N24" s="2">
        <f>IF(ISNUMBER(#REF!),#REF!, _xlfn.IFS( I24&gt;=30, 5, I24&gt;=25, 4.8, I24&gt;=15, 4, I24&gt;=10, 3.8, I24&gt;=5, 3, I24&gt;=2, 2.5, I24&gt;=0, 1.8, TRUE, 1.3))</f>
        <v>4</v>
      </c>
      <c r="O24" s="2" t="s">
        <v>2052</v>
      </c>
      <c r="P24" s="10">
        <v>0.85</v>
      </c>
      <c r="Q24" s="10" t="str">
        <f>_xlfn.IFS(Table1[[#This Row],[Rating]]&gt;=4, "Top Performer", Table1[[#This Row],[Rating]]&gt;=3, "Average", TRUE, "Needs Imporovement")</f>
        <v>Top Performer</v>
      </c>
    </row>
    <row r="25" spans="1:17" x14ac:dyDescent="0.3">
      <c r="A25" s="2" t="s">
        <v>79</v>
      </c>
      <c r="B25" s="2" t="s">
        <v>80</v>
      </c>
      <c r="C25" s="2" t="s">
        <v>49</v>
      </c>
      <c r="D25" s="2">
        <v>51</v>
      </c>
      <c r="E25" s="2" t="str">
        <f>_xlfn.IFS(Table1[[#This Row],[Age]]&lt;30, "18-29", D25&lt;=45,"30-45", D25&lt;=55, "46-55", TRUE, "55+")</f>
        <v>46-55</v>
      </c>
      <c r="F25" s="2" t="s">
        <v>81</v>
      </c>
      <c r="G25" s="2" t="s">
        <v>82</v>
      </c>
      <c r="H25" s="2" t="s">
        <v>83</v>
      </c>
      <c r="I25" s="5">
        <v>15</v>
      </c>
      <c r="J25" s="5" t="str">
        <f>_xlfn.IFS(Table1[[#This Row],[Experience(Years)]]&lt;5, "Junior", I25&lt;=12, "Mid-Level", I25&lt;=20, "Senior", I25&lt;=30, "Super Senior", TRUE, "Expert")</f>
        <v>Senior</v>
      </c>
      <c r="K25" s="7">
        <v>50</v>
      </c>
      <c r="L25" s="7">
        <f>Table1[[#This Row],[Hourly Rate]]*1000</f>
        <v>50000</v>
      </c>
      <c r="M25" s="7" t="str">
        <f t="shared" si="0"/>
        <v>Standard</v>
      </c>
      <c r="N25" s="2">
        <f>IF(ISNUMBER(#REF!),#REF!, _xlfn.IFS( I25&gt;=30, 5, I25&gt;=25, 4.8, I25&gt;=15, 4, I25&gt;=10, 3.8, I25&gt;=5, 3, I25&gt;=2, 2.5, I25&gt;=0, 1.8, TRUE, 1.3))</f>
        <v>4</v>
      </c>
      <c r="O25" s="2" t="s">
        <v>2053</v>
      </c>
      <c r="P25" s="10">
        <v>1</v>
      </c>
      <c r="Q25" s="10" t="str">
        <f>_xlfn.IFS(Table1[[#This Row],[Rating]]&gt;=4, "Top Performer", Table1[[#This Row],[Rating]]&gt;=3, "Average", TRUE, "Needs Imporovement")</f>
        <v>Top Performer</v>
      </c>
    </row>
    <row r="26" spans="1:17" x14ac:dyDescent="0.3">
      <c r="A26" s="2" t="s">
        <v>84</v>
      </c>
      <c r="B26" s="2" t="s">
        <v>85</v>
      </c>
      <c r="C26" s="2" t="s">
        <v>49</v>
      </c>
      <c r="D26" s="2">
        <v>54</v>
      </c>
      <c r="E26" s="2" t="str">
        <f>_xlfn.IFS(Table1[[#This Row],[Age]]&lt;30, "18-29", D26&lt;=45,"30-45", D26&lt;=55, "46-55", TRUE, "55+")</f>
        <v>46-55</v>
      </c>
      <c r="F26" s="2" t="s">
        <v>27</v>
      </c>
      <c r="G26" s="2" t="s">
        <v>28</v>
      </c>
      <c r="H26" s="2" t="s">
        <v>83</v>
      </c>
      <c r="I26" s="5">
        <v>13</v>
      </c>
      <c r="J26" s="5" t="str">
        <f>_xlfn.IFS(Table1[[#This Row],[Experience(Years)]]&lt;5, "Junior", I26&lt;=12, "Mid-Level", I26&lt;=20, "Senior", I26&lt;=30, "Super Senior", TRUE, "Expert")</f>
        <v>Senior</v>
      </c>
      <c r="K26" s="7">
        <v>75</v>
      </c>
      <c r="L26" s="7">
        <f>Table1[[#This Row],[Hourly Rate]]*1000</f>
        <v>75000</v>
      </c>
      <c r="M26" s="7" t="str">
        <f t="shared" si="0"/>
        <v>Standard</v>
      </c>
      <c r="N26" s="2">
        <f>IF(ISNUMBER(#REF!),#REF!, _xlfn.IFS( I26&gt;=30, 5, I26&gt;=25, 4.8, I26&gt;=15, 4, I26&gt;=10, 3.8, I26&gt;=5, 3, I26&gt;=2, 2.5, I26&gt;=0, 1.8, TRUE, 1.3))</f>
        <v>3.8</v>
      </c>
      <c r="O26" s="2" t="str">
        <f>IF(AND( Table1[[#This Row],[Rating]]&gt;=3.5, Table1[[#This Row],[Experience(Years)]]&gt;=15), "Active", "Inactive")</f>
        <v>Inactive</v>
      </c>
      <c r="P26" s="10">
        <v>0.92</v>
      </c>
      <c r="Q26" s="10" t="str">
        <f>_xlfn.IFS(Table1[[#This Row],[Rating]]&gt;=4, "Top Performer", Table1[[#This Row],[Rating]]&gt;=3, "Average", TRUE, "Needs Imporovement")</f>
        <v>Average</v>
      </c>
    </row>
    <row r="27" spans="1:17" x14ac:dyDescent="0.3">
      <c r="A27" s="2" t="s">
        <v>86</v>
      </c>
      <c r="B27" s="2" t="s">
        <v>87</v>
      </c>
      <c r="C27" s="2" t="s">
        <v>49</v>
      </c>
      <c r="D27" s="2">
        <v>22</v>
      </c>
      <c r="E27" s="2" t="str">
        <f>_xlfn.IFS(Table1[[#This Row],[Age]]&lt;30, "18-29", D27&lt;=45,"30-45", D27&lt;=55, "46-55", TRUE, "55+")</f>
        <v>18-29</v>
      </c>
      <c r="F27" s="2" t="s">
        <v>81</v>
      </c>
      <c r="G27" s="2" t="s">
        <v>82</v>
      </c>
      <c r="H27" s="2" t="s">
        <v>61</v>
      </c>
      <c r="I27" s="5">
        <v>0</v>
      </c>
      <c r="J27" s="5" t="str">
        <f>_xlfn.IFS(Table1[[#This Row],[Experience(Years)]]&lt;5, "Junior", I27&lt;=12, "Mid-Level", I27&lt;=20, "Senior", I27&lt;=30, "Super Senior", TRUE, "Expert")</f>
        <v>Junior</v>
      </c>
      <c r="K27" s="7">
        <v>30</v>
      </c>
      <c r="L27" s="7">
        <f>Table1[[#This Row],[Hourly Rate]]*1000</f>
        <v>30000</v>
      </c>
      <c r="M27" s="7" t="str">
        <f t="shared" si="0"/>
        <v>Budget</v>
      </c>
      <c r="N27" s="2">
        <f>IF(ISNUMBER(#REF!),#REF!, _xlfn.IFS( I27&gt;=30, 5, I27&gt;=25, 4.8, I27&gt;=15, 4, I27&gt;=10, 3.8, I27&gt;=5, 3, I27&gt;=2, 2.5, I27&gt;=0, 1.8, TRUE, 1.3))</f>
        <v>1.8</v>
      </c>
      <c r="O27" s="2" t="s">
        <v>2053</v>
      </c>
      <c r="P27" s="10">
        <v>0.7</v>
      </c>
      <c r="Q27" s="10" t="str">
        <f>_xlfn.IFS(Table1[[#This Row],[Rating]]&gt;=4, "Top Performer", Table1[[#This Row],[Rating]]&gt;=3, "Average", TRUE, "Needs Imporovement")</f>
        <v>Needs Imporovement</v>
      </c>
    </row>
    <row r="28" spans="1:17" x14ac:dyDescent="0.3">
      <c r="A28" s="2" t="s">
        <v>88</v>
      </c>
      <c r="B28" s="2" t="s">
        <v>89</v>
      </c>
      <c r="C28" s="2" t="s">
        <v>49</v>
      </c>
      <c r="D28" s="2">
        <v>34</v>
      </c>
      <c r="E28" s="2" t="str">
        <f>_xlfn.IFS(Table1[[#This Row],[Age]]&lt;30, "18-29", D28&lt;=45,"30-45", D28&lt;=55, "46-55", TRUE, "55+")</f>
        <v>30-45</v>
      </c>
      <c r="F28" s="2" t="s">
        <v>57</v>
      </c>
      <c r="G28" s="2" t="s">
        <v>58</v>
      </c>
      <c r="H28" s="2" t="s">
        <v>4</v>
      </c>
      <c r="I28" s="5">
        <v>8</v>
      </c>
      <c r="J28" s="5" t="str">
        <f>_xlfn.IFS(Table1[[#This Row],[Experience(Years)]]&lt;5, "Junior", I28&lt;=12, "Mid-Level", I28&lt;=20, "Senior", I28&lt;=30, "Super Senior", TRUE, "Expert")</f>
        <v>Mid-Level</v>
      </c>
      <c r="K28" s="7">
        <v>20</v>
      </c>
      <c r="L28" s="7">
        <f>Table1[[#This Row],[Hourly Rate]]*1000</f>
        <v>20000</v>
      </c>
      <c r="M28" s="7" t="str">
        <f t="shared" si="0"/>
        <v>Budget</v>
      </c>
      <c r="N28" s="2">
        <f>IF(ISNUMBER(#REF!),#REF!, _xlfn.IFS( I28&gt;=30, 5, I28&gt;=25, 4.8, I28&gt;=15, 4, I28&gt;=10, 3.8, I28&gt;=5, 3, I28&gt;=2, 2.5, I28&gt;=0, 1.8, TRUE, 1.3))</f>
        <v>3</v>
      </c>
      <c r="O28" s="2" t="s">
        <v>2053</v>
      </c>
      <c r="P28" s="10">
        <v>0.89</v>
      </c>
      <c r="Q28" s="10" t="str">
        <f>_xlfn.IFS(Table1[[#This Row],[Rating]]&gt;=4, "Top Performer", Table1[[#This Row],[Rating]]&gt;=3, "Average", TRUE, "Needs Imporovement")</f>
        <v>Average</v>
      </c>
    </row>
    <row r="29" spans="1:17" x14ac:dyDescent="0.3">
      <c r="A29" s="2" t="s">
        <v>90</v>
      </c>
      <c r="B29" s="2" t="s">
        <v>91</v>
      </c>
      <c r="C29" s="2" t="s">
        <v>49</v>
      </c>
      <c r="D29" s="2">
        <v>36</v>
      </c>
      <c r="E29" s="2" t="str">
        <f>_xlfn.IFS(Table1[[#This Row],[Age]]&lt;30, "18-29", D29&lt;=45,"30-45", D29&lt;=55, "46-55", TRUE, "55+")</f>
        <v>30-45</v>
      </c>
      <c r="F29" s="2" t="s">
        <v>92</v>
      </c>
      <c r="G29" s="2" t="s">
        <v>93</v>
      </c>
      <c r="H29" s="2" t="s">
        <v>14</v>
      </c>
      <c r="I29" s="5">
        <v>11</v>
      </c>
      <c r="J29" s="5" t="str">
        <f>_xlfn.IFS(Table1[[#This Row],[Experience(Years)]]&lt;5, "Junior", I29&lt;=12, "Mid-Level", I29&lt;=20, "Senior", I29&lt;=30, "Super Senior", TRUE, "Expert")</f>
        <v>Mid-Level</v>
      </c>
      <c r="K29" s="7">
        <v>60</v>
      </c>
      <c r="L29" s="7">
        <f>Table1[[#This Row],[Hourly Rate]]*1000</f>
        <v>60000</v>
      </c>
      <c r="M29" s="7" t="str">
        <f t="shared" si="0"/>
        <v>Standard</v>
      </c>
      <c r="N29" s="2">
        <f>IF(ISNUMBER(#REF!),#REF!, _xlfn.IFS( I29&gt;=30, 5, I29&gt;=25, 4.8, I29&gt;=15, 4, I29&gt;=10, 3.8, I29&gt;=5, 3, I29&gt;=2, 2.5, I29&gt;=0, 1.8, TRUE, 1.3))</f>
        <v>3.8</v>
      </c>
      <c r="O29" s="2" t="s">
        <v>2053</v>
      </c>
      <c r="P29" s="10">
        <v>0.86</v>
      </c>
      <c r="Q29" s="10" t="str">
        <f>_xlfn.IFS(Table1[[#This Row],[Rating]]&gt;=4, "Top Performer", Table1[[#This Row],[Rating]]&gt;=3, "Average", TRUE, "Needs Imporovement")</f>
        <v>Average</v>
      </c>
    </row>
    <row r="30" spans="1:17" x14ac:dyDescent="0.3">
      <c r="A30" s="2" t="s">
        <v>94</v>
      </c>
      <c r="B30" s="2" t="s">
        <v>95</v>
      </c>
      <c r="C30" s="2" t="s">
        <v>49</v>
      </c>
      <c r="D30" s="2">
        <v>47</v>
      </c>
      <c r="E30" s="2" t="str">
        <f>_xlfn.IFS(Table1[[#This Row],[Age]]&lt;30, "18-29", D30&lt;=45,"30-45", D30&lt;=55, "46-55", TRUE, "55+")</f>
        <v>46-55</v>
      </c>
      <c r="F30" s="2" t="s">
        <v>96</v>
      </c>
      <c r="G30" s="2" t="s">
        <v>8</v>
      </c>
      <c r="H30" s="2" t="s">
        <v>24</v>
      </c>
      <c r="I30" s="5">
        <v>22</v>
      </c>
      <c r="J30" s="5" t="str">
        <f>_xlfn.IFS(Table1[[#This Row],[Experience(Years)]]&lt;5, "Junior", I30&lt;=12, "Mid-Level", I30&lt;=20, "Senior", I30&lt;=30, "Super Senior", TRUE, "Expert")</f>
        <v>Super Senior</v>
      </c>
      <c r="K30" s="7">
        <v>30</v>
      </c>
      <c r="L30" s="7">
        <f>Table1[[#This Row],[Hourly Rate]]*1000</f>
        <v>30000</v>
      </c>
      <c r="M30" s="7" t="str">
        <f t="shared" si="0"/>
        <v>Budget</v>
      </c>
      <c r="N30" s="2">
        <f>IF(ISNUMBER(#REF!),#REF!, _xlfn.IFS( I30&gt;=30, 5, I30&gt;=25, 4.8, I30&gt;=15, 4, I30&gt;=10, 3.8, I30&gt;=5, 3, I30&gt;=2, 2.5, I30&gt;=0, 1.8, TRUE, 1.3))</f>
        <v>4</v>
      </c>
      <c r="O30" s="2" t="s">
        <v>2052</v>
      </c>
      <c r="P30" s="10">
        <v>0.62</v>
      </c>
      <c r="Q30" s="10" t="str">
        <f>_xlfn.IFS(Table1[[#This Row],[Rating]]&gt;=4, "Top Performer", Table1[[#This Row],[Rating]]&gt;=3, "Average", TRUE, "Needs Imporovement")</f>
        <v>Top Performer</v>
      </c>
    </row>
    <row r="31" spans="1:17" x14ac:dyDescent="0.3">
      <c r="A31" s="2" t="s">
        <v>97</v>
      </c>
      <c r="B31" s="2" t="s">
        <v>98</v>
      </c>
      <c r="C31" s="2" t="s">
        <v>49</v>
      </c>
      <c r="D31" s="2">
        <v>41</v>
      </c>
      <c r="E31" s="2" t="str">
        <f>_xlfn.IFS(Table1[[#This Row],[Age]]&lt;30, "18-29", D31&lt;=45,"30-45", D31&lt;=55, "46-55", TRUE, "55+")</f>
        <v>30-45</v>
      </c>
      <c r="F31" s="2" t="s">
        <v>22</v>
      </c>
      <c r="G31" s="2" t="s">
        <v>23</v>
      </c>
      <c r="H31" s="2" t="s">
        <v>29</v>
      </c>
      <c r="I31" s="5">
        <v>14</v>
      </c>
      <c r="J31" s="5" t="str">
        <f>_xlfn.IFS(Table1[[#This Row],[Experience(Years)]]&lt;5, "Junior", I31&lt;=12, "Mid-Level", I31&lt;=20, "Senior", I31&lt;=30, "Super Senior", TRUE, "Expert")</f>
        <v>Senior</v>
      </c>
      <c r="K31" s="7">
        <v>75</v>
      </c>
      <c r="L31" s="7">
        <f>Table1[[#This Row],[Hourly Rate]]*1000</f>
        <v>75000</v>
      </c>
      <c r="M31" s="7" t="str">
        <f t="shared" si="0"/>
        <v>Standard</v>
      </c>
      <c r="N31" s="2">
        <f>IF(ISNUMBER(#REF!),#REF!, _xlfn.IFS( I31&gt;=30, 5, I31&gt;=25, 4.8, I31&gt;=15, 4, I31&gt;=10, 3.8, I31&gt;=5, 3, I31&gt;=2, 2.5, I31&gt;=0, 1.8, TRUE, 1.3))</f>
        <v>3.8</v>
      </c>
      <c r="O31" s="2" t="s">
        <v>2052</v>
      </c>
      <c r="P31" s="10">
        <v>0.75</v>
      </c>
      <c r="Q31" s="10" t="str">
        <f>_xlfn.IFS(Table1[[#This Row],[Rating]]&gt;=4, "Top Performer", Table1[[#This Row],[Rating]]&gt;=3, "Average", TRUE, "Needs Imporovement")</f>
        <v>Average</v>
      </c>
    </row>
    <row r="32" spans="1:17" x14ac:dyDescent="0.3">
      <c r="A32" s="2" t="s">
        <v>99</v>
      </c>
      <c r="B32" s="2" t="s">
        <v>100</v>
      </c>
      <c r="C32" s="2" t="s">
        <v>68</v>
      </c>
      <c r="D32" s="2">
        <v>22</v>
      </c>
      <c r="E32" s="2" t="str">
        <f>_xlfn.IFS(Table1[[#This Row],[Age]]&lt;30, "18-29", D32&lt;=45,"30-45", D32&lt;=55, "46-55", TRUE, "55+")</f>
        <v>18-29</v>
      </c>
      <c r="F32" s="2" t="s">
        <v>22</v>
      </c>
      <c r="G32" s="2" t="s">
        <v>23</v>
      </c>
      <c r="H32" s="2" t="s">
        <v>61</v>
      </c>
      <c r="I32" s="5">
        <v>4</v>
      </c>
      <c r="J32" s="5" t="str">
        <f>_xlfn.IFS(Table1[[#This Row],[Experience(Years)]]&lt;5, "Junior", I32&lt;=12, "Mid-Level", I32&lt;=20, "Senior", I32&lt;=30, "Super Senior", TRUE, "Expert")</f>
        <v>Junior</v>
      </c>
      <c r="K32" s="7">
        <v>40</v>
      </c>
      <c r="L32" s="7">
        <f>Table1[[#This Row],[Hourly Rate]]*1000</f>
        <v>40000</v>
      </c>
      <c r="M32" s="7" t="str">
        <f t="shared" si="0"/>
        <v>Standard</v>
      </c>
      <c r="N32" s="2">
        <f>IF(ISNUMBER(#REF!),#REF!, _xlfn.IFS( I32&gt;=30, 5, I32&gt;=25, 4.8, I32&gt;=15, 4, I32&gt;=10, 3.8, I32&gt;=5, 3, I32&gt;=2, 2.5, I32&gt;=0, 1.8, TRUE, 1.3))</f>
        <v>2.5</v>
      </c>
      <c r="O32" s="2" t="s">
        <v>2053</v>
      </c>
      <c r="P32" s="10">
        <v>0.35</v>
      </c>
      <c r="Q32" s="10" t="str">
        <f>_xlfn.IFS(Table1[[#This Row],[Rating]]&gt;=4, "Top Performer", Table1[[#This Row],[Rating]]&gt;=3, "Average", TRUE, "Needs Imporovement")</f>
        <v>Needs Imporovement</v>
      </c>
    </row>
    <row r="33" spans="1:17" x14ac:dyDescent="0.3">
      <c r="A33" s="2" t="s">
        <v>101</v>
      </c>
      <c r="B33" s="2" t="s">
        <v>102</v>
      </c>
      <c r="C33" s="2" t="s">
        <v>68</v>
      </c>
      <c r="D33" s="2">
        <v>38</v>
      </c>
      <c r="E33" s="2" t="str">
        <f>_xlfn.IFS(Table1[[#This Row],[Age]]&lt;30, "18-29", D33&lt;=45,"30-45", D33&lt;=55, "46-55", TRUE, "55+")</f>
        <v>30-45</v>
      </c>
      <c r="F33" s="2" t="s">
        <v>103</v>
      </c>
      <c r="G33" s="2" t="s">
        <v>104</v>
      </c>
      <c r="H33" s="2" t="s">
        <v>83</v>
      </c>
      <c r="I33" s="5">
        <v>19</v>
      </c>
      <c r="J33" s="5" t="str">
        <f>_xlfn.IFS(Table1[[#This Row],[Experience(Years)]]&lt;5, "Junior", I33&lt;=12, "Mid-Level", I33&lt;=20, "Senior", I33&lt;=30, "Super Senior", TRUE, "Expert")</f>
        <v>Senior</v>
      </c>
      <c r="K33" s="7">
        <v>100</v>
      </c>
      <c r="L33" s="7">
        <f>Table1[[#This Row],[Hourly Rate]]*1000</f>
        <v>100000</v>
      </c>
      <c r="M33" s="7" t="str">
        <f t="shared" si="0"/>
        <v>Premium</v>
      </c>
      <c r="N33" s="2">
        <f>IF(ISNUMBER(#REF!),#REF!, _xlfn.IFS( I33&gt;=30, 5, I33&gt;=25, 4.8, I33&gt;=15, 4, I33&gt;=10, 3.8, I33&gt;=5, 3, I33&gt;=2, 2.5, I33&gt;=0, 1.8, TRUE, 1.3))</f>
        <v>4</v>
      </c>
      <c r="O33" s="2" t="s">
        <v>2052</v>
      </c>
      <c r="P33" s="10">
        <v>0.68</v>
      </c>
      <c r="Q33" s="10" t="str">
        <f>_xlfn.IFS(Table1[[#This Row],[Rating]]&gt;=4, "Top Performer", Table1[[#This Row],[Rating]]&gt;=3, "Average", TRUE, "Needs Imporovement")</f>
        <v>Top Performer</v>
      </c>
    </row>
    <row r="34" spans="1:17" x14ac:dyDescent="0.3">
      <c r="A34" s="2" t="s">
        <v>105</v>
      </c>
      <c r="B34" s="2" t="s">
        <v>106</v>
      </c>
      <c r="C34" s="2" t="s">
        <v>68</v>
      </c>
      <c r="D34" s="2">
        <v>46</v>
      </c>
      <c r="E34" s="2" t="str">
        <f>_xlfn.IFS(Table1[[#This Row],[Age]]&lt;30, "18-29", D34&lt;=45,"30-45", D34&lt;=55, "46-55", TRUE, "55+")</f>
        <v>46-55</v>
      </c>
      <c r="F34" s="2" t="s">
        <v>107</v>
      </c>
      <c r="G34" s="2" t="s">
        <v>108</v>
      </c>
      <c r="H34" s="2" t="s">
        <v>24</v>
      </c>
      <c r="I34" s="5">
        <v>9</v>
      </c>
      <c r="J34" s="5" t="str">
        <f>_xlfn.IFS(Table1[[#This Row],[Experience(Years)]]&lt;5, "Junior", I34&lt;=12, "Mid-Level", I34&lt;=20, "Senior", I34&lt;=30, "Super Senior", TRUE, "Expert")</f>
        <v>Mid-Level</v>
      </c>
      <c r="K34" s="7">
        <v>20</v>
      </c>
      <c r="L34" s="7">
        <f>Table1[[#This Row],[Hourly Rate]]*1000</f>
        <v>20000</v>
      </c>
      <c r="M34" s="7" t="str">
        <f t="shared" si="0"/>
        <v>Budget</v>
      </c>
      <c r="N34" s="2">
        <f>IF(ISNUMBER(#REF!),#REF!, _xlfn.IFS( I34&gt;=30, 5, I34&gt;=25, 4.8, I34&gt;=15, 4, I34&gt;=10, 3.8, I34&gt;=5, 3, I34&gt;=2, 2.5, I34&gt;=0, 1.8, TRUE, 1.3))</f>
        <v>3</v>
      </c>
      <c r="O34" s="2" t="s">
        <v>2053</v>
      </c>
      <c r="P34" s="10">
        <v>0.76</v>
      </c>
      <c r="Q34" s="10" t="str">
        <f>_xlfn.IFS(Table1[[#This Row],[Rating]]&gt;=4, "Top Performer", Table1[[#This Row],[Rating]]&gt;=3, "Average", TRUE, "Needs Imporovement")</f>
        <v>Average</v>
      </c>
    </row>
    <row r="35" spans="1:17" x14ac:dyDescent="0.3">
      <c r="A35" s="2" t="s">
        <v>109</v>
      </c>
      <c r="B35" s="2" t="s">
        <v>110</v>
      </c>
      <c r="C35" s="2" t="s">
        <v>68</v>
      </c>
      <c r="D35" s="2">
        <v>52</v>
      </c>
      <c r="E35" s="2" t="str">
        <f>_xlfn.IFS(Table1[[#This Row],[Age]]&lt;30, "18-29", D35&lt;=45,"30-45", D35&lt;=55, "46-55", TRUE, "55+")</f>
        <v>46-55</v>
      </c>
      <c r="F35" s="2" t="s">
        <v>81</v>
      </c>
      <c r="G35" s="2" t="s">
        <v>82</v>
      </c>
      <c r="H35" s="2" t="s">
        <v>24</v>
      </c>
      <c r="I35" s="5">
        <v>9</v>
      </c>
      <c r="J35" s="5" t="str">
        <f>_xlfn.IFS(Table1[[#This Row],[Experience(Years)]]&lt;5, "Junior", I35&lt;=12, "Mid-Level", I35&lt;=20, "Senior", I35&lt;=30, "Super Senior", TRUE, "Expert")</f>
        <v>Mid-Level</v>
      </c>
      <c r="K35" s="7">
        <v>40</v>
      </c>
      <c r="L35" s="7">
        <f>Table1[[#This Row],[Hourly Rate]]*1000</f>
        <v>40000</v>
      </c>
      <c r="M35" s="7" t="str">
        <f t="shared" si="0"/>
        <v>Standard</v>
      </c>
      <c r="N35" s="2">
        <f>IF(ISNUMBER(#REF!),#REF!, _xlfn.IFS( I35&gt;=30, 5, I35&gt;=25, 4.8, I35&gt;=15, 4, I35&gt;=10, 3.8, I35&gt;=5, 3, I35&gt;=2, 2.5, I35&gt;=0, 1.8, TRUE, 1.3))</f>
        <v>3</v>
      </c>
      <c r="O35" s="2" t="s">
        <v>2053</v>
      </c>
      <c r="P35" s="10">
        <v>0.82</v>
      </c>
      <c r="Q35" s="10" t="str">
        <f>_xlfn.IFS(Table1[[#This Row],[Rating]]&gt;=4, "Top Performer", Table1[[#This Row],[Rating]]&gt;=3, "Average", TRUE, "Needs Imporovement")</f>
        <v>Average</v>
      </c>
    </row>
    <row r="36" spans="1:17" x14ac:dyDescent="0.3">
      <c r="A36" s="2" t="s">
        <v>111</v>
      </c>
      <c r="B36" s="2" t="s">
        <v>112</v>
      </c>
      <c r="C36" s="2" t="s">
        <v>49</v>
      </c>
      <c r="D36" s="2">
        <v>54</v>
      </c>
      <c r="E36" s="2" t="str">
        <f>_xlfn.IFS(Table1[[#This Row],[Age]]&lt;30, "18-29", D36&lt;=45,"30-45", D36&lt;=55, "46-55", TRUE, "55+")</f>
        <v>46-55</v>
      </c>
      <c r="F36" s="2" t="s">
        <v>34</v>
      </c>
      <c r="G36" s="2" t="s">
        <v>8</v>
      </c>
      <c r="H36" s="2" t="s">
        <v>17</v>
      </c>
      <c r="I36" s="5">
        <v>32</v>
      </c>
      <c r="J36" s="5" t="str">
        <f>_xlfn.IFS(Table1[[#This Row],[Experience(Years)]]&lt;5, "Junior", I36&lt;=12, "Mid-Level", I36&lt;=20, "Senior", I36&lt;=30, "Super Senior", TRUE, "Expert")</f>
        <v>Expert</v>
      </c>
      <c r="K36" s="7">
        <v>75</v>
      </c>
      <c r="L36" s="7">
        <f>Table1[[#This Row],[Hourly Rate]]*1000</f>
        <v>75000</v>
      </c>
      <c r="M36" s="7" t="str">
        <f t="shared" si="0"/>
        <v>Standard</v>
      </c>
      <c r="N36" s="2">
        <f>IF(ISNUMBER(#REF!),#REF!, _xlfn.IFS( I36&gt;=30, 5, I36&gt;=25, 4.8, I36&gt;=15, 4, I36&gt;=10, 3.8, I36&gt;=5, 3, I36&gt;=2, 2.5, I36&gt;=0, 1.8, TRUE, 1.3))</f>
        <v>5</v>
      </c>
      <c r="O36" s="2" t="s">
        <v>2053</v>
      </c>
      <c r="P36" s="10">
        <v>0.81</v>
      </c>
      <c r="Q36" s="10" t="str">
        <f>_xlfn.IFS(Table1[[#This Row],[Rating]]&gt;=4, "Top Performer", Table1[[#This Row],[Rating]]&gt;=3, "Average", TRUE, "Needs Imporovement")</f>
        <v>Top Performer</v>
      </c>
    </row>
    <row r="37" spans="1:17" x14ac:dyDescent="0.3">
      <c r="A37" s="2" t="s">
        <v>113</v>
      </c>
      <c r="B37" s="2" t="s">
        <v>114</v>
      </c>
      <c r="C37" s="2" t="s">
        <v>49</v>
      </c>
      <c r="D37" s="2">
        <v>52</v>
      </c>
      <c r="E37" s="2" t="str">
        <f>_xlfn.IFS(Table1[[#This Row],[Age]]&lt;30, "18-29", D37&lt;=45,"30-45", D37&lt;=55, "46-55", TRUE, "55+")</f>
        <v>46-55</v>
      </c>
      <c r="F37" s="2" t="s">
        <v>81</v>
      </c>
      <c r="G37" s="2" t="s">
        <v>82</v>
      </c>
      <c r="H37" s="2" t="s">
        <v>17</v>
      </c>
      <c r="I37" s="5">
        <v>28</v>
      </c>
      <c r="J37" s="5" t="str">
        <f>_xlfn.IFS(Table1[[#This Row],[Experience(Years)]]&lt;5, "Junior", I37&lt;=12, "Mid-Level", I37&lt;=20, "Senior", I37&lt;=30, "Super Senior", TRUE, "Expert")</f>
        <v>Super Senior</v>
      </c>
      <c r="K37" s="7">
        <v>20</v>
      </c>
      <c r="L37" s="7">
        <f>Table1[[#This Row],[Hourly Rate]]*1000</f>
        <v>20000</v>
      </c>
      <c r="M37" s="7" t="str">
        <f t="shared" si="0"/>
        <v>Budget</v>
      </c>
      <c r="N37" s="2">
        <f>IF(ISNUMBER(#REF!),#REF!, _xlfn.IFS( I37&gt;=30, 5, I37&gt;=25, 4.8, I37&gt;=15, 4, I37&gt;=10, 3.8, I37&gt;=5, 3, I37&gt;=2, 2.5, I37&gt;=0, 1.8, TRUE, 1.3))</f>
        <v>4.8</v>
      </c>
      <c r="O37" s="2" t="s">
        <v>2052</v>
      </c>
      <c r="P37" s="10">
        <v>0.9</v>
      </c>
      <c r="Q37" s="10" t="str">
        <f>_xlfn.IFS(Table1[[#This Row],[Rating]]&gt;=4, "Top Performer", Table1[[#This Row],[Rating]]&gt;=3, "Average", TRUE, "Needs Imporovement")</f>
        <v>Top Performer</v>
      </c>
    </row>
    <row r="38" spans="1:17" x14ac:dyDescent="0.3">
      <c r="A38" s="2" t="s">
        <v>115</v>
      </c>
      <c r="B38" s="2" t="s">
        <v>116</v>
      </c>
      <c r="C38" s="2" t="s">
        <v>49</v>
      </c>
      <c r="D38" s="2">
        <v>42</v>
      </c>
      <c r="E38" s="2" t="str">
        <f>_xlfn.IFS(Table1[[#This Row],[Age]]&lt;30, "18-29", D38&lt;=45,"30-45", D38&lt;=55, "46-55", TRUE, "55+")</f>
        <v>30-45</v>
      </c>
      <c r="F38" s="2" t="s">
        <v>57</v>
      </c>
      <c r="G38" s="2" t="s">
        <v>58</v>
      </c>
      <c r="H38" s="2" t="s">
        <v>9</v>
      </c>
      <c r="I38" s="5">
        <v>6</v>
      </c>
      <c r="J38" s="5" t="str">
        <f>_xlfn.IFS(Table1[[#This Row],[Experience(Years)]]&lt;5, "Junior", I38&lt;=12, "Mid-Level", I38&lt;=20, "Senior", I38&lt;=30, "Super Senior", TRUE, "Expert")</f>
        <v>Mid-Level</v>
      </c>
      <c r="K38" s="7">
        <v>40</v>
      </c>
      <c r="L38" s="7">
        <f>Table1[[#This Row],[Hourly Rate]]*1000</f>
        <v>40000</v>
      </c>
      <c r="M38" s="7" t="str">
        <f t="shared" si="0"/>
        <v>Standard</v>
      </c>
      <c r="N38" s="2">
        <f>IF(ISNUMBER(#REF!),#REF!, _xlfn.IFS( I38&gt;=30, 5, I38&gt;=25, 4.8, I38&gt;=15, 4, I38&gt;=10, 3.8, I38&gt;=5, 3, I38&gt;=2, 2.5, I38&gt;=0, 1.8, TRUE, 1.3))</f>
        <v>3</v>
      </c>
      <c r="O38" s="2" t="s">
        <v>2052</v>
      </c>
      <c r="P38" s="10">
        <v>0.63</v>
      </c>
      <c r="Q38" s="10" t="str">
        <f>_xlfn.IFS(Table1[[#This Row],[Rating]]&gt;=4, "Top Performer", Table1[[#This Row],[Rating]]&gt;=3, "Average", TRUE, "Needs Imporovement")</f>
        <v>Average</v>
      </c>
    </row>
    <row r="39" spans="1:17" x14ac:dyDescent="0.3">
      <c r="A39" s="2" t="s">
        <v>117</v>
      </c>
      <c r="B39" s="2" t="s">
        <v>118</v>
      </c>
      <c r="C39" s="2" t="s">
        <v>49</v>
      </c>
      <c r="D39" s="2">
        <v>29</v>
      </c>
      <c r="E39" s="2" t="str">
        <f>_xlfn.IFS(Table1[[#This Row],[Age]]&lt;30, "18-29", D39&lt;=45,"30-45", D39&lt;=55, "46-55", TRUE, "55+")</f>
        <v>18-29</v>
      </c>
      <c r="F39" s="2" t="s">
        <v>22</v>
      </c>
      <c r="G39" s="2" t="s">
        <v>23</v>
      </c>
      <c r="H39" s="2" t="s">
        <v>14</v>
      </c>
      <c r="I39" s="5">
        <v>10</v>
      </c>
      <c r="J39" s="5" t="str">
        <f>_xlfn.IFS(Table1[[#This Row],[Experience(Years)]]&lt;5, "Junior", I39&lt;=12, "Mid-Level", I39&lt;=20, "Senior", I39&lt;=30, "Super Senior", TRUE, "Expert")</f>
        <v>Mid-Level</v>
      </c>
      <c r="K39" s="7">
        <v>40</v>
      </c>
      <c r="L39" s="7">
        <f>Table1[[#This Row],[Hourly Rate]]*1000</f>
        <v>40000</v>
      </c>
      <c r="M39" s="7" t="str">
        <f t="shared" si="0"/>
        <v>Standard</v>
      </c>
      <c r="N39" s="2">
        <f>IF(ISNUMBER(#REF!),#REF!, _xlfn.IFS( I39&gt;=30, 5, I39&gt;=25, 4.8, I39&gt;=15, 4, I39&gt;=10, 3.8, I39&gt;=5, 3, I39&gt;=2, 2.5, I39&gt;=0, 1.8, TRUE, 1.3))</f>
        <v>3.8</v>
      </c>
      <c r="O39" s="2" t="s">
        <v>2052</v>
      </c>
      <c r="P39" s="10">
        <v>0.67</v>
      </c>
      <c r="Q39" s="10" t="str">
        <f>_xlfn.IFS(Table1[[#This Row],[Rating]]&gt;=4, "Top Performer", Table1[[#This Row],[Rating]]&gt;=3, "Average", TRUE, "Needs Imporovement")</f>
        <v>Average</v>
      </c>
    </row>
    <row r="40" spans="1:17" x14ac:dyDescent="0.3">
      <c r="A40" s="2" t="s">
        <v>119</v>
      </c>
      <c r="B40" s="2" t="s">
        <v>120</v>
      </c>
      <c r="C40" s="2" t="s">
        <v>49</v>
      </c>
      <c r="D40" s="2">
        <v>42</v>
      </c>
      <c r="E40" s="2" t="str">
        <f>_xlfn.IFS(Table1[[#This Row],[Age]]&lt;30, "18-29", D40&lt;=45,"30-45", D40&lt;=55, "46-55", TRUE, "55+")</f>
        <v>30-45</v>
      </c>
      <c r="F40" s="2" t="s">
        <v>121</v>
      </c>
      <c r="G40" s="2" t="s">
        <v>122</v>
      </c>
      <c r="H40" s="2" t="s">
        <v>9</v>
      </c>
      <c r="I40" s="5">
        <v>23</v>
      </c>
      <c r="J40" s="5" t="str">
        <f>_xlfn.IFS(Table1[[#This Row],[Experience(Years)]]&lt;5, "Junior", I40&lt;=12, "Mid-Level", I40&lt;=20, "Senior", I40&lt;=30, "Super Senior", TRUE, "Expert")</f>
        <v>Super Senior</v>
      </c>
      <c r="K40" s="7">
        <v>50</v>
      </c>
      <c r="L40" s="7">
        <f>Table1[[#This Row],[Hourly Rate]]*1000</f>
        <v>50000</v>
      </c>
      <c r="M40" s="7" t="str">
        <f t="shared" si="0"/>
        <v>Standard</v>
      </c>
      <c r="N40" s="2">
        <f>IF(ISNUMBER(#REF!),#REF!, _xlfn.IFS( I40&gt;=30, 5, I40&gt;=25, 4.8, I40&gt;=15, 4, I40&gt;=10, 3.8, I40&gt;=5, 3, I40&gt;=2, 2.5, I40&gt;=0, 1.8, TRUE, 1.3))</f>
        <v>4</v>
      </c>
      <c r="O40" s="2" t="s">
        <v>2053</v>
      </c>
      <c r="P40" s="10">
        <v>0.85</v>
      </c>
      <c r="Q40" s="10" t="str">
        <f>_xlfn.IFS(Table1[[#This Row],[Rating]]&gt;=4, "Top Performer", Table1[[#This Row],[Rating]]&gt;=3, "Average", TRUE, "Needs Imporovement")</f>
        <v>Top Performer</v>
      </c>
    </row>
    <row r="41" spans="1:17" x14ac:dyDescent="0.3">
      <c r="A41" s="2" t="s">
        <v>123</v>
      </c>
      <c r="B41" s="2" t="s">
        <v>124</v>
      </c>
      <c r="C41" s="2" t="s">
        <v>68</v>
      </c>
      <c r="D41" s="2">
        <v>60</v>
      </c>
      <c r="E41" s="2" t="str">
        <f>_xlfn.IFS(Table1[[#This Row],[Age]]&lt;30, "18-29", D41&lt;=45,"30-45", D41&lt;=55, "46-55", TRUE, "55+")</f>
        <v>55+</v>
      </c>
      <c r="F41" s="2" t="s">
        <v>57</v>
      </c>
      <c r="G41" s="2" t="s">
        <v>58</v>
      </c>
      <c r="H41" s="2" t="s">
        <v>17</v>
      </c>
      <c r="I41" s="5">
        <v>13</v>
      </c>
      <c r="J41" s="5" t="str">
        <f>_xlfn.IFS(Table1[[#This Row],[Experience(Years)]]&lt;5, "Junior", I41&lt;=12, "Mid-Level", I41&lt;=20, "Senior", I41&lt;=30, "Super Senior", TRUE, "Expert")</f>
        <v>Senior</v>
      </c>
      <c r="K41" s="7">
        <v>20</v>
      </c>
      <c r="L41" s="7">
        <f>Table1[[#This Row],[Hourly Rate]]*1000</f>
        <v>20000</v>
      </c>
      <c r="M41" s="7" t="str">
        <f t="shared" si="0"/>
        <v>Budget</v>
      </c>
      <c r="N41" s="2">
        <f>IF(ISNUMBER(#REF!),#REF!, _xlfn.IFS( I41&gt;=30, 5, I41&gt;=25, 4.8, I41&gt;=15, 4, I41&gt;=10, 3.8, I41&gt;=5, 3, I41&gt;=2, 2.5, I41&gt;=0, 1.8, TRUE, 1.3))</f>
        <v>3.8</v>
      </c>
      <c r="O41" s="2" t="s">
        <v>2052</v>
      </c>
      <c r="P41" s="10">
        <v>0.8</v>
      </c>
      <c r="Q41" s="10" t="str">
        <f>_xlfn.IFS(Table1[[#This Row],[Rating]]&gt;=4, "Top Performer", Table1[[#This Row],[Rating]]&gt;=3, "Average", TRUE, "Needs Imporovement")</f>
        <v>Average</v>
      </c>
    </row>
    <row r="42" spans="1:17" x14ac:dyDescent="0.3">
      <c r="A42" s="2" t="s">
        <v>125</v>
      </c>
      <c r="B42" s="2" t="s">
        <v>126</v>
      </c>
      <c r="C42" s="2" t="s">
        <v>49</v>
      </c>
      <c r="D42" s="2">
        <v>59</v>
      </c>
      <c r="E42" s="2" t="str">
        <f>_xlfn.IFS(Table1[[#This Row],[Age]]&lt;30, "18-29", D42&lt;=45,"30-45", D42&lt;=55, "46-55", TRUE, "55+")</f>
        <v>55+</v>
      </c>
      <c r="F42" s="2" t="s">
        <v>41</v>
      </c>
      <c r="G42" s="2" t="s">
        <v>8</v>
      </c>
      <c r="H42" s="2" t="s">
        <v>24</v>
      </c>
      <c r="I42" s="5">
        <v>3</v>
      </c>
      <c r="J42" s="5" t="str">
        <f>_xlfn.IFS(Table1[[#This Row],[Experience(Years)]]&lt;5, "Junior", I42&lt;=12, "Mid-Level", I42&lt;=20, "Senior", I42&lt;=30, "Super Senior", TRUE, "Expert")</f>
        <v>Junior</v>
      </c>
      <c r="K42" s="7">
        <v>50</v>
      </c>
      <c r="L42" s="7">
        <f>Table1[[#This Row],[Hourly Rate]]*1000</f>
        <v>50000</v>
      </c>
      <c r="M42" s="7" t="str">
        <f t="shared" si="0"/>
        <v>Standard</v>
      </c>
      <c r="N42" s="2">
        <f>IF(ISNUMBER(#REF!),#REF!, _xlfn.IFS( I42&gt;=30, 5, I42&gt;=25, 4.8, I42&gt;=15, 4, I42&gt;=10, 3.8, I42&gt;=5, 3, I42&gt;=2, 2.5, I42&gt;=0, 1.8, TRUE, 1.3))</f>
        <v>2.5</v>
      </c>
      <c r="O42" s="2" t="s">
        <v>2052</v>
      </c>
      <c r="P42" s="10">
        <v>0.35</v>
      </c>
      <c r="Q42" s="10" t="str">
        <f>_xlfn.IFS(Table1[[#This Row],[Rating]]&gt;=4, "Top Performer", Table1[[#This Row],[Rating]]&gt;=3, "Average", TRUE, "Needs Imporovement")</f>
        <v>Needs Imporovement</v>
      </c>
    </row>
    <row r="43" spans="1:17" x14ac:dyDescent="0.3">
      <c r="A43" s="2" t="s">
        <v>127</v>
      </c>
      <c r="B43" s="2" t="s">
        <v>128</v>
      </c>
      <c r="C43" s="2" t="s">
        <v>49</v>
      </c>
      <c r="D43" s="2">
        <v>21</v>
      </c>
      <c r="E43" s="2" t="str">
        <f>_xlfn.IFS(Table1[[#This Row],[Age]]&lt;30, "18-29", D43&lt;=45,"30-45", D43&lt;=55, "46-55", TRUE, "55+")</f>
        <v>18-29</v>
      </c>
      <c r="F43" s="2" t="s">
        <v>96</v>
      </c>
      <c r="G43" s="2" t="s">
        <v>8</v>
      </c>
      <c r="H43" s="2" t="s">
        <v>17</v>
      </c>
      <c r="I43" s="5">
        <v>0</v>
      </c>
      <c r="J43" s="5" t="str">
        <f>_xlfn.IFS(Table1[[#This Row],[Experience(Years)]]&lt;5, "Junior", I43&lt;=12, "Mid-Level", I43&lt;=20, "Senior", I43&lt;=30, "Super Senior", TRUE, "Expert")</f>
        <v>Junior</v>
      </c>
      <c r="K43" s="7">
        <v>30</v>
      </c>
      <c r="L43" s="7">
        <f>Table1[[#This Row],[Hourly Rate]]*1000</f>
        <v>30000</v>
      </c>
      <c r="M43" s="7" t="str">
        <f t="shared" si="0"/>
        <v>Budget</v>
      </c>
      <c r="N43" s="2">
        <f>IF(ISNUMBER(#REF!),#REF!, _xlfn.IFS( I43&gt;=30, 5, I43&gt;=25, 4.8, I43&gt;=15, 4, I43&gt;=10, 3.8, I43&gt;=5, 3, I43&gt;=2, 2.5, I43&gt;=0, 1.8, TRUE, 1.3))</f>
        <v>1.8</v>
      </c>
      <c r="O43" s="2" t="s">
        <v>2053</v>
      </c>
      <c r="P43" s="10">
        <v>0.84</v>
      </c>
      <c r="Q43" s="10" t="str">
        <f>_xlfn.IFS(Table1[[#This Row],[Rating]]&gt;=4, "Top Performer", Table1[[#This Row],[Rating]]&gt;=3, "Average", TRUE, "Needs Imporovement")</f>
        <v>Needs Imporovement</v>
      </c>
    </row>
    <row r="44" spans="1:17" x14ac:dyDescent="0.3">
      <c r="A44" s="2" t="s">
        <v>129</v>
      </c>
      <c r="B44" s="2" t="s">
        <v>130</v>
      </c>
      <c r="C44" s="2" t="s">
        <v>49</v>
      </c>
      <c r="D44" s="2">
        <v>35</v>
      </c>
      <c r="E44" s="2" t="str">
        <f>_xlfn.IFS(Table1[[#This Row],[Age]]&lt;30, "18-29", D44&lt;=45,"30-45", D44&lt;=55, "46-55", TRUE, "55+")</f>
        <v>30-45</v>
      </c>
      <c r="F44" s="2" t="s">
        <v>12</v>
      </c>
      <c r="G44" s="2" t="s">
        <v>13</v>
      </c>
      <c r="H44" s="2" t="s">
        <v>61</v>
      </c>
      <c r="I44" s="5">
        <v>10</v>
      </c>
      <c r="J44" s="5" t="str">
        <f>_xlfn.IFS(Table1[[#This Row],[Experience(Years)]]&lt;5, "Junior", I44&lt;=12, "Mid-Level", I44&lt;=20, "Senior", I44&lt;=30, "Super Senior", TRUE, "Expert")</f>
        <v>Mid-Level</v>
      </c>
      <c r="K44" s="7">
        <v>50</v>
      </c>
      <c r="L44" s="7">
        <f>Table1[[#This Row],[Hourly Rate]]*1000</f>
        <v>50000</v>
      </c>
      <c r="M44" s="7" t="str">
        <f t="shared" si="0"/>
        <v>Standard</v>
      </c>
      <c r="N44" s="2">
        <f>IF(ISNUMBER(#REF!),#REF!, _xlfn.IFS( I44&gt;=30, 5, I44&gt;=25, 4.8, I44&gt;=15, 4, I44&gt;=10, 3.8, I44&gt;=5, 3, I44&gt;=2, 2.5, I44&gt;=0, 1.8, TRUE, 1.3))</f>
        <v>3.8</v>
      </c>
      <c r="O44" s="2" t="s">
        <v>2052</v>
      </c>
      <c r="P44" s="10">
        <v>0.75</v>
      </c>
      <c r="Q44" s="10" t="str">
        <f>_xlfn.IFS(Table1[[#This Row],[Rating]]&gt;=4, "Top Performer", Table1[[#This Row],[Rating]]&gt;=3, "Average", TRUE, "Needs Imporovement")</f>
        <v>Average</v>
      </c>
    </row>
    <row r="45" spans="1:17" x14ac:dyDescent="0.3">
      <c r="A45" s="2" t="s">
        <v>131</v>
      </c>
      <c r="B45" s="2" t="s">
        <v>132</v>
      </c>
      <c r="C45" s="2" t="s">
        <v>68</v>
      </c>
      <c r="D45" s="2">
        <v>41</v>
      </c>
      <c r="E45" s="2" t="str">
        <f>_xlfn.IFS(Table1[[#This Row],[Age]]&lt;30, "18-29", D45&lt;=45,"30-45", D45&lt;=55, "46-55", TRUE, "55+")</f>
        <v>30-45</v>
      </c>
      <c r="F45" s="2" t="s">
        <v>41</v>
      </c>
      <c r="G45" s="2" t="s">
        <v>8</v>
      </c>
      <c r="H45" s="2" t="s">
        <v>29</v>
      </c>
      <c r="I45" s="5">
        <v>20</v>
      </c>
      <c r="J45" s="5" t="str">
        <f>_xlfn.IFS(Table1[[#This Row],[Experience(Years)]]&lt;5, "Junior", I45&lt;=12, "Mid-Level", I45&lt;=20, "Senior", I45&lt;=30, "Super Senior", TRUE, "Expert")</f>
        <v>Senior</v>
      </c>
      <c r="K45" s="7">
        <v>20</v>
      </c>
      <c r="L45" s="7">
        <f>Table1[[#This Row],[Hourly Rate]]*1000</f>
        <v>20000</v>
      </c>
      <c r="M45" s="7" t="str">
        <f t="shared" si="0"/>
        <v>Budget</v>
      </c>
      <c r="N45" s="2">
        <f>IF(ISNUMBER(#REF!),#REF!, _xlfn.IFS( I45&gt;=30, 5, I45&gt;=25, 4.8, I45&gt;=15, 4, I45&gt;=10, 3.8, I45&gt;=5, 3, I45&gt;=2, 2.5, I45&gt;=0, 1.8, TRUE, 1.3))</f>
        <v>4</v>
      </c>
      <c r="O45" s="2" t="s">
        <v>2053</v>
      </c>
      <c r="P45" s="10">
        <v>0.63</v>
      </c>
      <c r="Q45" s="10" t="str">
        <f>_xlfn.IFS(Table1[[#This Row],[Rating]]&gt;=4, "Top Performer", Table1[[#This Row],[Rating]]&gt;=3, "Average", TRUE, "Needs Imporovement")</f>
        <v>Top Performer</v>
      </c>
    </row>
    <row r="46" spans="1:17" x14ac:dyDescent="0.3">
      <c r="A46" s="2" t="s">
        <v>133</v>
      </c>
      <c r="B46" s="2" t="s">
        <v>134</v>
      </c>
      <c r="C46" s="2" t="s">
        <v>49</v>
      </c>
      <c r="D46" s="2">
        <v>51</v>
      </c>
      <c r="E46" s="2" t="str">
        <f>_xlfn.IFS(Table1[[#This Row],[Age]]&lt;30, "18-29", D46&lt;=45,"30-45", D46&lt;=55, "46-55", TRUE, "55+")</f>
        <v>46-55</v>
      </c>
      <c r="F46" s="2" t="s">
        <v>22</v>
      </c>
      <c r="G46" s="2" t="s">
        <v>23</v>
      </c>
      <c r="H46" s="2" t="s">
        <v>83</v>
      </c>
      <c r="I46" s="5">
        <v>23</v>
      </c>
      <c r="J46" s="5" t="str">
        <f>_xlfn.IFS(Table1[[#This Row],[Experience(Years)]]&lt;5, "Junior", I46&lt;=12, "Mid-Level", I46&lt;=20, "Senior", I46&lt;=30, "Super Senior", TRUE, "Expert")</f>
        <v>Super Senior</v>
      </c>
      <c r="K46" s="7">
        <v>20</v>
      </c>
      <c r="L46" s="7">
        <f>Table1[[#This Row],[Hourly Rate]]*1000</f>
        <v>20000</v>
      </c>
      <c r="M46" s="7" t="str">
        <f t="shared" si="0"/>
        <v>Budget</v>
      </c>
      <c r="N46" s="2">
        <f>IF(ISNUMBER(#REF!),#REF!, _xlfn.IFS( I46&gt;=30, 5, I46&gt;=25, 4.8, I46&gt;=15, 4, I46&gt;=10, 3.8, I46&gt;=5, 3, I46&gt;=2, 2.5, I46&gt;=0, 1.8, TRUE, 1.3))</f>
        <v>4</v>
      </c>
      <c r="O46" s="2" t="s">
        <v>2052</v>
      </c>
      <c r="P46" s="10">
        <v>0.8</v>
      </c>
      <c r="Q46" s="10" t="str">
        <f>_xlfn.IFS(Table1[[#This Row],[Rating]]&gt;=4, "Top Performer", Table1[[#This Row],[Rating]]&gt;=3, "Average", TRUE, "Needs Imporovement")</f>
        <v>Top Performer</v>
      </c>
    </row>
    <row r="47" spans="1:17" x14ac:dyDescent="0.3">
      <c r="A47" s="2" t="s">
        <v>135</v>
      </c>
      <c r="B47" s="2" t="s">
        <v>136</v>
      </c>
      <c r="C47" s="2" t="s">
        <v>68</v>
      </c>
      <c r="D47" s="2">
        <v>41</v>
      </c>
      <c r="E47" s="2" t="str">
        <f>_xlfn.IFS(Table1[[#This Row],[Age]]&lt;30, "18-29", D47&lt;=45,"30-45", D47&lt;=55, "46-55", TRUE, "55+")</f>
        <v>30-45</v>
      </c>
      <c r="F47" s="2" t="s">
        <v>121</v>
      </c>
      <c r="G47" s="2" t="s">
        <v>122</v>
      </c>
      <c r="H47" s="2" t="s">
        <v>17</v>
      </c>
      <c r="I47" s="5">
        <v>9</v>
      </c>
      <c r="J47" s="5" t="str">
        <f>_xlfn.IFS(Table1[[#This Row],[Experience(Years)]]&lt;5, "Junior", I47&lt;=12, "Mid-Level", I47&lt;=20, "Senior", I47&lt;=30, "Super Senior", TRUE, "Expert")</f>
        <v>Mid-Level</v>
      </c>
      <c r="K47" s="7">
        <v>75</v>
      </c>
      <c r="L47" s="7">
        <f>Table1[[#This Row],[Hourly Rate]]*1000</f>
        <v>75000</v>
      </c>
      <c r="M47" s="7" t="str">
        <f t="shared" si="0"/>
        <v>Standard</v>
      </c>
      <c r="N47" s="2">
        <f>IF(ISNUMBER(#REF!),#REF!, _xlfn.IFS( I47&gt;=30, 5, I47&gt;=25, 4.8, I47&gt;=15, 4, I47&gt;=10, 3.8, I47&gt;=5, 3, I47&gt;=2, 2.5, I47&gt;=0, 1.8, TRUE, 1.3))</f>
        <v>3</v>
      </c>
      <c r="O47" s="2" t="s">
        <v>2053</v>
      </c>
      <c r="P47" s="10">
        <v>0.74</v>
      </c>
      <c r="Q47" s="10" t="str">
        <f>_xlfn.IFS(Table1[[#This Row],[Rating]]&gt;=4, "Top Performer", Table1[[#This Row],[Rating]]&gt;=3, "Average", TRUE, "Needs Imporovement")</f>
        <v>Average</v>
      </c>
    </row>
    <row r="48" spans="1:17" x14ac:dyDescent="0.3">
      <c r="A48" s="2" t="s">
        <v>137</v>
      </c>
      <c r="B48" s="2" t="s">
        <v>138</v>
      </c>
      <c r="C48" s="2" t="s">
        <v>49</v>
      </c>
      <c r="D48" s="2">
        <v>47</v>
      </c>
      <c r="E48" s="2" t="str">
        <f>_xlfn.IFS(Table1[[#This Row],[Age]]&lt;30, "18-29", D48&lt;=45,"30-45", D48&lt;=55, "46-55", TRUE, "55+")</f>
        <v>46-55</v>
      </c>
      <c r="F48" s="2" t="s">
        <v>107</v>
      </c>
      <c r="G48" s="2" t="s">
        <v>108</v>
      </c>
      <c r="H48" s="2" t="s">
        <v>61</v>
      </c>
      <c r="I48" s="5">
        <v>15</v>
      </c>
      <c r="J48" s="5" t="str">
        <f>_xlfn.IFS(Table1[[#This Row],[Experience(Years)]]&lt;5, "Junior", I48&lt;=12, "Mid-Level", I48&lt;=20, "Senior", I48&lt;=30, "Super Senior", TRUE, "Expert")</f>
        <v>Senior</v>
      </c>
      <c r="K48" s="7">
        <v>30</v>
      </c>
      <c r="L48" s="7">
        <f>Table1[[#This Row],[Hourly Rate]]*1000</f>
        <v>30000</v>
      </c>
      <c r="M48" s="7" t="str">
        <f t="shared" si="0"/>
        <v>Budget</v>
      </c>
      <c r="N48" s="2">
        <f>IF(ISNUMBER(#REF!),#REF!, _xlfn.IFS( I48&gt;=30, 5, I48&gt;=25, 4.8, I48&gt;=15, 4, I48&gt;=10, 3.8, I48&gt;=5, 3, I48&gt;=2, 2.5, I48&gt;=0, 1.8, TRUE, 1.3))</f>
        <v>4</v>
      </c>
      <c r="O48" s="2" t="s">
        <v>2053</v>
      </c>
      <c r="P48" s="10">
        <v>0.85</v>
      </c>
      <c r="Q48" s="10" t="str">
        <f>_xlfn.IFS(Table1[[#This Row],[Rating]]&gt;=4, "Top Performer", Table1[[#This Row],[Rating]]&gt;=3, "Average", TRUE, "Needs Imporovement")</f>
        <v>Top Performer</v>
      </c>
    </row>
    <row r="49" spans="1:17" x14ac:dyDescent="0.3">
      <c r="A49" s="2" t="s">
        <v>139</v>
      </c>
      <c r="B49" s="2" t="s">
        <v>140</v>
      </c>
      <c r="C49" s="2" t="s">
        <v>68</v>
      </c>
      <c r="D49" s="2">
        <v>25</v>
      </c>
      <c r="E49" s="2" t="str">
        <f>_xlfn.IFS(Table1[[#This Row],[Age]]&lt;30, "18-29", D49&lt;=45,"30-45", D49&lt;=55, "46-55", TRUE, "55+")</f>
        <v>18-29</v>
      </c>
      <c r="F49" s="2" t="s">
        <v>141</v>
      </c>
      <c r="G49" s="2" t="s">
        <v>142</v>
      </c>
      <c r="H49" s="2" t="s">
        <v>14</v>
      </c>
      <c r="I49" s="5">
        <v>4</v>
      </c>
      <c r="J49" s="5" t="str">
        <f>_xlfn.IFS(Table1[[#This Row],[Experience(Years)]]&lt;5, "Junior", I49&lt;=12, "Mid-Level", I49&lt;=20, "Senior", I49&lt;=30, "Super Senior", TRUE, "Expert")</f>
        <v>Junior</v>
      </c>
      <c r="K49" s="7">
        <v>50</v>
      </c>
      <c r="L49" s="7">
        <f>Table1[[#This Row],[Hourly Rate]]*1000</f>
        <v>50000</v>
      </c>
      <c r="M49" s="7" t="str">
        <f t="shared" si="0"/>
        <v>Standard</v>
      </c>
      <c r="N49" s="2">
        <f>IF(ISNUMBER(#REF!),#REF!, _xlfn.IFS( I49&gt;=30, 5, I49&gt;=25, 4.8, I49&gt;=15, 4, I49&gt;=10, 3.8, I49&gt;=5, 3, I49&gt;=2, 2.5, I49&gt;=0, 1.8, TRUE, 1.3))</f>
        <v>2.5</v>
      </c>
      <c r="O49" s="2" t="s">
        <v>2052</v>
      </c>
      <c r="P49" s="10">
        <v>0.77</v>
      </c>
      <c r="Q49" s="10" t="str">
        <f>_xlfn.IFS(Table1[[#This Row],[Rating]]&gt;=4, "Top Performer", Table1[[#This Row],[Rating]]&gt;=3, "Average", TRUE, "Needs Imporovement")</f>
        <v>Needs Imporovement</v>
      </c>
    </row>
    <row r="50" spans="1:17" x14ac:dyDescent="0.3">
      <c r="A50" s="2" t="s">
        <v>143</v>
      </c>
      <c r="B50" s="2" t="s">
        <v>144</v>
      </c>
      <c r="C50" s="2" t="s">
        <v>49</v>
      </c>
      <c r="D50" s="2">
        <v>25</v>
      </c>
      <c r="E50" s="2" t="str">
        <f>_xlfn.IFS(Table1[[#This Row],[Age]]&lt;30, "18-29", D50&lt;=45,"30-45", D50&lt;=55, "46-55", TRUE, "55+")</f>
        <v>18-29</v>
      </c>
      <c r="F50" s="2" t="s">
        <v>145</v>
      </c>
      <c r="G50" s="2" t="s">
        <v>45</v>
      </c>
      <c r="H50" s="2" t="s">
        <v>9</v>
      </c>
      <c r="I50" s="5">
        <v>7</v>
      </c>
      <c r="J50" s="5" t="str">
        <f>_xlfn.IFS(Table1[[#This Row],[Experience(Years)]]&lt;5, "Junior", I50&lt;=12, "Mid-Level", I50&lt;=20, "Senior", I50&lt;=30, "Super Senior", TRUE, "Expert")</f>
        <v>Mid-Level</v>
      </c>
      <c r="K50" s="7">
        <v>20</v>
      </c>
      <c r="L50" s="7">
        <f>Table1[[#This Row],[Hourly Rate]]*1000</f>
        <v>20000</v>
      </c>
      <c r="M50" s="7" t="str">
        <f t="shared" si="0"/>
        <v>Budget</v>
      </c>
      <c r="N50" s="2">
        <f>IF(ISNUMBER(#REF!),#REF!, _xlfn.IFS( I50&gt;=30, 5, I50&gt;=25, 4.8, I50&gt;=15, 4, I50&gt;=10, 3.8, I50&gt;=5, 3, I50&gt;=2, 2.5, I50&gt;=0, 1.8, TRUE, 1.3))</f>
        <v>3</v>
      </c>
      <c r="O50" s="2" t="s">
        <v>2052</v>
      </c>
      <c r="P50" s="10">
        <v>0.6</v>
      </c>
      <c r="Q50" s="10" t="str">
        <f>_xlfn.IFS(Table1[[#This Row],[Rating]]&gt;=4, "Top Performer", Table1[[#This Row],[Rating]]&gt;=3, "Average", TRUE, "Needs Imporovement")</f>
        <v>Average</v>
      </c>
    </row>
    <row r="51" spans="1:17" x14ac:dyDescent="0.3">
      <c r="A51" s="2" t="s">
        <v>146</v>
      </c>
      <c r="B51" s="2" t="s">
        <v>147</v>
      </c>
      <c r="C51" s="2" t="s">
        <v>68</v>
      </c>
      <c r="D51" s="2">
        <v>29</v>
      </c>
      <c r="E51" s="2" t="str">
        <f>_xlfn.IFS(Table1[[#This Row],[Age]]&lt;30, "18-29", D51&lt;=45,"30-45", D51&lt;=55, "46-55", TRUE, "55+")</f>
        <v>18-29</v>
      </c>
      <c r="F51" s="2" t="s">
        <v>22</v>
      </c>
      <c r="G51" s="2" t="s">
        <v>23</v>
      </c>
      <c r="H51" s="2" t="s">
        <v>46</v>
      </c>
      <c r="I51" s="5">
        <v>1</v>
      </c>
      <c r="J51" s="5" t="str">
        <f>_xlfn.IFS(Table1[[#This Row],[Experience(Years)]]&lt;5, "Junior", I51&lt;=12, "Mid-Level", I51&lt;=20, "Senior", I51&lt;=30, "Super Senior", TRUE, "Expert")</f>
        <v>Junior</v>
      </c>
      <c r="K51" s="7">
        <v>20</v>
      </c>
      <c r="L51" s="7">
        <f>Table1[[#This Row],[Hourly Rate]]*1000</f>
        <v>20000</v>
      </c>
      <c r="M51" s="7" t="str">
        <f t="shared" si="0"/>
        <v>Budget</v>
      </c>
      <c r="N51" s="2">
        <f>IF(ISNUMBER(#REF!),#REF!, _xlfn.IFS( I51&gt;=30, 5, I51&gt;=25, 4.8, I51&gt;=15, 4, I51&gt;=10, 3.8, I51&gt;=5, 3, I51&gt;=2, 2.5, I51&gt;=0, 1.8, TRUE, 1.3))</f>
        <v>1.8</v>
      </c>
      <c r="O51" s="2" t="s">
        <v>2053</v>
      </c>
      <c r="P51" s="10">
        <v>0.63</v>
      </c>
      <c r="Q51" s="10" t="str">
        <f>_xlfn.IFS(Table1[[#This Row],[Rating]]&gt;=4, "Top Performer", Table1[[#This Row],[Rating]]&gt;=3, "Average", TRUE, "Needs Imporovement")</f>
        <v>Needs Imporovement</v>
      </c>
    </row>
    <row r="52" spans="1:17" x14ac:dyDescent="0.3">
      <c r="A52" s="2" t="s">
        <v>148</v>
      </c>
      <c r="B52" s="2" t="s">
        <v>149</v>
      </c>
      <c r="C52" s="2" t="s">
        <v>49</v>
      </c>
      <c r="D52" s="2">
        <v>23</v>
      </c>
      <c r="E52" s="2" t="str">
        <f>_xlfn.IFS(Table1[[#This Row],[Age]]&lt;30, "18-29", D52&lt;=45,"30-45", D52&lt;=55, "46-55", TRUE, "55+")</f>
        <v>18-29</v>
      </c>
      <c r="F52" s="2" t="s">
        <v>44</v>
      </c>
      <c r="G52" s="2" t="s">
        <v>45</v>
      </c>
      <c r="H52" s="2" t="s">
        <v>50</v>
      </c>
      <c r="I52" s="5">
        <v>0</v>
      </c>
      <c r="J52" s="5" t="str">
        <f>_xlfn.IFS(Table1[[#This Row],[Experience(Years)]]&lt;5, "Junior", I52&lt;=12, "Mid-Level", I52&lt;=20, "Senior", I52&lt;=30, "Super Senior", TRUE, "Expert")</f>
        <v>Junior</v>
      </c>
      <c r="K52" s="7">
        <v>75</v>
      </c>
      <c r="L52" s="7">
        <f>Table1[[#This Row],[Hourly Rate]]*1000</f>
        <v>75000</v>
      </c>
      <c r="M52" s="7" t="str">
        <f t="shared" si="0"/>
        <v>Standard</v>
      </c>
      <c r="N52" s="2">
        <f>IF(ISNUMBER(#REF!),#REF!, _xlfn.IFS( I52&gt;=30, 5, I52&gt;=25, 4.8, I52&gt;=15, 4, I52&gt;=10, 3.8, I52&gt;=5, 3, I52&gt;=2, 2.5, I52&gt;=0, 1.8, TRUE, 1.3))</f>
        <v>1.8</v>
      </c>
      <c r="O52" s="2" t="s">
        <v>2053</v>
      </c>
      <c r="P52" s="10">
        <v>0.79</v>
      </c>
      <c r="Q52" s="10" t="str">
        <f>_xlfn.IFS(Table1[[#This Row],[Rating]]&gt;=4, "Top Performer", Table1[[#This Row],[Rating]]&gt;=3, "Average", TRUE, "Needs Imporovement")</f>
        <v>Needs Imporovement</v>
      </c>
    </row>
    <row r="53" spans="1:17" x14ac:dyDescent="0.3">
      <c r="A53" s="2" t="s">
        <v>150</v>
      </c>
      <c r="B53" s="2" t="s">
        <v>151</v>
      </c>
      <c r="C53" s="2" t="s">
        <v>68</v>
      </c>
      <c r="D53" s="2">
        <v>31</v>
      </c>
      <c r="E53" s="2" t="str">
        <f>_xlfn.IFS(Table1[[#This Row],[Age]]&lt;30, "18-29", D53&lt;=45,"30-45", D53&lt;=55, "46-55", TRUE, "55+")</f>
        <v>30-45</v>
      </c>
      <c r="F53" s="2" t="s">
        <v>103</v>
      </c>
      <c r="G53" s="2" t="s">
        <v>104</v>
      </c>
      <c r="H53" s="2" t="s">
        <v>29</v>
      </c>
      <c r="I53" s="5">
        <v>8</v>
      </c>
      <c r="J53" s="5" t="str">
        <f>_xlfn.IFS(Table1[[#This Row],[Experience(Years)]]&lt;5, "Junior", I53&lt;=12, "Mid-Level", I53&lt;=20, "Senior", I53&lt;=30, "Super Senior", TRUE, "Expert")</f>
        <v>Mid-Level</v>
      </c>
      <c r="K53" s="7">
        <v>50</v>
      </c>
      <c r="L53" s="7">
        <f>Table1[[#This Row],[Hourly Rate]]*1000</f>
        <v>50000</v>
      </c>
      <c r="M53" s="7" t="str">
        <f t="shared" si="0"/>
        <v>Standard</v>
      </c>
      <c r="N53" s="2">
        <f>IF(ISNUMBER(#REF!),#REF!, _xlfn.IFS( I53&gt;=30, 5, I53&gt;=25, 4.8, I53&gt;=15, 4, I53&gt;=10, 3.8, I53&gt;=5, 3, I53&gt;=2, 2.5, I53&gt;=0, 1.8, TRUE, 1.3))</f>
        <v>3</v>
      </c>
      <c r="O53" s="2" t="s">
        <v>2052</v>
      </c>
      <c r="P53" s="10">
        <v>0.6</v>
      </c>
      <c r="Q53" s="10" t="str">
        <f>_xlfn.IFS(Table1[[#This Row],[Rating]]&gt;=4, "Top Performer", Table1[[#This Row],[Rating]]&gt;=3, "Average", TRUE, "Needs Imporovement")</f>
        <v>Average</v>
      </c>
    </row>
    <row r="54" spans="1:17" x14ac:dyDescent="0.3">
      <c r="A54" s="2" t="s">
        <v>152</v>
      </c>
      <c r="B54" s="2" t="s">
        <v>153</v>
      </c>
      <c r="C54" s="2" t="s">
        <v>68</v>
      </c>
      <c r="D54" s="2">
        <v>51</v>
      </c>
      <c r="E54" s="2" t="str">
        <f>_xlfn.IFS(Table1[[#This Row],[Age]]&lt;30, "18-29", D54&lt;=45,"30-45", D54&lt;=55, "46-55", TRUE, "55+")</f>
        <v>46-55</v>
      </c>
      <c r="F54" s="2" t="s">
        <v>12</v>
      </c>
      <c r="G54" s="2" t="s">
        <v>13</v>
      </c>
      <c r="H54" s="2" t="s">
        <v>83</v>
      </c>
      <c r="I54" s="5">
        <v>33</v>
      </c>
      <c r="J54" s="5" t="str">
        <f>_xlfn.IFS(Table1[[#This Row],[Experience(Years)]]&lt;5, "Junior", I54&lt;=12, "Mid-Level", I54&lt;=20, "Senior", I54&lt;=30, "Super Senior", TRUE, "Expert")</f>
        <v>Expert</v>
      </c>
      <c r="K54" s="7">
        <v>75</v>
      </c>
      <c r="L54" s="7">
        <f>Table1[[#This Row],[Hourly Rate]]*1000</f>
        <v>75000</v>
      </c>
      <c r="M54" s="7" t="str">
        <f t="shared" si="0"/>
        <v>Standard</v>
      </c>
      <c r="N54" s="2">
        <f>IF(ISNUMBER(#REF!),#REF!, _xlfn.IFS( I54&gt;=30, 5, I54&gt;=25, 4.8, I54&gt;=15, 4, I54&gt;=10, 3.8, I54&gt;=5, 3, I54&gt;=2, 2.5, I54&gt;=0, 1.8, TRUE, 1.3))</f>
        <v>5</v>
      </c>
      <c r="O54" s="2" t="str">
        <f>IF(AND( Table1[[#This Row],[Rating]]&gt;=3.5, Table1[[#This Row],[Experience(Years)]]&gt;=15), "Active", "Inactive")</f>
        <v>Active</v>
      </c>
      <c r="P54" s="10">
        <v>0.68</v>
      </c>
      <c r="Q54" s="10" t="str">
        <f>_xlfn.IFS(Table1[[#This Row],[Rating]]&gt;=4, "Top Performer", Table1[[#This Row],[Rating]]&gt;=3, "Average", TRUE, "Needs Imporovement")</f>
        <v>Top Performer</v>
      </c>
    </row>
    <row r="55" spans="1:17" x14ac:dyDescent="0.3">
      <c r="A55" s="2" t="s">
        <v>154</v>
      </c>
      <c r="B55" s="2" t="s">
        <v>155</v>
      </c>
      <c r="C55" s="2" t="s">
        <v>68</v>
      </c>
      <c r="D55" s="2">
        <v>54</v>
      </c>
      <c r="E55" s="2" t="str">
        <f>_xlfn.IFS(Table1[[#This Row],[Age]]&lt;30, "18-29", D55&lt;=45,"30-45", D55&lt;=55, "46-55", TRUE, "55+")</f>
        <v>46-55</v>
      </c>
      <c r="F55" s="2" t="s">
        <v>156</v>
      </c>
      <c r="G55" s="2" t="s">
        <v>45</v>
      </c>
      <c r="H55" s="2" t="s">
        <v>46</v>
      </c>
      <c r="I55" s="5">
        <v>1</v>
      </c>
      <c r="J55" s="5" t="str">
        <f>_xlfn.IFS(Table1[[#This Row],[Experience(Years)]]&lt;5, "Junior", I55&lt;=12, "Mid-Level", I55&lt;=20, "Senior", I55&lt;=30, "Super Senior", TRUE, "Expert")</f>
        <v>Junior</v>
      </c>
      <c r="K55" s="7">
        <v>30</v>
      </c>
      <c r="L55" s="7">
        <f>Table1[[#This Row],[Hourly Rate]]*1000</f>
        <v>30000</v>
      </c>
      <c r="M55" s="7" t="str">
        <f t="shared" si="0"/>
        <v>Budget</v>
      </c>
      <c r="N55" s="2">
        <f>IF(ISNUMBER(#REF!),#REF!, _xlfn.IFS( I55&gt;=30, 5, I55&gt;=25, 4.8, I55&gt;=15, 4, I55&gt;=10, 3.8, I55&gt;=5, 3, I55&gt;=2, 2.5, I55&gt;=0, 1.8, TRUE, 1.3))</f>
        <v>1.8</v>
      </c>
      <c r="O55" s="2" t="s">
        <v>2052</v>
      </c>
      <c r="P55" s="10">
        <v>0.68</v>
      </c>
      <c r="Q55" s="10" t="str">
        <f>_xlfn.IFS(Table1[[#This Row],[Rating]]&gt;=4, "Top Performer", Table1[[#This Row],[Rating]]&gt;=3, "Average", TRUE, "Needs Imporovement")</f>
        <v>Needs Imporovement</v>
      </c>
    </row>
    <row r="56" spans="1:17" x14ac:dyDescent="0.3">
      <c r="A56" s="2" t="s">
        <v>157</v>
      </c>
      <c r="B56" s="2" t="s">
        <v>158</v>
      </c>
      <c r="C56" s="2" t="s">
        <v>49</v>
      </c>
      <c r="D56" s="2">
        <v>29</v>
      </c>
      <c r="E56" s="2" t="str">
        <f>_xlfn.IFS(Table1[[#This Row],[Age]]&lt;30, "18-29", D56&lt;=45,"30-45", D56&lt;=55, "46-55", TRUE, "55+")</f>
        <v>18-29</v>
      </c>
      <c r="F56" s="2" t="s">
        <v>37</v>
      </c>
      <c r="G56" s="2" t="s">
        <v>38</v>
      </c>
      <c r="H56" s="2" t="s">
        <v>50</v>
      </c>
      <c r="I56" s="5">
        <v>11</v>
      </c>
      <c r="J56" s="5" t="str">
        <f>_xlfn.IFS(Table1[[#This Row],[Experience(Years)]]&lt;5, "Junior", I56&lt;=12, "Mid-Level", I56&lt;=20, "Senior", I56&lt;=30, "Super Senior", TRUE, "Expert")</f>
        <v>Mid-Level</v>
      </c>
      <c r="K56" s="7">
        <v>100</v>
      </c>
      <c r="L56" s="7">
        <f>Table1[[#This Row],[Hourly Rate]]*1000</f>
        <v>100000</v>
      </c>
      <c r="M56" s="7" t="str">
        <f t="shared" si="0"/>
        <v>Premium</v>
      </c>
      <c r="N56" s="2">
        <f>IF(ISNUMBER(#REF!),#REF!, _xlfn.IFS( I56&gt;=30, 5, I56&gt;=25, 4.8, I56&gt;=15, 4, I56&gt;=10, 3.8, I56&gt;=5, 3, I56&gt;=2, 2.5, I56&gt;=0, 1.8, TRUE, 1.3))</f>
        <v>3.8</v>
      </c>
      <c r="O56" s="2" t="s">
        <v>2053</v>
      </c>
      <c r="P56" s="10">
        <v>0.72</v>
      </c>
      <c r="Q56" s="10" t="str">
        <f>_xlfn.IFS(Table1[[#This Row],[Rating]]&gt;=4, "Top Performer", Table1[[#This Row],[Rating]]&gt;=3, "Average", TRUE, "Needs Imporovement")</f>
        <v>Average</v>
      </c>
    </row>
    <row r="57" spans="1:17" x14ac:dyDescent="0.3">
      <c r="A57" s="2" t="s">
        <v>159</v>
      </c>
      <c r="B57" s="2" t="s">
        <v>160</v>
      </c>
      <c r="C57" s="2" t="s">
        <v>68</v>
      </c>
      <c r="D57" s="2">
        <v>50</v>
      </c>
      <c r="E57" s="2" t="str">
        <f>_xlfn.IFS(Table1[[#This Row],[Age]]&lt;30, "18-29", D57&lt;=45,"30-45", D57&lt;=55, "46-55", TRUE, "55+")</f>
        <v>46-55</v>
      </c>
      <c r="F57" s="2" t="s">
        <v>41</v>
      </c>
      <c r="G57" s="2" t="s">
        <v>8</v>
      </c>
      <c r="H57" s="2" t="s">
        <v>24</v>
      </c>
      <c r="I57" s="5">
        <v>15</v>
      </c>
      <c r="J57" s="5" t="str">
        <f>_xlfn.IFS(Table1[[#This Row],[Experience(Years)]]&lt;5, "Junior", I57&lt;=12, "Mid-Level", I57&lt;=20, "Senior", I57&lt;=30, "Super Senior", TRUE, "Expert")</f>
        <v>Senior</v>
      </c>
      <c r="K57" s="7">
        <v>60</v>
      </c>
      <c r="L57" s="7">
        <f>Table1[[#This Row],[Hourly Rate]]*1000</f>
        <v>60000</v>
      </c>
      <c r="M57" s="7" t="str">
        <f t="shared" si="0"/>
        <v>Standard</v>
      </c>
      <c r="N57" s="2">
        <f>IF(ISNUMBER(#REF!),#REF!, _xlfn.IFS( I57&gt;=30, 5, I57&gt;=25, 4.8, I57&gt;=15, 4, I57&gt;=10, 3.8, I57&gt;=5, 3, I57&gt;=2, 2.5, I57&gt;=0, 1.8, TRUE, 1.3))</f>
        <v>4</v>
      </c>
      <c r="O57" s="2" t="s">
        <v>2053</v>
      </c>
      <c r="P57" s="10">
        <v>0.65</v>
      </c>
      <c r="Q57" s="10" t="str">
        <f>_xlfn.IFS(Table1[[#This Row],[Rating]]&gt;=4, "Top Performer", Table1[[#This Row],[Rating]]&gt;=3, "Average", TRUE, "Needs Imporovement")</f>
        <v>Top Performer</v>
      </c>
    </row>
    <row r="58" spans="1:17" x14ac:dyDescent="0.3">
      <c r="A58" s="2" t="s">
        <v>161</v>
      </c>
      <c r="B58" s="2" t="s">
        <v>162</v>
      </c>
      <c r="C58" s="2" t="s">
        <v>49</v>
      </c>
      <c r="D58" s="2">
        <v>26</v>
      </c>
      <c r="E58" s="2" t="str">
        <f>_xlfn.IFS(Table1[[#This Row],[Age]]&lt;30, "18-29", D58&lt;=45,"30-45", D58&lt;=55, "46-55", TRUE, "55+")</f>
        <v>18-29</v>
      </c>
      <c r="F58" s="2" t="s">
        <v>41</v>
      </c>
      <c r="G58" s="2" t="s">
        <v>8</v>
      </c>
      <c r="H58" s="2" t="s">
        <v>61</v>
      </c>
      <c r="I58" s="5">
        <v>8</v>
      </c>
      <c r="J58" s="5" t="str">
        <f>_xlfn.IFS(Table1[[#This Row],[Experience(Years)]]&lt;5, "Junior", I58&lt;=12, "Mid-Level", I58&lt;=20, "Senior", I58&lt;=30, "Super Senior", TRUE, "Expert")</f>
        <v>Mid-Level</v>
      </c>
      <c r="K58" s="7">
        <v>50</v>
      </c>
      <c r="L58" s="7">
        <f>Table1[[#This Row],[Hourly Rate]]*1000</f>
        <v>50000</v>
      </c>
      <c r="M58" s="7" t="str">
        <f t="shared" si="0"/>
        <v>Standard</v>
      </c>
      <c r="N58" s="2">
        <f>IF(ISNUMBER(#REF!),#REF!, _xlfn.IFS( I58&gt;=30, 5, I58&gt;=25, 4.8, I58&gt;=15, 4, I58&gt;=10, 3.8, I58&gt;=5, 3, I58&gt;=2, 2.5, I58&gt;=0, 1.8, TRUE, 1.3))</f>
        <v>3</v>
      </c>
      <c r="O58" s="2" t="s">
        <v>2052</v>
      </c>
      <c r="P58" s="10">
        <v>0.76</v>
      </c>
      <c r="Q58" s="10" t="str">
        <f>_xlfn.IFS(Table1[[#This Row],[Rating]]&gt;=4, "Top Performer", Table1[[#This Row],[Rating]]&gt;=3, "Average", TRUE, "Needs Imporovement")</f>
        <v>Average</v>
      </c>
    </row>
    <row r="59" spans="1:17" x14ac:dyDescent="0.3">
      <c r="A59" s="2" t="s">
        <v>163</v>
      </c>
      <c r="B59" s="2" t="s">
        <v>164</v>
      </c>
      <c r="C59" s="2" t="s">
        <v>68</v>
      </c>
      <c r="D59" s="2">
        <v>38</v>
      </c>
      <c r="E59" s="2" t="str">
        <f>_xlfn.IFS(Table1[[#This Row],[Age]]&lt;30, "18-29", D59&lt;=45,"30-45", D59&lt;=55, "46-55", TRUE, "55+")</f>
        <v>30-45</v>
      </c>
      <c r="F59" s="2" t="s">
        <v>96</v>
      </c>
      <c r="G59" s="2" t="s">
        <v>8</v>
      </c>
      <c r="H59" s="2" t="s">
        <v>24</v>
      </c>
      <c r="I59" s="5">
        <v>17</v>
      </c>
      <c r="J59" s="5" t="str">
        <f>_xlfn.IFS(Table1[[#This Row],[Experience(Years)]]&lt;5, "Junior", I59&lt;=12, "Mid-Level", I59&lt;=20, "Senior", I59&lt;=30, "Super Senior", TRUE, "Expert")</f>
        <v>Senior</v>
      </c>
      <c r="K59" s="7">
        <v>40</v>
      </c>
      <c r="L59" s="7">
        <f>Table1[[#This Row],[Hourly Rate]]*1000</f>
        <v>40000</v>
      </c>
      <c r="M59" s="7" t="str">
        <f t="shared" si="0"/>
        <v>Standard</v>
      </c>
      <c r="N59" s="2">
        <f>IF(ISNUMBER(#REF!),#REF!, _xlfn.IFS( I59&gt;=30, 5, I59&gt;=25, 4.8, I59&gt;=15, 4, I59&gt;=10, 3.8, I59&gt;=5, 3, I59&gt;=2, 2.5, I59&gt;=0, 1.8, TRUE, 1.3))</f>
        <v>4</v>
      </c>
      <c r="O59" s="2" t="s">
        <v>2053</v>
      </c>
      <c r="P59" s="10">
        <v>0.9</v>
      </c>
      <c r="Q59" s="10" t="str">
        <f>_xlfn.IFS(Table1[[#This Row],[Rating]]&gt;=4, "Top Performer", Table1[[#This Row],[Rating]]&gt;=3, "Average", TRUE, "Needs Imporovement")</f>
        <v>Top Performer</v>
      </c>
    </row>
    <row r="60" spans="1:17" x14ac:dyDescent="0.3">
      <c r="A60" s="2" t="s">
        <v>165</v>
      </c>
      <c r="B60" s="2" t="s">
        <v>166</v>
      </c>
      <c r="C60" s="2" t="s">
        <v>49</v>
      </c>
      <c r="D60" s="2">
        <v>23</v>
      </c>
      <c r="E60" s="2" t="str">
        <f>_xlfn.IFS(Table1[[#This Row],[Age]]&lt;30, "18-29", D60&lt;=45,"30-45", D60&lt;=55, "46-55", TRUE, "55+")</f>
        <v>18-29</v>
      </c>
      <c r="F60" s="2" t="s">
        <v>64</v>
      </c>
      <c r="G60" s="2" t="s">
        <v>65</v>
      </c>
      <c r="H60" s="2" t="s">
        <v>9</v>
      </c>
      <c r="I60" s="5">
        <v>2</v>
      </c>
      <c r="J60" s="5" t="str">
        <f>_xlfn.IFS(Table1[[#This Row],[Experience(Years)]]&lt;5, "Junior", I60&lt;=12, "Mid-Level", I60&lt;=20, "Senior", I60&lt;=30, "Super Senior", TRUE, "Expert")</f>
        <v>Junior</v>
      </c>
      <c r="K60" s="7">
        <v>75</v>
      </c>
      <c r="L60" s="7">
        <f>Table1[[#This Row],[Hourly Rate]]*1000</f>
        <v>75000</v>
      </c>
      <c r="M60" s="7" t="str">
        <f t="shared" si="0"/>
        <v>Standard</v>
      </c>
      <c r="N60" s="2">
        <f>IF(ISNUMBER(#REF!),#REF!, _xlfn.IFS( I60&gt;=30, 5, I60&gt;=25, 4.8, I60&gt;=15, 4, I60&gt;=10, 3.8, I60&gt;=5, 3, I60&gt;=2, 2.5, I60&gt;=0, 1.8, TRUE, 1.3))</f>
        <v>2.5</v>
      </c>
      <c r="O60" s="2" t="s">
        <v>2053</v>
      </c>
      <c r="P60" s="10">
        <v>0.65</v>
      </c>
      <c r="Q60" s="10" t="str">
        <f>_xlfn.IFS(Table1[[#This Row],[Rating]]&gt;=4, "Top Performer", Table1[[#This Row],[Rating]]&gt;=3, "Average", TRUE, "Needs Imporovement")</f>
        <v>Needs Imporovement</v>
      </c>
    </row>
    <row r="61" spans="1:17" x14ac:dyDescent="0.3">
      <c r="A61" s="2" t="s">
        <v>167</v>
      </c>
      <c r="B61" s="2" t="s">
        <v>168</v>
      </c>
      <c r="C61" s="2" t="s">
        <v>49</v>
      </c>
      <c r="D61" s="2">
        <v>51</v>
      </c>
      <c r="E61" s="2" t="str">
        <f>_xlfn.IFS(Table1[[#This Row],[Age]]&lt;30, "18-29", D61&lt;=45,"30-45", D61&lt;=55, "46-55", TRUE, "55+")</f>
        <v>46-55</v>
      </c>
      <c r="F61" s="2" t="s">
        <v>121</v>
      </c>
      <c r="G61" s="2" t="s">
        <v>122</v>
      </c>
      <c r="H61" s="2" t="s">
        <v>61</v>
      </c>
      <c r="I61" s="5">
        <v>28</v>
      </c>
      <c r="J61" s="5" t="str">
        <f>_xlfn.IFS(Table1[[#This Row],[Experience(Years)]]&lt;5, "Junior", I61&lt;=12, "Mid-Level", I61&lt;=20, "Senior", I61&lt;=30, "Super Senior", TRUE, "Expert")</f>
        <v>Super Senior</v>
      </c>
      <c r="K61" s="7">
        <v>40</v>
      </c>
      <c r="L61" s="7">
        <f>Table1[[#This Row],[Hourly Rate]]*1000</f>
        <v>40000</v>
      </c>
      <c r="M61" s="7" t="str">
        <f t="shared" si="0"/>
        <v>Standard</v>
      </c>
      <c r="N61" s="2">
        <f>IF(ISNUMBER(#REF!),#REF!, _xlfn.IFS( I61&gt;=30, 5, I61&gt;=25, 4.8, I61&gt;=15, 4, I61&gt;=10, 3.8, I61&gt;=5, 3, I61&gt;=2, 2.5, I61&gt;=0, 1.8, TRUE, 1.3))</f>
        <v>4.8</v>
      </c>
      <c r="O61" s="2" t="s">
        <v>2052</v>
      </c>
      <c r="P61" s="10">
        <v>0.63</v>
      </c>
      <c r="Q61" s="10" t="str">
        <f>_xlfn.IFS(Table1[[#This Row],[Rating]]&gt;=4, "Top Performer", Table1[[#This Row],[Rating]]&gt;=3, "Average", TRUE, "Needs Imporovement")</f>
        <v>Top Performer</v>
      </c>
    </row>
    <row r="62" spans="1:17" x14ac:dyDescent="0.3">
      <c r="A62" s="2" t="s">
        <v>169</v>
      </c>
      <c r="B62" s="2" t="s">
        <v>170</v>
      </c>
      <c r="C62" s="2" t="s">
        <v>49</v>
      </c>
      <c r="D62" s="2">
        <v>51</v>
      </c>
      <c r="E62" s="2" t="str">
        <f>_xlfn.IFS(Table1[[#This Row],[Age]]&lt;30, "18-29", D62&lt;=45,"30-45", D62&lt;=55, "46-55", TRUE, "55+")</f>
        <v>46-55</v>
      </c>
      <c r="F62" s="2" t="s">
        <v>27</v>
      </c>
      <c r="G62" s="2" t="s">
        <v>28</v>
      </c>
      <c r="H62" s="2" t="s">
        <v>24</v>
      </c>
      <c r="I62" s="5">
        <v>33</v>
      </c>
      <c r="J62" s="5" t="str">
        <f>_xlfn.IFS(Table1[[#This Row],[Experience(Years)]]&lt;5, "Junior", I62&lt;=12, "Mid-Level", I62&lt;=20, "Senior", I62&lt;=30, "Super Senior", TRUE, "Expert")</f>
        <v>Expert</v>
      </c>
      <c r="K62" s="7">
        <v>75</v>
      </c>
      <c r="L62" s="7">
        <f>Table1[[#This Row],[Hourly Rate]]*1000</f>
        <v>75000</v>
      </c>
      <c r="M62" s="7" t="str">
        <f t="shared" si="0"/>
        <v>Standard</v>
      </c>
      <c r="N62" s="2">
        <f>IF(ISNUMBER(#REF!),#REF!, _xlfn.IFS( I62&gt;=30, 5, I62&gt;=25, 4.8, I62&gt;=15, 4, I62&gt;=10, 3.8, I62&gt;=5, 3, I62&gt;=2, 2.5, I62&gt;=0, 1.8, TRUE, 1.3))</f>
        <v>5</v>
      </c>
      <c r="O62" s="2" t="s">
        <v>2053</v>
      </c>
      <c r="P62" s="10">
        <v>1</v>
      </c>
      <c r="Q62" s="10" t="str">
        <f>_xlfn.IFS(Table1[[#This Row],[Rating]]&gt;=4, "Top Performer", Table1[[#This Row],[Rating]]&gt;=3, "Average", TRUE, "Needs Imporovement")</f>
        <v>Top Performer</v>
      </c>
    </row>
    <row r="63" spans="1:17" x14ac:dyDescent="0.3">
      <c r="A63" s="2" t="s">
        <v>171</v>
      </c>
      <c r="B63" s="2" t="s">
        <v>172</v>
      </c>
      <c r="C63" s="2" t="s">
        <v>68</v>
      </c>
      <c r="D63" s="2">
        <v>47</v>
      </c>
      <c r="E63" s="2" t="str">
        <f>_xlfn.IFS(Table1[[#This Row],[Age]]&lt;30, "18-29", D63&lt;=45,"30-45", D63&lt;=55, "46-55", TRUE, "55+")</f>
        <v>46-55</v>
      </c>
      <c r="F63" s="2" t="s">
        <v>12</v>
      </c>
      <c r="G63" s="2" t="s">
        <v>13</v>
      </c>
      <c r="H63" s="2" t="s">
        <v>24</v>
      </c>
      <c r="I63" s="5">
        <v>18</v>
      </c>
      <c r="J63" s="5" t="str">
        <f>_xlfn.IFS(Table1[[#This Row],[Experience(Years)]]&lt;5, "Junior", I63&lt;=12, "Mid-Level", I63&lt;=20, "Senior", I63&lt;=30, "Super Senior", TRUE, "Expert")</f>
        <v>Senior</v>
      </c>
      <c r="K63" s="7">
        <v>75</v>
      </c>
      <c r="L63" s="7">
        <f>Table1[[#This Row],[Hourly Rate]]*1000</f>
        <v>75000</v>
      </c>
      <c r="M63" s="7" t="str">
        <f t="shared" si="0"/>
        <v>Standard</v>
      </c>
      <c r="N63" s="2">
        <f>IF(ISNUMBER(#REF!),#REF!, _xlfn.IFS( I63&gt;=30, 5, I63&gt;=25, 4.8, I63&gt;=15, 4, I63&gt;=10, 3.8, I63&gt;=5, 3, I63&gt;=2, 2.5, I63&gt;=0, 1.8, TRUE, 1.3))</f>
        <v>4</v>
      </c>
      <c r="O63" s="2" t="s">
        <v>2052</v>
      </c>
      <c r="P63" s="10">
        <v>0.85</v>
      </c>
      <c r="Q63" s="10" t="str">
        <f>_xlfn.IFS(Table1[[#This Row],[Rating]]&gt;=4, "Top Performer", Table1[[#This Row],[Rating]]&gt;=3, "Average", TRUE, "Needs Imporovement")</f>
        <v>Top Performer</v>
      </c>
    </row>
    <row r="64" spans="1:17" x14ac:dyDescent="0.3">
      <c r="A64" s="2" t="s">
        <v>173</v>
      </c>
      <c r="B64" s="2" t="s">
        <v>174</v>
      </c>
      <c r="C64" s="2" t="s">
        <v>49</v>
      </c>
      <c r="D64" s="2">
        <v>34</v>
      </c>
      <c r="E64" s="2" t="str">
        <f>_xlfn.IFS(Table1[[#This Row],[Age]]&lt;30, "18-29", D64&lt;=45,"30-45", D64&lt;=55, "46-55", TRUE, "55+")</f>
        <v>30-45</v>
      </c>
      <c r="F64" s="2" t="s">
        <v>92</v>
      </c>
      <c r="G64" s="2" t="s">
        <v>93</v>
      </c>
      <c r="H64" s="2" t="s">
        <v>46</v>
      </c>
      <c r="I64" s="5">
        <v>16</v>
      </c>
      <c r="J64" s="5" t="str">
        <f>_xlfn.IFS(Table1[[#This Row],[Experience(Years)]]&lt;5, "Junior", I64&lt;=12, "Mid-Level", I64&lt;=20, "Senior", I64&lt;=30, "Super Senior", TRUE, "Expert")</f>
        <v>Senior</v>
      </c>
      <c r="K64" s="7">
        <v>20</v>
      </c>
      <c r="L64" s="7">
        <f>Table1[[#This Row],[Hourly Rate]]*1000</f>
        <v>20000</v>
      </c>
      <c r="M64" s="7" t="str">
        <f t="shared" si="0"/>
        <v>Budget</v>
      </c>
      <c r="N64" s="2">
        <f>IF(ISNUMBER(#REF!),#REF!, _xlfn.IFS( I64&gt;=30, 5, I64&gt;=25, 4.8, I64&gt;=15, 4, I64&gt;=10, 3.8, I64&gt;=5, 3, I64&gt;=2, 2.5, I64&gt;=0, 1.8, TRUE, 1.3))</f>
        <v>4</v>
      </c>
      <c r="O64" s="2" t="s">
        <v>2053</v>
      </c>
      <c r="P64" s="10">
        <v>0.93</v>
      </c>
      <c r="Q64" s="10" t="str">
        <f>_xlfn.IFS(Table1[[#This Row],[Rating]]&gt;=4, "Top Performer", Table1[[#This Row],[Rating]]&gt;=3, "Average", TRUE, "Needs Imporovement")</f>
        <v>Top Performer</v>
      </c>
    </row>
    <row r="65" spans="1:17" x14ac:dyDescent="0.3">
      <c r="A65" s="2" t="s">
        <v>175</v>
      </c>
      <c r="B65" s="2" t="s">
        <v>176</v>
      </c>
      <c r="C65" s="2" t="s">
        <v>49</v>
      </c>
      <c r="D65" s="2">
        <v>58</v>
      </c>
      <c r="E65" s="2" t="str">
        <f>_xlfn.IFS(Table1[[#This Row],[Age]]&lt;30, "18-29", D65&lt;=45,"30-45", D65&lt;=55, "46-55", TRUE, "55+")</f>
        <v>55+</v>
      </c>
      <c r="F65" s="2" t="s">
        <v>27</v>
      </c>
      <c r="G65" s="2" t="s">
        <v>28</v>
      </c>
      <c r="H65" s="2" t="s">
        <v>29</v>
      </c>
      <c r="I65" s="5">
        <v>35</v>
      </c>
      <c r="J65" s="5" t="str">
        <f>_xlfn.IFS(Table1[[#This Row],[Experience(Years)]]&lt;5, "Junior", I65&lt;=12, "Mid-Level", I65&lt;=20, "Senior", I65&lt;=30, "Super Senior", TRUE, "Expert")</f>
        <v>Expert</v>
      </c>
      <c r="K65" s="7">
        <v>50</v>
      </c>
      <c r="L65" s="7">
        <f>Table1[[#This Row],[Hourly Rate]]*1000</f>
        <v>50000</v>
      </c>
      <c r="M65" s="7" t="str">
        <f t="shared" si="0"/>
        <v>Standard</v>
      </c>
      <c r="N65" s="2">
        <f>IF(ISNUMBER(#REF!),#REF!, _xlfn.IFS( I65&gt;=30, 5, I65&gt;=25, 4.8, I65&gt;=15, 4, I65&gt;=10, 3.8, I65&gt;=5, 3, I65&gt;=2, 2.5, I65&gt;=0, 1.8, TRUE, 1.3))</f>
        <v>5</v>
      </c>
      <c r="O65" s="2" t="s">
        <v>2052</v>
      </c>
      <c r="P65" s="10">
        <v>0.7</v>
      </c>
      <c r="Q65" s="10" t="str">
        <f>_xlfn.IFS(Table1[[#This Row],[Rating]]&gt;=4, "Top Performer", Table1[[#This Row],[Rating]]&gt;=3, "Average", TRUE, "Needs Imporovement")</f>
        <v>Top Performer</v>
      </c>
    </row>
    <row r="66" spans="1:17" x14ac:dyDescent="0.3">
      <c r="A66" s="2" t="s">
        <v>177</v>
      </c>
      <c r="B66" s="2" t="s">
        <v>178</v>
      </c>
      <c r="C66" s="2" t="s">
        <v>49</v>
      </c>
      <c r="D66" s="2">
        <v>50</v>
      </c>
      <c r="E66" s="2" t="str">
        <f>_xlfn.IFS(Table1[[#This Row],[Age]]&lt;30, "18-29", D66&lt;=45,"30-45", D66&lt;=55, "46-55", TRUE, "55+")</f>
        <v>46-55</v>
      </c>
      <c r="F66" s="2" t="s">
        <v>92</v>
      </c>
      <c r="G66" s="2" t="s">
        <v>93</v>
      </c>
      <c r="H66" s="2" t="s">
        <v>24</v>
      </c>
      <c r="I66" s="5">
        <v>14</v>
      </c>
      <c r="J66" s="5" t="str">
        <f>_xlfn.IFS(Table1[[#This Row],[Experience(Years)]]&lt;5, "Junior", I66&lt;=12, "Mid-Level", I66&lt;=20, "Senior", I66&lt;=30, "Super Senior", TRUE, "Expert")</f>
        <v>Senior</v>
      </c>
      <c r="K66" s="7">
        <v>60</v>
      </c>
      <c r="L66" s="7">
        <f>Table1[[#This Row],[Hourly Rate]]*1000</f>
        <v>60000</v>
      </c>
      <c r="M66" s="7" t="str">
        <f t="shared" ref="M66:M129" si="1">_xlfn.IFS(K66&lt;40, "Budget", K66&lt;=80, "Standard", TRUE, "Premium")</f>
        <v>Standard</v>
      </c>
      <c r="N66" s="2">
        <f>IF(ISNUMBER(#REF!),#REF!, _xlfn.IFS( I66&gt;=30, 5, I66&gt;=25, 4.8, I66&gt;=15, 4, I66&gt;=10, 3.8, I66&gt;=5, 3, I66&gt;=2, 2.5, I66&gt;=0, 1.8, TRUE, 1.3))</f>
        <v>3.8</v>
      </c>
      <c r="O66" s="2" t="s">
        <v>2053</v>
      </c>
      <c r="P66" s="10">
        <v>0.83</v>
      </c>
      <c r="Q66" s="10" t="str">
        <f>_xlfn.IFS(Table1[[#This Row],[Rating]]&gt;=4, "Top Performer", Table1[[#This Row],[Rating]]&gt;=3, "Average", TRUE, "Needs Imporovement")</f>
        <v>Average</v>
      </c>
    </row>
    <row r="67" spans="1:17" x14ac:dyDescent="0.3">
      <c r="A67" s="2" t="s">
        <v>179</v>
      </c>
      <c r="B67" s="2" t="s">
        <v>180</v>
      </c>
      <c r="C67" s="2" t="s">
        <v>49</v>
      </c>
      <c r="D67" s="2">
        <v>34</v>
      </c>
      <c r="E67" s="2" t="str">
        <f>_xlfn.IFS(Table1[[#This Row],[Age]]&lt;30, "18-29", D67&lt;=45,"30-45", D67&lt;=55, "46-55", TRUE, "55+")</f>
        <v>30-45</v>
      </c>
      <c r="F67" s="2" t="s">
        <v>156</v>
      </c>
      <c r="G67" s="2" t="s">
        <v>45</v>
      </c>
      <c r="H67" s="2" t="s">
        <v>17</v>
      </c>
      <c r="I67" s="5">
        <v>12</v>
      </c>
      <c r="J67" s="5" t="str">
        <f>_xlfn.IFS(Table1[[#This Row],[Experience(Years)]]&lt;5, "Junior", I67&lt;=12, "Mid-Level", I67&lt;=20, "Senior", I67&lt;=30, "Super Senior", TRUE, "Expert")</f>
        <v>Mid-Level</v>
      </c>
      <c r="K67" s="7">
        <v>40</v>
      </c>
      <c r="L67" s="7">
        <f>Table1[[#This Row],[Hourly Rate]]*1000</f>
        <v>40000</v>
      </c>
      <c r="M67" s="7" t="str">
        <f t="shared" si="1"/>
        <v>Standard</v>
      </c>
      <c r="N67" s="2">
        <f>IF(ISNUMBER(#REF!),#REF!, _xlfn.IFS( I67&gt;=30, 5, I67&gt;=25, 4.8, I67&gt;=15, 4, I67&gt;=10, 3.8, I67&gt;=5, 3, I67&gt;=2, 2.5, I67&gt;=0, 1.8, TRUE, 1.3))</f>
        <v>3.8</v>
      </c>
      <c r="O67" s="2" t="s">
        <v>2053</v>
      </c>
      <c r="P67" s="10">
        <v>0.64</v>
      </c>
      <c r="Q67" s="10" t="str">
        <f>_xlfn.IFS(Table1[[#This Row],[Rating]]&gt;=4, "Top Performer", Table1[[#This Row],[Rating]]&gt;=3, "Average", TRUE, "Needs Imporovement")</f>
        <v>Average</v>
      </c>
    </row>
    <row r="68" spans="1:17" x14ac:dyDescent="0.3">
      <c r="A68" s="2" t="s">
        <v>181</v>
      </c>
      <c r="B68" s="2" t="s">
        <v>182</v>
      </c>
      <c r="C68" s="2" t="s">
        <v>49</v>
      </c>
      <c r="D68" s="2">
        <v>45</v>
      </c>
      <c r="E68" s="2" t="str">
        <f>_xlfn.IFS(Table1[[#This Row],[Age]]&lt;30, "18-29", D68&lt;=45,"30-45", D68&lt;=55, "46-55", TRUE, "55+")</f>
        <v>30-45</v>
      </c>
      <c r="F68" s="2" t="s">
        <v>77</v>
      </c>
      <c r="G68" s="2" t="s">
        <v>78</v>
      </c>
      <c r="H68" s="2" t="s">
        <v>24</v>
      </c>
      <c r="I68" s="5">
        <v>11</v>
      </c>
      <c r="J68" s="5" t="str">
        <f>_xlfn.IFS(Table1[[#This Row],[Experience(Years)]]&lt;5, "Junior", I68&lt;=12, "Mid-Level", I68&lt;=20, "Senior", I68&lt;=30, "Super Senior", TRUE, "Expert")</f>
        <v>Mid-Level</v>
      </c>
      <c r="K68" s="7">
        <v>75</v>
      </c>
      <c r="L68" s="7">
        <f>Table1[[#This Row],[Hourly Rate]]*1000</f>
        <v>75000</v>
      </c>
      <c r="M68" s="7" t="str">
        <f t="shared" si="1"/>
        <v>Standard</v>
      </c>
      <c r="N68" s="2">
        <f>IF(ISNUMBER(#REF!),#REF!, _xlfn.IFS( I68&gt;=30, 5, I68&gt;=25, 4.8, I68&gt;=15, 4, I68&gt;=10, 3.8, I68&gt;=5, 3, I68&gt;=2, 2.5, I68&gt;=0, 1.8, TRUE, 1.3))</f>
        <v>3.8</v>
      </c>
      <c r="O68" s="2" t="s">
        <v>2052</v>
      </c>
      <c r="P68" s="10">
        <v>1</v>
      </c>
      <c r="Q68" s="10" t="str">
        <f>_xlfn.IFS(Table1[[#This Row],[Rating]]&gt;=4, "Top Performer", Table1[[#This Row],[Rating]]&gt;=3, "Average", TRUE, "Needs Imporovement")</f>
        <v>Average</v>
      </c>
    </row>
    <row r="69" spans="1:17" x14ac:dyDescent="0.3">
      <c r="A69" s="2" t="s">
        <v>183</v>
      </c>
      <c r="B69" s="2" t="s">
        <v>184</v>
      </c>
      <c r="C69" s="2" t="s">
        <v>49</v>
      </c>
      <c r="D69" s="2">
        <v>55</v>
      </c>
      <c r="E69" s="2" t="str">
        <f>_xlfn.IFS(Table1[[#This Row],[Age]]&lt;30, "18-29", D69&lt;=45,"30-45", D69&lt;=55, "46-55", TRUE, "55+")</f>
        <v>46-55</v>
      </c>
      <c r="F69" s="2" t="s">
        <v>77</v>
      </c>
      <c r="G69" s="2" t="s">
        <v>78</v>
      </c>
      <c r="H69" s="2" t="s">
        <v>17</v>
      </c>
      <c r="I69" s="5">
        <v>0</v>
      </c>
      <c r="J69" s="5" t="str">
        <f>_xlfn.IFS(Table1[[#This Row],[Experience(Years)]]&lt;5, "Junior", I69&lt;=12, "Mid-Level", I69&lt;=20, "Senior", I69&lt;=30, "Super Senior", TRUE, "Expert")</f>
        <v>Junior</v>
      </c>
      <c r="K69" s="7">
        <v>40</v>
      </c>
      <c r="L69" s="7">
        <f>Table1[[#This Row],[Hourly Rate]]*1000</f>
        <v>40000</v>
      </c>
      <c r="M69" s="7" t="str">
        <f t="shared" si="1"/>
        <v>Standard</v>
      </c>
      <c r="N69" s="2">
        <f>IF(ISNUMBER(#REF!),#REF!, _xlfn.IFS( I69&gt;=30, 5, I69&gt;=25, 4.8, I69&gt;=15, 4, I69&gt;=10, 3.8, I69&gt;=5, 3, I69&gt;=2, 2.5, I69&gt;=0, 1.8, TRUE, 1.3))</f>
        <v>1.8</v>
      </c>
      <c r="O69" s="2" t="s">
        <v>2053</v>
      </c>
      <c r="P69" s="10">
        <v>0.3</v>
      </c>
      <c r="Q69" s="10" t="str">
        <f>_xlfn.IFS(Table1[[#This Row],[Rating]]&gt;=4, "Top Performer", Table1[[#This Row],[Rating]]&gt;=3, "Average", TRUE, "Needs Imporovement")</f>
        <v>Needs Imporovement</v>
      </c>
    </row>
    <row r="70" spans="1:17" x14ac:dyDescent="0.3">
      <c r="A70" s="2" t="s">
        <v>185</v>
      </c>
      <c r="B70" s="2" t="s">
        <v>186</v>
      </c>
      <c r="C70" s="2" t="s">
        <v>68</v>
      </c>
      <c r="D70" s="2">
        <v>43</v>
      </c>
      <c r="E70" s="2" t="str">
        <f>_xlfn.IFS(Table1[[#This Row],[Age]]&lt;30, "18-29", D70&lt;=45,"30-45", D70&lt;=55, "46-55", TRUE, "55+")</f>
        <v>30-45</v>
      </c>
      <c r="F70" s="2" t="s">
        <v>44</v>
      </c>
      <c r="G70" s="2" t="s">
        <v>45</v>
      </c>
      <c r="H70" s="2" t="s">
        <v>46</v>
      </c>
      <c r="I70" s="5">
        <v>6</v>
      </c>
      <c r="J70" s="5" t="str">
        <f>_xlfn.IFS(Table1[[#This Row],[Experience(Years)]]&lt;5, "Junior", I70&lt;=12, "Mid-Level", I70&lt;=20, "Senior", I70&lt;=30, "Super Senior", TRUE, "Expert")</f>
        <v>Mid-Level</v>
      </c>
      <c r="K70" s="7">
        <v>100</v>
      </c>
      <c r="L70" s="7">
        <f>Table1[[#This Row],[Hourly Rate]]*1000</f>
        <v>100000</v>
      </c>
      <c r="M70" s="7" t="str">
        <f t="shared" si="1"/>
        <v>Premium</v>
      </c>
      <c r="N70" s="2">
        <f>IF(ISNUMBER(#REF!),#REF!, _xlfn.IFS( I70&gt;=30, 5, I70&gt;=25, 4.8, I70&gt;=15, 4, I70&gt;=10, 3.8, I70&gt;=5, 3, I70&gt;=2, 2.5, I70&gt;=0, 1.8, TRUE, 1.3))</f>
        <v>3</v>
      </c>
      <c r="O70" s="2" t="s">
        <v>2052</v>
      </c>
      <c r="P70" s="10">
        <v>0.6</v>
      </c>
      <c r="Q70" s="10" t="str">
        <f>_xlfn.IFS(Table1[[#This Row],[Rating]]&gt;=4, "Top Performer", Table1[[#This Row],[Rating]]&gt;=3, "Average", TRUE, "Needs Imporovement")</f>
        <v>Average</v>
      </c>
    </row>
    <row r="71" spans="1:17" x14ac:dyDescent="0.3">
      <c r="A71" s="2" t="s">
        <v>187</v>
      </c>
      <c r="B71" s="2" t="s">
        <v>188</v>
      </c>
      <c r="C71" s="2" t="s">
        <v>49</v>
      </c>
      <c r="D71" s="2">
        <v>60</v>
      </c>
      <c r="E71" s="2" t="str">
        <f>_xlfn.IFS(Table1[[#This Row],[Age]]&lt;30, "18-29", D71&lt;=45,"30-45", D71&lt;=55, "46-55", TRUE, "55+")</f>
        <v>55+</v>
      </c>
      <c r="F71" s="2" t="s">
        <v>141</v>
      </c>
      <c r="G71" s="2" t="s">
        <v>142</v>
      </c>
      <c r="H71" s="2" t="s">
        <v>46</v>
      </c>
      <c r="I71" s="5">
        <v>38</v>
      </c>
      <c r="J71" s="5" t="str">
        <f>_xlfn.IFS(Table1[[#This Row],[Experience(Years)]]&lt;5, "Junior", I71&lt;=12, "Mid-Level", I71&lt;=20, "Senior", I71&lt;=30, "Super Senior", TRUE, "Expert")</f>
        <v>Expert</v>
      </c>
      <c r="K71" s="7">
        <v>20</v>
      </c>
      <c r="L71" s="7">
        <f>Table1[[#This Row],[Hourly Rate]]*1000</f>
        <v>20000</v>
      </c>
      <c r="M71" s="7" t="str">
        <f t="shared" si="1"/>
        <v>Budget</v>
      </c>
      <c r="N71" s="2">
        <f>IF(ISNUMBER(#REF!),#REF!, _xlfn.IFS( I71&gt;=30, 5, I71&gt;=25, 4.8, I71&gt;=15, 4, I71&gt;=10, 3.8, I71&gt;=5, 3, I71&gt;=2, 2.5, I71&gt;=0, 1.8, TRUE, 1.3))</f>
        <v>5</v>
      </c>
      <c r="O71" s="2" t="s">
        <v>2052</v>
      </c>
      <c r="P71" s="10">
        <v>0.71</v>
      </c>
      <c r="Q71" s="10" t="str">
        <f>_xlfn.IFS(Table1[[#This Row],[Rating]]&gt;=4, "Top Performer", Table1[[#This Row],[Rating]]&gt;=3, "Average", TRUE, "Needs Imporovement")</f>
        <v>Top Performer</v>
      </c>
    </row>
    <row r="72" spans="1:17" x14ac:dyDescent="0.3">
      <c r="A72" s="2" t="s">
        <v>189</v>
      </c>
      <c r="B72" s="2" t="s">
        <v>190</v>
      </c>
      <c r="C72" s="2" t="s">
        <v>49</v>
      </c>
      <c r="D72" s="2">
        <v>33</v>
      </c>
      <c r="E72" s="2" t="str">
        <f>_xlfn.IFS(Table1[[#This Row],[Age]]&lt;30, "18-29", D72&lt;=45,"30-45", D72&lt;=55, "46-55", TRUE, "55+")</f>
        <v>30-45</v>
      </c>
      <c r="F72" s="2" t="s">
        <v>121</v>
      </c>
      <c r="G72" s="2" t="s">
        <v>122</v>
      </c>
      <c r="H72" s="2" t="s">
        <v>9</v>
      </c>
      <c r="I72" s="5">
        <v>11</v>
      </c>
      <c r="J72" s="5" t="str">
        <f>_xlfn.IFS(Table1[[#This Row],[Experience(Years)]]&lt;5, "Junior", I72&lt;=12, "Mid-Level", I72&lt;=20, "Senior", I72&lt;=30, "Super Senior", TRUE, "Expert")</f>
        <v>Mid-Level</v>
      </c>
      <c r="K72" s="7">
        <v>60</v>
      </c>
      <c r="L72" s="7">
        <f>Table1[[#This Row],[Hourly Rate]]*1000</f>
        <v>60000</v>
      </c>
      <c r="M72" s="7" t="str">
        <f t="shared" si="1"/>
        <v>Standard</v>
      </c>
      <c r="N72" s="2">
        <f>IF(ISNUMBER(#REF!),#REF!, _xlfn.IFS( I72&gt;=30, 5, I72&gt;=25, 4.8, I72&gt;=15, 4, I72&gt;=10, 3.8, I72&gt;=5, 3, I72&gt;=2, 2.5, I72&gt;=0, 1.8, TRUE, 1.3))</f>
        <v>3.8</v>
      </c>
      <c r="O72" s="2" t="s">
        <v>2053</v>
      </c>
      <c r="P72" s="10">
        <v>0.84</v>
      </c>
      <c r="Q72" s="10" t="str">
        <f>_xlfn.IFS(Table1[[#This Row],[Rating]]&gt;=4, "Top Performer", Table1[[#This Row],[Rating]]&gt;=3, "Average", TRUE, "Needs Imporovement")</f>
        <v>Average</v>
      </c>
    </row>
    <row r="73" spans="1:17" x14ac:dyDescent="0.3">
      <c r="A73" s="2" t="s">
        <v>191</v>
      </c>
      <c r="B73" s="2" t="s">
        <v>192</v>
      </c>
      <c r="C73" s="2" t="s">
        <v>68</v>
      </c>
      <c r="D73" s="2">
        <v>60</v>
      </c>
      <c r="E73" s="2" t="str">
        <f>_xlfn.IFS(Table1[[#This Row],[Age]]&lt;30, "18-29", D73&lt;=45,"30-45", D73&lt;=55, "46-55", TRUE, "55+")</f>
        <v>55+</v>
      </c>
      <c r="F73" s="2" t="s">
        <v>2</v>
      </c>
      <c r="G73" s="2" t="s">
        <v>3</v>
      </c>
      <c r="H73" s="2" t="s">
        <v>61</v>
      </c>
      <c r="I73" s="5">
        <v>13</v>
      </c>
      <c r="J73" s="5" t="str">
        <f>_xlfn.IFS(Table1[[#This Row],[Experience(Years)]]&lt;5, "Junior", I73&lt;=12, "Mid-Level", I73&lt;=20, "Senior", I73&lt;=30, "Super Senior", TRUE, "Expert")</f>
        <v>Senior</v>
      </c>
      <c r="K73" s="7">
        <v>50</v>
      </c>
      <c r="L73" s="7">
        <f>Table1[[#This Row],[Hourly Rate]]*1000</f>
        <v>50000</v>
      </c>
      <c r="M73" s="7" t="str">
        <f t="shared" si="1"/>
        <v>Standard</v>
      </c>
      <c r="N73" s="2">
        <f>IF(ISNUMBER(#REF!),#REF!, _xlfn.IFS( I73&gt;=30, 5, I73&gt;=25, 4.8, I73&gt;=15, 4, I73&gt;=10, 3.8, I73&gt;=5, 3, I73&gt;=2, 2.5, I73&gt;=0, 1.8, TRUE, 1.3))</f>
        <v>3.8</v>
      </c>
      <c r="O73" s="2" t="s">
        <v>2052</v>
      </c>
      <c r="P73" s="10">
        <v>0.75</v>
      </c>
      <c r="Q73" s="10" t="str">
        <f>_xlfn.IFS(Table1[[#This Row],[Rating]]&gt;=4, "Top Performer", Table1[[#This Row],[Rating]]&gt;=3, "Average", TRUE, "Needs Imporovement")</f>
        <v>Average</v>
      </c>
    </row>
    <row r="74" spans="1:17" x14ac:dyDescent="0.3">
      <c r="A74" s="2" t="s">
        <v>193</v>
      </c>
      <c r="B74" s="2" t="s">
        <v>194</v>
      </c>
      <c r="C74" s="2" t="s">
        <v>68</v>
      </c>
      <c r="D74" s="2">
        <v>40</v>
      </c>
      <c r="E74" s="2" t="str">
        <f>_xlfn.IFS(Table1[[#This Row],[Age]]&lt;30, "18-29", D74&lt;=45,"30-45", D74&lt;=55, "46-55", TRUE, "55+")</f>
        <v>30-45</v>
      </c>
      <c r="F74" s="2" t="s">
        <v>34</v>
      </c>
      <c r="G74" s="2" t="s">
        <v>8</v>
      </c>
      <c r="H74" s="2" t="s">
        <v>17</v>
      </c>
      <c r="I74" s="5">
        <v>9</v>
      </c>
      <c r="J74" s="5" t="str">
        <f>_xlfn.IFS(Table1[[#This Row],[Experience(Years)]]&lt;5, "Junior", I74&lt;=12, "Mid-Level", I74&lt;=20, "Senior", I74&lt;=30, "Super Senior", TRUE, "Expert")</f>
        <v>Mid-Level</v>
      </c>
      <c r="K74" s="7">
        <v>100</v>
      </c>
      <c r="L74" s="7">
        <f>Table1[[#This Row],[Hourly Rate]]*1000</f>
        <v>100000</v>
      </c>
      <c r="M74" s="7" t="str">
        <f t="shared" si="1"/>
        <v>Premium</v>
      </c>
      <c r="N74" s="2">
        <f>IF(ISNUMBER(#REF!),#REF!, _xlfn.IFS( I74&gt;=30, 5, I74&gt;=25, 4.8, I74&gt;=15, 4, I74&gt;=10, 3.8, I74&gt;=5, 3, I74&gt;=2, 2.5, I74&gt;=0, 1.8, TRUE, 1.3))</f>
        <v>3</v>
      </c>
      <c r="O74" s="2" t="s">
        <v>2053</v>
      </c>
      <c r="P74" s="10">
        <v>0.69</v>
      </c>
      <c r="Q74" s="10" t="str">
        <f>_xlfn.IFS(Table1[[#This Row],[Rating]]&gt;=4, "Top Performer", Table1[[#This Row],[Rating]]&gt;=3, "Average", TRUE, "Needs Imporovement")</f>
        <v>Average</v>
      </c>
    </row>
    <row r="75" spans="1:17" x14ac:dyDescent="0.3">
      <c r="A75" s="2" t="s">
        <v>195</v>
      </c>
      <c r="B75" s="2" t="s">
        <v>196</v>
      </c>
      <c r="C75" s="2" t="s">
        <v>68</v>
      </c>
      <c r="D75" s="2">
        <v>59</v>
      </c>
      <c r="E75" s="2" t="str">
        <f>_xlfn.IFS(Table1[[#This Row],[Age]]&lt;30, "18-29", D75&lt;=45,"30-45", D75&lt;=55, "46-55", TRUE, "55+")</f>
        <v>55+</v>
      </c>
      <c r="F75" s="2" t="s">
        <v>7</v>
      </c>
      <c r="G75" s="2" t="s">
        <v>8</v>
      </c>
      <c r="H75" s="2" t="s">
        <v>4</v>
      </c>
      <c r="I75" s="5">
        <v>4</v>
      </c>
      <c r="J75" s="5" t="str">
        <f>_xlfn.IFS(Table1[[#This Row],[Experience(Years)]]&lt;5, "Junior", I75&lt;=12, "Mid-Level", I75&lt;=20, "Senior", I75&lt;=30, "Super Senior", TRUE, "Expert")</f>
        <v>Junior</v>
      </c>
      <c r="K75" s="7">
        <v>40</v>
      </c>
      <c r="L75" s="7">
        <f>Table1[[#This Row],[Hourly Rate]]*1000</f>
        <v>40000</v>
      </c>
      <c r="M75" s="7" t="str">
        <f t="shared" si="1"/>
        <v>Standard</v>
      </c>
      <c r="N75" s="2">
        <f>IF(ISNUMBER(#REF!),#REF!, _xlfn.IFS( I75&gt;=30, 5, I75&gt;=25, 4.8, I75&gt;=15, 4, I75&gt;=10, 3.8, I75&gt;=5, 3, I75&gt;=2, 2.5, I75&gt;=0, 1.8, TRUE, 1.3))</f>
        <v>2.5</v>
      </c>
      <c r="O75" s="2" t="s">
        <v>2052</v>
      </c>
      <c r="P75" s="10">
        <v>0.88</v>
      </c>
      <c r="Q75" s="10" t="str">
        <f>_xlfn.IFS(Table1[[#This Row],[Rating]]&gt;=4, "Top Performer", Table1[[#This Row],[Rating]]&gt;=3, "Average", TRUE, "Needs Imporovement")</f>
        <v>Needs Imporovement</v>
      </c>
    </row>
    <row r="76" spans="1:17" x14ac:dyDescent="0.3">
      <c r="A76" s="2" t="s">
        <v>197</v>
      </c>
      <c r="B76" s="2" t="s">
        <v>198</v>
      </c>
      <c r="C76" s="2" t="s">
        <v>68</v>
      </c>
      <c r="D76" s="2">
        <v>36</v>
      </c>
      <c r="E76" s="2" t="str">
        <f>_xlfn.IFS(Table1[[#This Row],[Age]]&lt;30, "18-29", D76&lt;=45,"30-45", D76&lt;=55, "46-55", TRUE, "55+")</f>
        <v>30-45</v>
      </c>
      <c r="F76" s="2" t="s">
        <v>2</v>
      </c>
      <c r="G76" s="2" t="s">
        <v>3</v>
      </c>
      <c r="H76" s="2" t="s">
        <v>83</v>
      </c>
      <c r="I76" s="5">
        <v>14</v>
      </c>
      <c r="J76" s="5" t="str">
        <f>_xlfn.IFS(Table1[[#This Row],[Experience(Years)]]&lt;5, "Junior", I76&lt;=12, "Mid-Level", I76&lt;=20, "Senior", I76&lt;=30, "Super Senior", TRUE, "Expert")</f>
        <v>Senior</v>
      </c>
      <c r="K76" s="7">
        <v>100</v>
      </c>
      <c r="L76" s="7">
        <f>Table1[[#This Row],[Hourly Rate]]*1000</f>
        <v>100000</v>
      </c>
      <c r="M76" s="7" t="str">
        <f t="shared" si="1"/>
        <v>Premium</v>
      </c>
      <c r="N76" s="2">
        <f>IF(ISNUMBER(#REF!),#REF!, _xlfn.IFS( I76&gt;=30, 5, I76&gt;=25, 4.8, I76&gt;=15, 4, I76&gt;=10, 3.8, I76&gt;=5, 3, I76&gt;=2, 2.5, I76&gt;=0, 1.8, TRUE, 1.3))</f>
        <v>3.8</v>
      </c>
      <c r="O76" s="2" t="s">
        <v>2052</v>
      </c>
      <c r="P76" s="10">
        <v>0.75</v>
      </c>
      <c r="Q76" s="10" t="str">
        <f>_xlfn.IFS(Table1[[#This Row],[Rating]]&gt;=4, "Top Performer", Table1[[#This Row],[Rating]]&gt;=3, "Average", TRUE, "Needs Imporovement")</f>
        <v>Average</v>
      </c>
    </row>
    <row r="77" spans="1:17" x14ac:dyDescent="0.3">
      <c r="A77" s="2" t="s">
        <v>199</v>
      </c>
      <c r="B77" s="2" t="s">
        <v>200</v>
      </c>
      <c r="C77" s="2" t="s">
        <v>68</v>
      </c>
      <c r="D77" s="2">
        <v>32</v>
      </c>
      <c r="E77" s="2" t="str">
        <f>_xlfn.IFS(Table1[[#This Row],[Age]]&lt;30, "18-29", D77&lt;=45,"30-45", D77&lt;=55, "46-55", TRUE, "55+")</f>
        <v>30-45</v>
      </c>
      <c r="F77" s="2" t="s">
        <v>64</v>
      </c>
      <c r="G77" s="2" t="s">
        <v>65</v>
      </c>
      <c r="H77" s="2" t="s">
        <v>29</v>
      </c>
      <c r="I77" s="5">
        <v>5</v>
      </c>
      <c r="J77" s="5" t="str">
        <f>_xlfn.IFS(Table1[[#This Row],[Experience(Years)]]&lt;5, "Junior", I77&lt;=12, "Mid-Level", I77&lt;=20, "Senior", I77&lt;=30, "Super Senior", TRUE, "Expert")</f>
        <v>Mid-Level</v>
      </c>
      <c r="K77" s="7">
        <v>30</v>
      </c>
      <c r="L77" s="7">
        <f>Table1[[#This Row],[Hourly Rate]]*1000</f>
        <v>30000</v>
      </c>
      <c r="M77" s="7" t="str">
        <f t="shared" si="1"/>
        <v>Budget</v>
      </c>
      <c r="N77" s="2">
        <f>IF(ISNUMBER(#REF!),#REF!, _xlfn.IFS( I77&gt;=30, 5, I77&gt;=25, 4.8, I77&gt;=15, 4, I77&gt;=10, 3.8, I77&gt;=5, 3, I77&gt;=2, 2.5, I77&gt;=0, 1.8, TRUE, 1.3))</f>
        <v>3</v>
      </c>
      <c r="O77" s="2" t="s">
        <v>2053</v>
      </c>
      <c r="P77" s="10">
        <v>0.96</v>
      </c>
      <c r="Q77" s="10" t="str">
        <f>_xlfn.IFS(Table1[[#This Row],[Rating]]&gt;=4, "Top Performer", Table1[[#This Row],[Rating]]&gt;=3, "Average", TRUE, "Needs Imporovement")</f>
        <v>Average</v>
      </c>
    </row>
    <row r="78" spans="1:17" x14ac:dyDescent="0.3">
      <c r="A78" s="2" t="s">
        <v>201</v>
      </c>
      <c r="B78" s="2" t="s">
        <v>202</v>
      </c>
      <c r="C78" s="2" t="s">
        <v>68</v>
      </c>
      <c r="D78" s="2">
        <v>59</v>
      </c>
      <c r="E78" s="2" t="str">
        <f>_xlfn.IFS(Table1[[#This Row],[Age]]&lt;30, "18-29", D78&lt;=45,"30-45", D78&lt;=55, "46-55", TRUE, "55+")</f>
        <v>55+</v>
      </c>
      <c r="F78" s="2" t="s">
        <v>7</v>
      </c>
      <c r="G78" s="2" t="s">
        <v>8</v>
      </c>
      <c r="H78" s="2" t="s">
        <v>24</v>
      </c>
      <c r="I78" s="5">
        <v>9</v>
      </c>
      <c r="J78" s="5" t="str">
        <f>_xlfn.IFS(Table1[[#This Row],[Experience(Years)]]&lt;5, "Junior", I78&lt;=12, "Mid-Level", I78&lt;=20, "Senior", I78&lt;=30, "Super Senior", TRUE, "Expert")</f>
        <v>Mid-Level</v>
      </c>
      <c r="K78" s="7">
        <v>75</v>
      </c>
      <c r="L78" s="7">
        <f>Table1[[#This Row],[Hourly Rate]]*1000</f>
        <v>75000</v>
      </c>
      <c r="M78" s="7" t="str">
        <f t="shared" si="1"/>
        <v>Standard</v>
      </c>
      <c r="N78" s="2">
        <f>IF(ISNUMBER(#REF!),#REF!, _xlfn.IFS( I78&gt;=30, 5, I78&gt;=25, 4.8, I78&gt;=15, 4, I78&gt;=10, 3.8, I78&gt;=5, 3, I78&gt;=2, 2.5, I78&gt;=0, 1.8, TRUE, 1.3))</f>
        <v>3</v>
      </c>
      <c r="O78" s="2" t="s">
        <v>2053</v>
      </c>
      <c r="P78" s="10">
        <v>0.96</v>
      </c>
      <c r="Q78" s="10" t="str">
        <f>_xlfn.IFS(Table1[[#This Row],[Rating]]&gt;=4, "Top Performer", Table1[[#This Row],[Rating]]&gt;=3, "Average", TRUE, "Needs Imporovement")</f>
        <v>Average</v>
      </c>
    </row>
    <row r="79" spans="1:17" x14ac:dyDescent="0.3">
      <c r="A79" s="2" t="s">
        <v>203</v>
      </c>
      <c r="B79" s="2" t="s">
        <v>204</v>
      </c>
      <c r="C79" s="2" t="s">
        <v>49</v>
      </c>
      <c r="D79" s="2">
        <v>54</v>
      </c>
      <c r="E79" s="2" t="str">
        <f>_xlfn.IFS(Table1[[#This Row],[Age]]&lt;30, "18-29", D79&lt;=45,"30-45", D79&lt;=55, "46-55", TRUE, "55+")</f>
        <v>46-55</v>
      </c>
      <c r="F79" s="2" t="s">
        <v>156</v>
      </c>
      <c r="G79" s="2" t="s">
        <v>45</v>
      </c>
      <c r="H79" s="2" t="s">
        <v>61</v>
      </c>
      <c r="I79" s="5">
        <v>32</v>
      </c>
      <c r="J79" s="5" t="str">
        <f>_xlfn.IFS(Table1[[#This Row],[Experience(Years)]]&lt;5, "Junior", I79&lt;=12, "Mid-Level", I79&lt;=20, "Senior", I79&lt;=30, "Super Senior", TRUE, "Expert")</f>
        <v>Expert</v>
      </c>
      <c r="K79" s="7">
        <v>40</v>
      </c>
      <c r="L79" s="7">
        <f>Table1[[#This Row],[Hourly Rate]]*1000</f>
        <v>40000</v>
      </c>
      <c r="M79" s="7" t="str">
        <f t="shared" si="1"/>
        <v>Standard</v>
      </c>
      <c r="N79" s="2">
        <f>IF(ISNUMBER(#REF!),#REF!, _xlfn.IFS( I79&gt;=30, 5, I79&gt;=25, 4.8, I79&gt;=15, 4, I79&gt;=10, 3.8, I79&gt;=5, 3, I79&gt;=2, 2.5, I79&gt;=0, 1.8, TRUE, 1.3))</f>
        <v>5</v>
      </c>
      <c r="O79" s="2" t="s">
        <v>2052</v>
      </c>
      <c r="P79" s="10">
        <v>1</v>
      </c>
      <c r="Q79" s="10" t="str">
        <f>_xlfn.IFS(Table1[[#This Row],[Rating]]&gt;=4, "Top Performer", Table1[[#This Row],[Rating]]&gt;=3, "Average", TRUE, "Needs Imporovement")</f>
        <v>Top Performer</v>
      </c>
    </row>
    <row r="80" spans="1:17" x14ac:dyDescent="0.3">
      <c r="A80" s="2" t="s">
        <v>205</v>
      </c>
      <c r="B80" s="2" t="s">
        <v>206</v>
      </c>
      <c r="C80" s="2" t="s">
        <v>49</v>
      </c>
      <c r="D80" s="2">
        <v>37</v>
      </c>
      <c r="E80" s="2" t="str">
        <f>_xlfn.IFS(Table1[[#This Row],[Age]]&lt;30, "18-29", D80&lt;=45,"30-45", D80&lt;=55, "46-55", TRUE, "55+")</f>
        <v>30-45</v>
      </c>
      <c r="F80" s="2" t="s">
        <v>96</v>
      </c>
      <c r="G80" s="2" t="s">
        <v>8</v>
      </c>
      <c r="H80" s="2" t="s">
        <v>14</v>
      </c>
      <c r="I80" s="5">
        <v>9</v>
      </c>
      <c r="J80" s="5" t="str">
        <f>_xlfn.IFS(Table1[[#This Row],[Experience(Years)]]&lt;5, "Junior", I80&lt;=12, "Mid-Level", I80&lt;=20, "Senior", I80&lt;=30, "Super Senior", TRUE, "Expert")</f>
        <v>Mid-Level</v>
      </c>
      <c r="K80" s="7">
        <v>50</v>
      </c>
      <c r="L80" s="7">
        <f>Table1[[#This Row],[Hourly Rate]]*1000</f>
        <v>50000</v>
      </c>
      <c r="M80" s="7" t="str">
        <f t="shared" si="1"/>
        <v>Standard</v>
      </c>
      <c r="N80" s="2">
        <f>IF(ISNUMBER(#REF!),#REF!, _xlfn.IFS( I80&gt;=30, 5, I80&gt;=25, 4.8, I80&gt;=15, 4, I80&gt;=10, 3.8, I80&gt;=5, 3, I80&gt;=2, 2.5, I80&gt;=0, 1.8, TRUE, 1.3))</f>
        <v>3</v>
      </c>
      <c r="O80" s="2" t="s">
        <v>2053</v>
      </c>
      <c r="P80" s="10">
        <v>0.89</v>
      </c>
      <c r="Q80" s="10" t="str">
        <f>_xlfn.IFS(Table1[[#This Row],[Rating]]&gt;=4, "Top Performer", Table1[[#This Row],[Rating]]&gt;=3, "Average", TRUE, "Needs Imporovement")</f>
        <v>Average</v>
      </c>
    </row>
    <row r="81" spans="1:17" x14ac:dyDescent="0.3">
      <c r="A81" s="2" t="s">
        <v>207</v>
      </c>
      <c r="B81" s="2" t="s">
        <v>208</v>
      </c>
      <c r="C81" s="2" t="s">
        <v>68</v>
      </c>
      <c r="D81" s="2">
        <v>54</v>
      </c>
      <c r="E81" s="2" t="str">
        <f>_xlfn.IFS(Table1[[#This Row],[Age]]&lt;30, "18-29", D81&lt;=45,"30-45", D81&lt;=55, "46-55", TRUE, "55+")</f>
        <v>46-55</v>
      </c>
      <c r="F81" s="2" t="s">
        <v>64</v>
      </c>
      <c r="G81" s="2" t="s">
        <v>65</v>
      </c>
      <c r="H81" s="2" t="s">
        <v>83</v>
      </c>
      <c r="I81" s="5">
        <v>21</v>
      </c>
      <c r="J81" s="5" t="str">
        <f>_xlfn.IFS(Table1[[#This Row],[Experience(Years)]]&lt;5, "Junior", I81&lt;=12, "Mid-Level", I81&lt;=20, "Senior", I81&lt;=30, "Super Senior", TRUE, "Expert")</f>
        <v>Super Senior</v>
      </c>
      <c r="K81" s="7">
        <v>100</v>
      </c>
      <c r="L81" s="7">
        <f>Table1[[#This Row],[Hourly Rate]]*1000</f>
        <v>100000</v>
      </c>
      <c r="M81" s="7" t="str">
        <f t="shared" si="1"/>
        <v>Premium</v>
      </c>
      <c r="N81" s="2">
        <f>IF(ISNUMBER(#REF!),#REF!, _xlfn.IFS( I81&gt;=30, 5, I81&gt;=25, 4.8, I81&gt;=15, 4, I81&gt;=10, 3.8, I81&gt;=5, 3, I81&gt;=2, 2.5, I81&gt;=0, 1.8, TRUE, 1.3))</f>
        <v>4</v>
      </c>
      <c r="O81" s="2" t="s">
        <v>2052</v>
      </c>
      <c r="P81" s="10">
        <v>0.85</v>
      </c>
      <c r="Q81" s="10" t="str">
        <f>_xlfn.IFS(Table1[[#This Row],[Rating]]&gt;=4, "Top Performer", Table1[[#This Row],[Rating]]&gt;=3, "Average", TRUE, "Needs Imporovement")</f>
        <v>Top Performer</v>
      </c>
    </row>
    <row r="82" spans="1:17" x14ac:dyDescent="0.3">
      <c r="A82" s="2" t="s">
        <v>209</v>
      </c>
      <c r="B82" s="2" t="s">
        <v>210</v>
      </c>
      <c r="C82" s="2" t="s">
        <v>49</v>
      </c>
      <c r="D82" s="2">
        <v>33</v>
      </c>
      <c r="E82" s="2" t="str">
        <f>_xlfn.IFS(Table1[[#This Row],[Age]]&lt;30, "18-29", D82&lt;=45,"30-45", D82&lt;=55, "46-55", TRUE, "55+")</f>
        <v>30-45</v>
      </c>
      <c r="F82" s="2" t="s">
        <v>44</v>
      </c>
      <c r="G82" s="2" t="s">
        <v>45</v>
      </c>
      <c r="H82" s="2" t="s">
        <v>46</v>
      </c>
      <c r="I82" s="5">
        <v>12</v>
      </c>
      <c r="J82" s="5" t="str">
        <f>_xlfn.IFS(Table1[[#This Row],[Experience(Years)]]&lt;5, "Junior", I82&lt;=12, "Mid-Level", I82&lt;=20, "Senior", I82&lt;=30, "Super Senior", TRUE, "Expert")</f>
        <v>Mid-Level</v>
      </c>
      <c r="K82" s="7">
        <v>100</v>
      </c>
      <c r="L82" s="7">
        <f>Table1[[#This Row],[Hourly Rate]]*1000</f>
        <v>100000</v>
      </c>
      <c r="M82" s="7" t="str">
        <f t="shared" si="1"/>
        <v>Premium</v>
      </c>
      <c r="N82" s="2">
        <f>IF(ISNUMBER(#REF!),#REF!, _xlfn.IFS( I82&gt;=30, 5, I82&gt;=25, 4.8, I82&gt;=15, 4, I82&gt;=10, 3.8, I82&gt;=5, 3, I82&gt;=2, 2.5, I82&gt;=0, 1.8, TRUE, 1.3))</f>
        <v>3.8</v>
      </c>
      <c r="O82" s="2" t="s">
        <v>2052</v>
      </c>
      <c r="P82" s="10">
        <v>0.63</v>
      </c>
      <c r="Q82" s="10" t="str">
        <f>_xlfn.IFS(Table1[[#This Row],[Rating]]&gt;=4, "Top Performer", Table1[[#This Row],[Rating]]&gt;=3, "Average", TRUE, "Needs Imporovement")</f>
        <v>Average</v>
      </c>
    </row>
    <row r="83" spans="1:17" x14ac:dyDescent="0.3">
      <c r="A83" s="2" t="s">
        <v>211</v>
      </c>
      <c r="B83" s="2" t="s">
        <v>212</v>
      </c>
      <c r="C83" s="2" t="s">
        <v>49</v>
      </c>
      <c r="D83" s="2">
        <v>25</v>
      </c>
      <c r="E83" s="2" t="str">
        <f>_xlfn.IFS(Table1[[#This Row],[Age]]&lt;30, "18-29", D83&lt;=45,"30-45", D83&lt;=55, "46-55", TRUE, "55+")</f>
        <v>18-29</v>
      </c>
      <c r="F83" s="2" t="s">
        <v>107</v>
      </c>
      <c r="G83" s="2" t="s">
        <v>108</v>
      </c>
      <c r="H83" s="2" t="s">
        <v>17</v>
      </c>
      <c r="I83" s="5">
        <v>7</v>
      </c>
      <c r="J83" s="5" t="str">
        <f>_xlfn.IFS(Table1[[#This Row],[Experience(Years)]]&lt;5, "Junior", I83&lt;=12, "Mid-Level", I83&lt;=20, "Senior", I83&lt;=30, "Super Senior", TRUE, "Expert")</f>
        <v>Mid-Level</v>
      </c>
      <c r="K83" s="7">
        <v>40</v>
      </c>
      <c r="L83" s="7">
        <f>Table1[[#This Row],[Hourly Rate]]*1000</f>
        <v>40000</v>
      </c>
      <c r="M83" s="7" t="str">
        <f t="shared" si="1"/>
        <v>Standard</v>
      </c>
      <c r="N83" s="2">
        <f>IF(ISNUMBER(#REF!),#REF!, _xlfn.IFS( I83&gt;=30, 5, I83&gt;=25, 4.8, I83&gt;=15, 4, I83&gt;=10, 3.8, I83&gt;=5, 3, I83&gt;=2, 2.5, I83&gt;=0, 1.8, TRUE, 1.3))</f>
        <v>3</v>
      </c>
      <c r="O83" s="2" t="str">
        <f>IF(AND( Table1[[#This Row],[Rating]]&gt;=3.5, Table1[[#This Row],[Experience(Years)]]&gt;=15), "Active", "Inactive")</f>
        <v>Inactive</v>
      </c>
      <c r="P83" s="10">
        <v>0.81</v>
      </c>
      <c r="Q83" s="10" t="str">
        <f>_xlfn.IFS(Table1[[#This Row],[Rating]]&gt;=4, "Top Performer", Table1[[#This Row],[Rating]]&gt;=3, "Average", TRUE, "Needs Imporovement")</f>
        <v>Average</v>
      </c>
    </row>
    <row r="84" spans="1:17" x14ac:dyDescent="0.3">
      <c r="A84" s="2" t="s">
        <v>213</v>
      </c>
      <c r="B84" s="2" t="s">
        <v>214</v>
      </c>
      <c r="C84" s="2" t="s">
        <v>68</v>
      </c>
      <c r="D84" s="2">
        <v>30</v>
      </c>
      <c r="E84" s="2" t="str">
        <f>_xlfn.IFS(Table1[[#This Row],[Age]]&lt;30, "18-29", D84&lt;=45,"30-45", D84&lt;=55, "46-55", TRUE, "55+")</f>
        <v>30-45</v>
      </c>
      <c r="F84" s="2" t="s">
        <v>141</v>
      </c>
      <c r="G84" s="2" t="s">
        <v>142</v>
      </c>
      <c r="H84" s="2" t="s">
        <v>61</v>
      </c>
      <c r="I84" s="5">
        <v>3</v>
      </c>
      <c r="J84" s="5" t="str">
        <f>_xlfn.IFS(Table1[[#This Row],[Experience(Years)]]&lt;5, "Junior", I84&lt;=12, "Mid-Level", I84&lt;=20, "Senior", I84&lt;=30, "Super Senior", TRUE, "Expert")</f>
        <v>Junior</v>
      </c>
      <c r="K84" s="7">
        <v>40</v>
      </c>
      <c r="L84" s="7">
        <f>Table1[[#This Row],[Hourly Rate]]*1000</f>
        <v>40000</v>
      </c>
      <c r="M84" s="7" t="str">
        <f t="shared" si="1"/>
        <v>Standard</v>
      </c>
      <c r="N84" s="2">
        <f>IF(ISNUMBER(#REF!),#REF!, _xlfn.IFS( I84&gt;=30, 5, I84&gt;=25, 4.8, I84&gt;=15, 4, I84&gt;=10, 3.8, I84&gt;=5, 3, I84&gt;=2, 2.5, I84&gt;=0, 1.8, TRUE, 1.3))</f>
        <v>2.5</v>
      </c>
      <c r="O84" s="2" t="s">
        <v>2052</v>
      </c>
      <c r="P84" s="10">
        <v>0.74</v>
      </c>
      <c r="Q84" s="10" t="str">
        <f>_xlfn.IFS(Table1[[#This Row],[Rating]]&gt;=4, "Top Performer", Table1[[#This Row],[Rating]]&gt;=3, "Average", TRUE, "Needs Imporovement")</f>
        <v>Needs Imporovement</v>
      </c>
    </row>
    <row r="85" spans="1:17" x14ac:dyDescent="0.3">
      <c r="A85" s="2" t="s">
        <v>215</v>
      </c>
      <c r="B85" s="2" t="s">
        <v>216</v>
      </c>
      <c r="C85" s="2" t="s">
        <v>68</v>
      </c>
      <c r="D85" s="2">
        <v>35</v>
      </c>
      <c r="E85" s="2" t="str">
        <f>_xlfn.IFS(Table1[[#This Row],[Age]]&lt;30, "18-29", D85&lt;=45,"30-45", D85&lt;=55, "46-55", TRUE, "55+")</f>
        <v>30-45</v>
      </c>
      <c r="F85" s="2" t="s">
        <v>81</v>
      </c>
      <c r="G85" s="2" t="s">
        <v>82</v>
      </c>
      <c r="H85" s="2" t="s">
        <v>17</v>
      </c>
      <c r="I85" s="5">
        <v>5</v>
      </c>
      <c r="J85" s="5" t="str">
        <f>_xlfn.IFS(Table1[[#This Row],[Experience(Years)]]&lt;5, "Junior", I85&lt;=12, "Mid-Level", I85&lt;=20, "Senior", I85&lt;=30, "Super Senior", TRUE, "Expert")</f>
        <v>Mid-Level</v>
      </c>
      <c r="K85" s="7">
        <v>75</v>
      </c>
      <c r="L85" s="7">
        <f>Table1[[#This Row],[Hourly Rate]]*1000</f>
        <v>75000</v>
      </c>
      <c r="M85" s="7" t="str">
        <f t="shared" si="1"/>
        <v>Standard</v>
      </c>
      <c r="N85" s="2">
        <f>IF(ISNUMBER(#REF!),#REF!, _xlfn.IFS( I85&gt;=30, 5, I85&gt;=25, 4.8, I85&gt;=15, 4, I85&gt;=10, 3.8, I85&gt;=5, 3, I85&gt;=2, 2.5, I85&gt;=0, 1.8, TRUE, 1.3))</f>
        <v>3</v>
      </c>
      <c r="O85" s="2" t="s">
        <v>2052</v>
      </c>
      <c r="P85" s="10">
        <v>0.72</v>
      </c>
      <c r="Q85" s="10" t="str">
        <f>_xlfn.IFS(Table1[[#This Row],[Rating]]&gt;=4, "Top Performer", Table1[[#This Row],[Rating]]&gt;=3, "Average", TRUE, "Needs Imporovement")</f>
        <v>Average</v>
      </c>
    </row>
    <row r="86" spans="1:17" x14ac:dyDescent="0.3">
      <c r="A86" s="2" t="s">
        <v>217</v>
      </c>
      <c r="B86" s="2" t="s">
        <v>218</v>
      </c>
      <c r="C86" s="2" t="s">
        <v>68</v>
      </c>
      <c r="D86" s="2">
        <v>59</v>
      </c>
      <c r="E86" s="2" t="str">
        <f>_xlfn.IFS(Table1[[#This Row],[Age]]&lt;30, "18-29", D86&lt;=45,"30-45", D86&lt;=55, "46-55", TRUE, "55+")</f>
        <v>55+</v>
      </c>
      <c r="F86" s="2" t="s">
        <v>81</v>
      </c>
      <c r="G86" s="2" t="s">
        <v>82</v>
      </c>
      <c r="H86" s="2" t="s">
        <v>24</v>
      </c>
      <c r="I86" s="5">
        <v>30</v>
      </c>
      <c r="J86" s="5" t="str">
        <f>_xlfn.IFS(Table1[[#This Row],[Experience(Years)]]&lt;5, "Junior", I86&lt;=12, "Mid-Level", I86&lt;=20, "Senior", I86&lt;=30, "Super Senior", TRUE, "Expert")</f>
        <v>Super Senior</v>
      </c>
      <c r="K86" s="7">
        <v>40</v>
      </c>
      <c r="L86" s="7">
        <f>Table1[[#This Row],[Hourly Rate]]*1000</f>
        <v>40000</v>
      </c>
      <c r="M86" s="7" t="str">
        <f t="shared" si="1"/>
        <v>Standard</v>
      </c>
      <c r="N86" s="2">
        <f>IF(ISNUMBER(#REF!),#REF!, _xlfn.IFS( I86&gt;=30, 5, I86&gt;=25, 4.8, I86&gt;=15, 4, I86&gt;=10, 3.8, I86&gt;=5, 3, I86&gt;=2, 2.5, I86&gt;=0, 1.8, TRUE, 1.3))</f>
        <v>5</v>
      </c>
      <c r="O86" s="2" t="s">
        <v>2053</v>
      </c>
      <c r="P86" s="10">
        <v>1</v>
      </c>
      <c r="Q86" s="10" t="str">
        <f>_xlfn.IFS(Table1[[#This Row],[Rating]]&gt;=4, "Top Performer", Table1[[#This Row],[Rating]]&gt;=3, "Average", TRUE, "Needs Imporovement")</f>
        <v>Top Performer</v>
      </c>
    </row>
    <row r="87" spans="1:17" x14ac:dyDescent="0.3">
      <c r="A87" s="2" t="s">
        <v>219</v>
      </c>
      <c r="B87" s="2" t="s">
        <v>220</v>
      </c>
      <c r="C87" s="2" t="s">
        <v>49</v>
      </c>
      <c r="D87" s="2">
        <v>21</v>
      </c>
      <c r="E87" s="2" t="str">
        <f>_xlfn.IFS(Table1[[#This Row],[Age]]&lt;30, "18-29", D87&lt;=45,"30-45", D87&lt;=55, "46-55", TRUE, "55+")</f>
        <v>18-29</v>
      </c>
      <c r="F87" s="2" t="s">
        <v>141</v>
      </c>
      <c r="G87" s="2" t="s">
        <v>142</v>
      </c>
      <c r="H87" s="2" t="s">
        <v>61</v>
      </c>
      <c r="I87" s="5">
        <v>2</v>
      </c>
      <c r="J87" s="5" t="str">
        <f>_xlfn.IFS(Table1[[#This Row],[Experience(Years)]]&lt;5, "Junior", I87&lt;=12, "Mid-Level", I87&lt;=20, "Senior", I87&lt;=30, "Super Senior", TRUE, "Expert")</f>
        <v>Junior</v>
      </c>
      <c r="K87" s="7">
        <v>100</v>
      </c>
      <c r="L87" s="7">
        <f>Table1[[#This Row],[Hourly Rate]]*1000</f>
        <v>100000</v>
      </c>
      <c r="M87" s="7" t="str">
        <f t="shared" si="1"/>
        <v>Premium</v>
      </c>
      <c r="N87" s="2">
        <f>IF(ISNUMBER(#REF!),#REF!, _xlfn.IFS( I87&gt;=30, 5, I87&gt;=25, 4.8, I87&gt;=15, 4, I87&gt;=10, 3.8, I87&gt;=5, 3, I87&gt;=2, 2.5, I87&gt;=0, 1.8, TRUE, 1.3))</f>
        <v>2.5</v>
      </c>
      <c r="O87" s="2" t="s">
        <v>2053</v>
      </c>
      <c r="P87" s="10">
        <v>0.85</v>
      </c>
      <c r="Q87" s="10" t="str">
        <f>_xlfn.IFS(Table1[[#This Row],[Rating]]&gt;=4, "Top Performer", Table1[[#This Row],[Rating]]&gt;=3, "Average", TRUE, "Needs Imporovement")</f>
        <v>Needs Imporovement</v>
      </c>
    </row>
    <row r="88" spans="1:17" x14ac:dyDescent="0.3">
      <c r="A88" s="2" t="s">
        <v>221</v>
      </c>
      <c r="B88" s="2" t="s">
        <v>222</v>
      </c>
      <c r="C88" s="2" t="s">
        <v>68</v>
      </c>
      <c r="D88" s="2">
        <v>25</v>
      </c>
      <c r="E88" s="2" t="str">
        <f>_xlfn.IFS(Table1[[#This Row],[Age]]&lt;30, "18-29", D88&lt;=45,"30-45", D88&lt;=55, "46-55", TRUE, "55+")</f>
        <v>18-29</v>
      </c>
      <c r="F88" s="2" t="s">
        <v>34</v>
      </c>
      <c r="G88" s="2" t="s">
        <v>8</v>
      </c>
      <c r="H88" s="2" t="s">
        <v>9</v>
      </c>
      <c r="I88" s="5">
        <v>2</v>
      </c>
      <c r="J88" s="5" t="str">
        <f>_xlfn.IFS(Table1[[#This Row],[Experience(Years)]]&lt;5, "Junior", I88&lt;=12, "Mid-Level", I88&lt;=20, "Senior", I88&lt;=30, "Super Senior", TRUE, "Expert")</f>
        <v>Junior</v>
      </c>
      <c r="K88" s="7">
        <v>75</v>
      </c>
      <c r="L88" s="7">
        <f>Table1[[#This Row],[Hourly Rate]]*1000</f>
        <v>75000</v>
      </c>
      <c r="M88" s="7" t="str">
        <f t="shared" si="1"/>
        <v>Standard</v>
      </c>
      <c r="N88" s="2">
        <f>IF(ISNUMBER(#REF!),#REF!, _xlfn.IFS( I88&gt;=30, 5, I88&gt;=25, 4.8, I88&gt;=15, 4, I88&gt;=10, 3.8, I88&gt;=5, 3, I88&gt;=2, 2.5, I88&gt;=0, 1.8, TRUE, 1.3))</f>
        <v>2.5</v>
      </c>
      <c r="O88" s="2" t="s">
        <v>2052</v>
      </c>
      <c r="P88" s="10">
        <v>0.35</v>
      </c>
      <c r="Q88" s="10" t="str">
        <f>_xlfn.IFS(Table1[[#This Row],[Rating]]&gt;=4, "Top Performer", Table1[[#This Row],[Rating]]&gt;=3, "Average", TRUE, "Needs Imporovement")</f>
        <v>Needs Imporovement</v>
      </c>
    </row>
    <row r="89" spans="1:17" x14ac:dyDescent="0.3">
      <c r="A89" s="2" t="s">
        <v>223</v>
      </c>
      <c r="B89" s="2" t="s">
        <v>224</v>
      </c>
      <c r="C89" s="2" t="s">
        <v>49</v>
      </c>
      <c r="D89" s="2">
        <v>38</v>
      </c>
      <c r="E89" s="2" t="str">
        <f>_xlfn.IFS(Table1[[#This Row],[Age]]&lt;30, "18-29", D89&lt;=45,"30-45", D89&lt;=55, "46-55", TRUE, "55+")</f>
        <v>30-45</v>
      </c>
      <c r="F89" s="2" t="s">
        <v>145</v>
      </c>
      <c r="G89" s="2" t="s">
        <v>45</v>
      </c>
      <c r="H89" s="2" t="s">
        <v>17</v>
      </c>
      <c r="I89" s="5">
        <v>19</v>
      </c>
      <c r="J89" s="5" t="str">
        <f>_xlfn.IFS(Table1[[#This Row],[Experience(Years)]]&lt;5, "Junior", I89&lt;=12, "Mid-Level", I89&lt;=20, "Senior", I89&lt;=30, "Super Senior", TRUE, "Expert")</f>
        <v>Senior</v>
      </c>
      <c r="K89" s="7">
        <v>75</v>
      </c>
      <c r="L89" s="7">
        <f>Table1[[#This Row],[Hourly Rate]]*1000</f>
        <v>75000</v>
      </c>
      <c r="M89" s="7" t="str">
        <f t="shared" si="1"/>
        <v>Standard</v>
      </c>
      <c r="N89" s="2">
        <f>IF(ISNUMBER(#REF!),#REF!, _xlfn.IFS( I89&gt;=30, 5, I89&gt;=25, 4.8, I89&gt;=15, 4, I89&gt;=10, 3.8, I89&gt;=5, 3, I89&gt;=2, 2.5, I89&gt;=0, 1.8, TRUE, 1.3))</f>
        <v>4</v>
      </c>
      <c r="O89" s="2" t="s">
        <v>2052</v>
      </c>
      <c r="P89" s="10">
        <v>0.61</v>
      </c>
      <c r="Q89" s="10" t="str">
        <f>_xlfn.IFS(Table1[[#This Row],[Rating]]&gt;=4, "Top Performer", Table1[[#This Row],[Rating]]&gt;=3, "Average", TRUE, "Needs Imporovement")</f>
        <v>Top Performer</v>
      </c>
    </row>
    <row r="90" spans="1:17" x14ac:dyDescent="0.3">
      <c r="A90" s="2" t="s">
        <v>225</v>
      </c>
      <c r="B90" s="2" t="s">
        <v>226</v>
      </c>
      <c r="C90" s="2" t="s">
        <v>68</v>
      </c>
      <c r="D90" s="2">
        <v>57</v>
      </c>
      <c r="E90" s="2" t="str">
        <f>_xlfn.IFS(Table1[[#This Row],[Age]]&lt;30, "18-29", D90&lt;=45,"30-45", D90&lt;=55, "46-55", TRUE, "55+")</f>
        <v>55+</v>
      </c>
      <c r="F90" s="2" t="s">
        <v>92</v>
      </c>
      <c r="G90" s="2" t="s">
        <v>93</v>
      </c>
      <c r="H90" s="2" t="s">
        <v>24</v>
      </c>
      <c r="I90" s="5">
        <v>16</v>
      </c>
      <c r="J90" s="5" t="str">
        <f>_xlfn.IFS(Table1[[#This Row],[Experience(Years)]]&lt;5, "Junior", I90&lt;=12, "Mid-Level", I90&lt;=20, "Senior", I90&lt;=30, "Super Senior", TRUE, "Expert")</f>
        <v>Senior</v>
      </c>
      <c r="K90" s="7">
        <v>100</v>
      </c>
      <c r="L90" s="7">
        <f>Table1[[#This Row],[Hourly Rate]]*1000</f>
        <v>100000</v>
      </c>
      <c r="M90" s="7" t="str">
        <f t="shared" si="1"/>
        <v>Premium</v>
      </c>
      <c r="N90" s="2">
        <f>IF(ISNUMBER(#REF!),#REF!, _xlfn.IFS( I90&gt;=30, 5, I90&gt;=25, 4.8, I90&gt;=15, 4, I90&gt;=10, 3.8, I90&gt;=5, 3, I90&gt;=2, 2.5, I90&gt;=0, 1.8, TRUE, 1.3))</f>
        <v>4</v>
      </c>
      <c r="O90" s="2" t="s">
        <v>2052</v>
      </c>
      <c r="P90" s="10">
        <v>0.85</v>
      </c>
      <c r="Q90" s="10" t="str">
        <f>_xlfn.IFS(Table1[[#This Row],[Rating]]&gt;=4, "Top Performer", Table1[[#This Row],[Rating]]&gt;=3, "Average", TRUE, "Needs Imporovement")</f>
        <v>Top Performer</v>
      </c>
    </row>
    <row r="91" spans="1:17" x14ac:dyDescent="0.3">
      <c r="A91" s="2" t="s">
        <v>227</v>
      </c>
      <c r="B91" s="2" t="s">
        <v>228</v>
      </c>
      <c r="C91" s="2" t="s">
        <v>68</v>
      </c>
      <c r="D91" s="2">
        <v>32</v>
      </c>
      <c r="E91" s="2" t="str">
        <f>_xlfn.IFS(Table1[[#This Row],[Age]]&lt;30, "18-29", D91&lt;=45,"30-45", D91&lt;=55, "46-55", TRUE, "55+")</f>
        <v>30-45</v>
      </c>
      <c r="F91" s="2" t="s">
        <v>64</v>
      </c>
      <c r="G91" s="2" t="s">
        <v>65</v>
      </c>
      <c r="H91" s="2" t="s">
        <v>9</v>
      </c>
      <c r="I91" s="5">
        <v>10</v>
      </c>
      <c r="J91" s="5" t="str">
        <f>_xlfn.IFS(Table1[[#This Row],[Experience(Years)]]&lt;5, "Junior", I91&lt;=12, "Mid-Level", I91&lt;=20, "Senior", I91&lt;=30, "Super Senior", TRUE, "Expert")</f>
        <v>Mid-Level</v>
      </c>
      <c r="K91" s="7">
        <v>20</v>
      </c>
      <c r="L91" s="7">
        <f>Table1[[#This Row],[Hourly Rate]]*1000</f>
        <v>20000</v>
      </c>
      <c r="M91" s="7" t="str">
        <f t="shared" si="1"/>
        <v>Budget</v>
      </c>
      <c r="N91" s="2">
        <f>IF(ISNUMBER(#REF!),#REF!, _xlfn.IFS( I91&gt;=30, 5, I91&gt;=25, 4.8, I91&gt;=15, 4, I91&gt;=10, 3.8, I91&gt;=5, 3, I91&gt;=2, 2.5, I91&gt;=0, 1.8, TRUE, 1.3))</f>
        <v>3.8</v>
      </c>
      <c r="O91" s="2" t="s">
        <v>2052</v>
      </c>
      <c r="P91" s="10">
        <v>0.86</v>
      </c>
      <c r="Q91" s="10" t="str">
        <f>_xlfn.IFS(Table1[[#This Row],[Rating]]&gt;=4, "Top Performer", Table1[[#This Row],[Rating]]&gt;=3, "Average", TRUE, "Needs Imporovement")</f>
        <v>Average</v>
      </c>
    </row>
    <row r="92" spans="1:17" x14ac:dyDescent="0.3">
      <c r="A92" s="2" t="s">
        <v>229</v>
      </c>
      <c r="B92" s="2" t="s">
        <v>230</v>
      </c>
      <c r="C92" s="2" t="s">
        <v>68</v>
      </c>
      <c r="D92" s="2">
        <v>21</v>
      </c>
      <c r="E92" s="2" t="str">
        <f>_xlfn.IFS(Table1[[#This Row],[Age]]&lt;30, "18-29", D92&lt;=45,"30-45", D92&lt;=55, "46-55", TRUE, "55+")</f>
        <v>18-29</v>
      </c>
      <c r="F92" s="2" t="s">
        <v>2</v>
      </c>
      <c r="G92" s="2" t="s">
        <v>3</v>
      </c>
      <c r="H92" s="2" t="s">
        <v>61</v>
      </c>
      <c r="I92" s="5">
        <v>2</v>
      </c>
      <c r="J92" s="5" t="str">
        <f>_xlfn.IFS(Table1[[#This Row],[Experience(Years)]]&lt;5, "Junior", I92&lt;=12, "Mid-Level", I92&lt;=20, "Senior", I92&lt;=30, "Super Senior", TRUE, "Expert")</f>
        <v>Junior</v>
      </c>
      <c r="K92" s="7">
        <v>100</v>
      </c>
      <c r="L92" s="7">
        <f>Table1[[#This Row],[Hourly Rate]]*1000</f>
        <v>100000</v>
      </c>
      <c r="M92" s="7" t="str">
        <f t="shared" si="1"/>
        <v>Premium</v>
      </c>
      <c r="N92" s="2">
        <f>IF(ISNUMBER(#REF!),#REF!, _xlfn.IFS( I92&gt;=30, 5, I92&gt;=25, 4.8, I92&gt;=15, 4, I92&gt;=10, 3.8, I92&gt;=5, 3, I92&gt;=2, 2.5, I92&gt;=0, 1.8, TRUE, 1.3))</f>
        <v>2.5</v>
      </c>
      <c r="O92" s="2" t="s">
        <v>2053</v>
      </c>
      <c r="P92" s="10">
        <v>0.97</v>
      </c>
      <c r="Q92" s="10" t="str">
        <f>_xlfn.IFS(Table1[[#This Row],[Rating]]&gt;=4, "Top Performer", Table1[[#This Row],[Rating]]&gt;=3, "Average", TRUE, "Needs Imporovement")</f>
        <v>Needs Imporovement</v>
      </c>
    </row>
    <row r="93" spans="1:17" x14ac:dyDescent="0.3">
      <c r="A93" s="2" t="s">
        <v>231</v>
      </c>
      <c r="B93" s="2" t="s">
        <v>232</v>
      </c>
      <c r="C93" s="2" t="s">
        <v>49</v>
      </c>
      <c r="D93" s="2">
        <v>57</v>
      </c>
      <c r="E93" s="2" t="str">
        <f>_xlfn.IFS(Table1[[#This Row],[Age]]&lt;30, "18-29", D93&lt;=45,"30-45", D93&lt;=55, "46-55", TRUE, "55+")</f>
        <v>55+</v>
      </c>
      <c r="F93" s="2" t="s">
        <v>96</v>
      </c>
      <c r="G93" s="2" t="s">
        <v>8</v>
      </c>
      <c r="H93" s="2" t="s">
        <v>50</v>
      </c>
      <c r="I93" s="5">
        <v>18</v>
      </c>
      <c r="J93" s="5" t="str">
        <f>_xlfn.IFS(Table1[[#This Row],[Experience(Years)]]&lt;5, "Junior", I93&lt;=12, "Mid-Level", I93&lt;=20, "Senior", I93&lt;=30, "Super Senior", TRUE, "Expert")</f>
        <v>Senior</v>
      </c>
      <c r="K93" s="7">
        <v>50</v>
      </c>
      <c r="L93" s="7">
        <f>Table1[[#This Row],[Hourly Rate]]*1000</f>
        <v>50000</v>
      </c>
      <c r="M93" s="7" t="str">
        <f t="shared" si="1"/>
        <v>Standard</v>
      </c>
      <c r="N93" s="2">
        <f>IF(ISNUMBER(#REF!),#REF!, _xlfn.IFS( I93&gt;=30, 5, I93&gt;=25, 4.8, I93&gt;=15, 4, I93&gt;=10, 3.8, I93&gt;=5, 3, I93&gt;=2, 2.5, I93&gt;=0, 1.8, TRUE, 1.3))</f>
        <v>4</v>
      </c>
      <c r="O93" s="2" t="s">
        <v>2053</v>
      </c>
      <c r="P93" s="10">
        <v>0.63</v>
      </c>
      <c r="Q93" s="10" t="str">
        <f>_xlfn.IFS(Table1[[#This Row],[Rating]]&gt;=4, "Top Performer", Table1[[#This Row],[Rating]]&gt;=3, "Average", TRUE, "Needs Imporovement")</f>
        <v>Top Performer</v>
      </c>
    </row>
    <row r="94" spans="1:17" x14ac:dyDescent="0.3">
      <c r="A94" s="2" t="s">
        <v>233</v>
      </c>
      <c r="B94" s="2" t="s">
        <v>234</v>
      </c>
      <c r="C94" s="2" t="s">
        <v>68</v>
      </c>
      <c r="D94" s="2">
        <v>53</v>
      </c>
      <c r="E94" s="2" t="str">
        <f>_xlfn.IFS(Table1[[#This Row],[Age]]&lt;30, "18-29", D94&lt;=45,"30-45", D94&lt;=55, "46-55", TRUE, "55+")</f>
        <v>46-55</v>
      </c>
      <c r="F94" s="2" t="s">
        <v>141</v>
      </c>
      <c r="G94" s="2" t="s">
        <v>142</v>
      </c>
      <c r="H94" s="2" t="s">
        <v>46</v>
      </c>
      <c r="I94" s="5">
        <v>21</v>
      </c>
      <c r="J94" s="5" t="str">
        <f>_xlfn.IFS(Table1[[#This Row],[Experience(Years)]]&lt;5, "Junior", I94&lt;=12, "Mid-Level", I94&lt;=20, "Senior", I94&lt;=30, "Super Senior", TRUE, "Expert")</f>
        <v>Super Senior</v>
      </c>
      <c r="K94" s="7">
        <v>100</v>
      </c>
      <c r="L94" s="7">
        <f>Table1[[#This Row],[Hourly Rate]]*1000</f>
        <v>100000</v>
      </c>
      <c r="M94" s="7" t="str">
        <f t="shared" si="1"/>
        <v>Premium</v>
      </c>
      <c r="N94" s="2">
        <f>IF(ISNUMBER(#REF!),#REF!, _xlfn.IFS( I94&gt;=30, 5, I94&gt;=25, 4.8, I94&gt;=15, 4, I94&gt;=10, 3.8, I94&gt;=5, 3, I94&gt;=2, 2.5, I94&gt;=0, 1.8, TRUE, 1.3))</f>
        <v>4</v>
      </c>
      <c r="O94" s="2" t="s">
        <v>2053</v>
      </c>
      <c r="P94" s="10">
        <v>0.97</v>
      </c>
      <c r="Q94" s="10" t="str">
        <f>_xlfn.IFS(Table1[[#This Row],[Rating]]&gt;=4, "Top Performer", Table1[[#This Row],[Rating]]&gt;=3, "Average", TRUE, "Needs Imporovement")</f>
        <v>Top Performer</v>
      </c>
    </row>
    <row r="95" spans="1:17" x14ac:dyDescent="0.3">
      <c r="A95" s="2" t="s">
        <v>235</v>
      </c>
      <c r="B95" s="2" t="s">
        <v>236</v>
      </c>
      <c r="C95" s="2" t="s">
        <v>68</v>
      </c>
      <c r="D95" s="2">
        <v>35</v>
      </c>
      <c r="E95" s="2" t="str">
        <f>_xlfn.IFS(Table1[[#This Row],[Age]]&lt;30, "18-29", D95&lt;=45,"30-45", D95&lt;=55, "46-55", TRUE, "55+")</f>
        <v>30-45</v>
      </c>
      <c r="F95" s="2" t="s">
        <v>92</v>
      </c>
      <c r="G95" s="2" t="s">
        <v>93</v>
      </c>
      <c r="H95" s="2" t="s">
        <v>4</v>
      </c>
      <c r="I95" s="5">
        <v>3</v>
      </c>
      <c r="J95" s="5" t="str">
        <f>_xlfn.IFS(Table1[[#This Row],[Experience(Years)]]&lt;5, "Junior", I95&lt;=12, "Mid-Level", I95&lt;=20, "Senior", I95&lt;=30, "Super Senior", TRUE, "Expert")</f>
        <v>Junior</v>
      </c>
      <c r="K95" s="7">
        <v>30</v>
      </c>
      <c r="L95" s="7">
        <f>Table1[[#This Row],[Hourly Rate]]*1000</f>
        <v>30000</v>
      </c>
      <c r="M95" s="7" t="str">
        <f t="shared" si="1"/>
        <v>Budget</v>
      </c>
      <c r="N95" s="2">
        <f>IF(ISNUMBER(#REF!),#REF!, _xlfn.IFS( I95&gt;=30, 5, I95&gt;=25, 4.8, I95&gt;=15, 4, I95&gt;=10, 3.8, I95&gt;=5, 3, I95&gt;=2, 2.5, I95&gt;=0, 1.8, TRUE, 1.3))</f>
        <v>2.5</v>
      </c>
      <c r="O95" s="2" t="s">
        <v>2053</v>
      </c>
      <c r="P95" s="10">
        <v>0.81</v>
      </c>
      <c r="Q95" s="10" t="str">
        <f>_xlfn.IFS(Table1[[#This Row],[Rating]]&gt;=4, "Top Performer", Table1[[#This Row],[Rating]]&gt;=3, "Average", TRUE, "Needs Imporovement")</f>
        <v>Needs Imporovement</v>
      </c>
    </row>
    <row r="96" spans="1:17" x14ac:dyDescent="0.3">
      <c r="A96" s="2" t="s">
        <v>237</v>
      </c>
      <c r="B96" s="2" t="s">
        <v>238</v>
      </c>
      <c r="C96" s="2" t="s">
        <v>49</v>
      </c>
      <c r="D96" s="2">
        <v>54</v>
      </c>
      <c r="E96" s="2" t="str">
        <f>_xlfn.IFS(Table1[[#This Row],[Age]]&lt;30, "18-29", D96&lt;=45,"30-45", D96&lt;=55, "46-55", TRUE, "55+")</f>
        <v>46-55</v>
      </c>
      <c r="F96" s="2" t="s">
        <v>141</v>
      </c>
      <c r="G96" s="2" t="s">
        <v>142</v>
      </c>
      <c r="H96" s="2" t="s">
        <v>83</v>
      </c>
      <c r="I96" s="5">
        <v>17</v>
      </c>
      <c r="J96" s="5" t="str">
        <f>_xlfn.IFS(Table1[[#This Row],[Experience(Years)]]&lt;5, "Junior", I96&lt;=12, "Mid-Level", I96&lt;=20, "Senior", I96&lt;=30, "Super Senior", TRUE, "Expert")</f>
        <v>Senior</v>
      </c>
      <c r="K96" s="7">
        <v>20</v>
      </c>
      <c r="L96" s="7">
        <f>Table1[[#This Row],[Hourly Rate]]*1000</f>
        <v>20000</v>
      </c>
      <c r="M96" s="7" t="str">
        <f t="shared" si="1"/>
        <v>Budget</v>
      </c>
      <c r="N96" s="2">
        <f>IF(ISNUMBER(#REF!),#REF!, _xlfn.IFS( I96&gt;=30, 5, I96&gt;=25, 4.8, I96&gt;=15, 4, I96&gt;=10, 3.8, I96&gt;=5, 3, I96&gt;=2, 2.5, I96&gt;=0, 1.8, TRUE, 1.3))</f>
        <v>4</v>
      </c>
      <c r="O96" s="2" t="s">
        <v>2052</v>
      </c>
      <c r="P96" s="10">
        <v>0.69</v>
      </c>
      <c r="Q96" s="10" t="str">
        <f>_xlfn.IFS(Table1[[#This Row],[Rating]]&gt;=4, "Top Performer", Table1[[#This Row],[Rating]]&gt;=3, "Average", TRUE, "Needs Imporovement")</f>
        <v>Top Performer</v>
      </c>
    </row>
    <row r="97" spans="1:17" x14ac:dyDescent="0.3">
      <c r="A97" s="2" t="s">
        <v>239</v>
      </c>
      <c r="B97" s="2" t="s">
        <v>240</v>
      </c>
      <c r="C97" s="2" t="s">
        <v>49</v>
      </c>
      <c r="D97" s="2">
        <v>36</v>
      </c>
      <c r="E97" s="2" t="str">
        <f>_xlfn.IFS(Table1[[#This Row],[Age]]&lt;30, "18-29", D97&lt;=45,"30-45", D97&lt;=55, "46-55", TRUE, "55+")</f>
        <v>30-45</v>
      </c>
      <c r="F97" s="2" t="s">
        <v>2</v>
      </c>
      <c r="G97" s="2" t="s">
        <v>3</v>
      </c>
      <c r="H97" s="2" t="s">
        <v>46</v>
      </c>
      <c r="I97" s="5">
        <v>0</v>
      </c>
      <c r="J97" s="5" t="str">
        <f>_xlfn.IFS(Table1[[#This Row],[Experience(Years)]]&lt;5, "Junior", I97&lt;=12, "Mid-Level", I97&lt;=20, "Senior", I97&lt;=30, "Super Senior", TRUE, "Expert")</f>
        <v>Junior</v>
      </c>
      <c r="K97" s="7">
        <v>20</v>
      </c>
      <c r="L97" s="7">
        <f>Table1[[#This Row],[Hourly Rate]]*1000</f>
        <v>20000</v>
      </c>
      <c r="M97" s="7" t="str">
        <f t="shared" si="1"/>
        <v>Budget</v>
      </c>
      <c r="N97" s="2">
        <f>IF(ISNUMBER(#REF!),#REF!, _xlfn.IFS( I97&gt;=30, 5, I97&gt;=25, 4.8, I97&gt;=15, 4, I97&gt;=10, 3.8, I97&gt;=5, 3, I97&gt;=2, 2.5, I97&gt;=0, 1.8, TRUE, 1.3))</f>
        <v>1.8</v>
      </c>
      <c r="O97" s="2" t="s">
        <v>2053</v>
      </c>
      <c r="P97" s="10">
        <v>0.64</v>
      </c>
      <c r="Q97" s="10" t="str">
        <f>_xlfn.IFS(Table1[[#This Row],[Rating]]&gt;=4, "Top Performer", Table1[[#This Row],[Rating]]&gt;=3, "Average", TRUE, "Needs Imporovement")</f>
        <v>Needs Imporovement</v>
      </c>
    </row>
    <row r="98" spans="1:17" x14ac:dyDescent="0.3">
      <c r="A98" s="2" t="s">
        <v>241</v>
      </c>
      <c r="B98" s="2" t="s">
        <v>242</v>
      </c>
      <c r="C98" s="2" t="s">
        <v>49</v>
      </c>
      <c r="D98" s="2">
        <v>49</v>
      </c>
      <c r="E98" s="2" t="str">
        <f>_xlfn.IFS(Table1[[#This Row],[Age]]&lt;30, "18-29", D98&lt;=45,"30-45", D98&lt;=55, "46-55", TRUE, "55+")</f>
        <v>46-55</v>
      </c>
      <c r="F98" s="2" t="s">
        <v>156</v>
      </c>
      <c r="G98" s="2" t="s">
        <v>45</v>
      </c>
      <c r="H98" s="2" t="s">
        <v>50</v>
      </c>
      <c r="I98" s="5">
        <v>25</v>
      </c>
      <c r="J98" s="5" t="str">
        <f>_xlfn.IFS(Table1[[#This Row],[Experience(Years)]]&lt;5, "Junior", I98&lt;=12, "Mid-Level", I98&lt;=20, "Senior", I98&lt;=30, "Super Senior", TRUE, "Expert")</f>
        <v>Super Senior</v>
      </c>
      <c r="K98" s="7">
        <v>50</v>
      </c>
      <c r="L98" s="7">
        <f>Table1[[#This Row],[Hourly Rate]]*1000</f>
        <v>50000</v>
      </c>
      <c r="M98" s="7" t="str">
        <f t="shared" si="1"/>
        <v>Standard</v>
      </c>
      <c r="N98" s="2">
        <f>IF(ISNUMBER(#REF!),#REF!, _xlfn.IFS( I98&gt;=30, 5, I98&gt;=25, 4.8, I98&gt;=15, 4, I98&gt;=10, 3.8, I98&gt;=5, 3, I98&gt;=2, 2.5, I98&gt;=0, 1.8, TRUE, 1.3))</f>
        <v>4.8</v>
      </c>
      <c r="O98" s="2" t="s">
        <v>2052</v>
      </c>
      <c r="P98" s="10">
        <v>0.77</v>
      </c>
      <c r="Q98" s="10" t="str">
        <f>_xlfn.IFS(Table1[[#This Row],[Rating]]&gt;=4, "Top Performer", Table1[[#This Row],[Rating]]&gt;=3, "Average", TRUE, "Needs Imporovement")</f>
        <v>Top Performer</v>
      </c>
    </row>
    <row r="99" spans="1:17" x14ac:dyDescent="0.3">
      <c r="A99" s="2" t="s">
        <v>243</v>
      </c>
      <c r="B99" s="2" t="s">
        <v>244</v>
      </c>
      <c r="C99" s="2" t="s">
        <v>68</v>
      </c>
      <c r="D99" s="2">
        <v>37</v>
      </c>
      <c r="E99" s="2" t="str">
        <f>_xlfn.IFS(Table1[[#This Row],[Age]]&lt;30, "18-29", D99&lt;=45,"30-45", D99&lt;=55, "46-55", TRUE, "55+")</f>
        <v>30-45</v>
      </c>
      <c r="F99" s="2" t="s">
        <v>34</v>
      </c>
      <c r="G99" s="2" t="s">
        <v>8</v>
      </c>
      <c r="H99" s="2" t="s">
        <v>4</v>
      </c>
      <c r="I99" s="5">
        <v>17</v>
      </c>
      <c r="J99" s="5" t="str">
        <f>_xlfn.IFS(Table1[[#This Row],[Experience(Years)]]&lt;5, "Junior", I99&lt;=12, "Mid-Level", I99&lt;=20, "Senior", I99&lt;=30, "Super Senior", TRUE, "Expert")</f>
        <v>Senior</v>
      </c>
      <c r="K99" s="7">
        <v>20</v>
      </c>
      <c r="L99" s="7">
        <f>Table1[[#This Row],[Hourly Rate]]*1000</f>
        <v>20000</v>
      </c>
      <c r="M99" s="7" t="str">
        <f t="shared" si="1"/>
        <v>Budget</v>
      </c>
      <c r="N99" s="2">
        <f>IF(ISNUMBER(#REF!),#REF!, _xlfn.IFS( I99&gt;=30, 5, I99&gt;=25, 4.8, I99&gt;=15, 4, I99&gt;=10, 3.8, I99&gt;=5, 3, I99&gt;=2, 2.5, I99&gt;=0, 1.8, TRUE, 1.3))</f>
        <v>4</v>
      </c>
      <c r="O99" s="2" t="s">
        <v>2052</v>
      </c>
      <c r="P99" s="10">
        <v>0.96</v>
      </c>
      <c r="Q99" s="10" t="str">
        <f>_xlfn.IFS(Table1[[#This Row],[Rating]]&gt;=4, "Top Performer", Table1[[#This Row],[Rating]]&gt;=3, "Average", TRUE, "Needs Imporovement")</f>
        <v>Top Performer</v>
      </c>
    </row>
    <row r="100" spans="1:17" x14ac:dyDescent="0.3">
      <c r="A100" s="2" t="s">
        <v>245</v>
      </c>
      <c r="B100" s="2" t="s">
        <v>246</v>
      </c>
      <c r="C100" s="2" t="s">
        <v>68</v>
      </c>
      <c r="D100" s="2">
        <v>29</v>
      </c>
      <c r="E100" s="2" t="str">
        <f>_xlfn.IFS(Table1[[#This Row],[Age]]&lt;30, "18-29", D100&lt;=45,"30-45", D100&lt;=55, "46-55", TRUE, "55+")</f>
        <v>18-29</v>
      </c>
      <c r="F100" s="2" t="s">
        <v>34</v>
      </c>
      <c r="G100" s="2" t="s">
        <v>8</v>
      </c>
      <c r="H100" s="2" t="s">
        <v>46</v>
      </c>
      <c r="I100" s="5">
        <v>5</v>
      </c>
      <c r="J100" s="5" t="str">
        <f>_xlfn.IFS(Table1[[#This Row],[Experience(Years)]]&lt;5, "Junior", I100&lt;=12, "Mid-Level", I100&lt;=20, "Senior", I100&lt;=30, "Super Senior", TRUE, "Expert")</f>
        <v>Mid-Level</v>
      </c>
      <c r="K100" s="7">
        <v>20</v>
      </c>
      <c r="L100" s="7">
        <f>Table1[[#This Row],[Hourly Rate]]*1000</f>
        <v>20000</v>
      </c>
      <c r="M100" s="7" t="str">
        <f t="shared" si="1"/>
        <v>Budget</v>
      </c>
      <c r="N100" s="2">
        <f>IF(ISNUMBER(#REF!),#REF!, _xlfn.IFS( I100&gt;=30, 5, I100&gt;=25, 4.8, I100&gt;=15, 4, I100&gt;=10, 3.8, I100&gt;=5, 3, I100&gt;=2, 2.5, I100&gt;=0, 1.8, TRUE, 1.3))</f>
        <v>3</v>
      </c>
      <c r="O100" s="2" t="s">
        <v>2052</v>
      </c>
      <c r="P100" s="10">
        <v>0.74</v>
      </c>
      <c r="Q100" s="10" t="str">
        <f>_xlfn.IFS(Table1[[#This Row],[Rating]]&gt;=4, "Top Performer", Table1[[#This Row],[Rating]]&gt;=3, "Average", TRUE, "Needs Imporovement")</f>
        <v>Average</v>
      </c>
    </row>
    <row r="101" spans="1:17" x14ac:dyDescent="0.3">
      <c r="A101" s="2" t="s">
        <v>247</v>
      </c>
      <c r="B101" s="2" t="s">
        <v>248</v>
      </c>
      <c r="C101" s="2" t="s">
        <v>68</v>
      </c>
      <c r="D101" s="2">
        <v>32</v>
      </c>
      <c r="E101" s="2" t="str">
        <f>_xlfn.IFS(Table1[[#This Row],[Age]]&lt;30, "18-29", D101&lt;=45,"30-45", D101&lt;=55, "46-55", TRUE, "55+")</f>
        <v>30-45</v>
      </c>
      <c r="F101" s="2" t="s">
        <v>107</v>
      </c>
      <c r="G101" s="2" t="s">
        <v>108</v>
      </c>
      <c r="H101" s="2" t="s">
        <v>46</v>
      </c>
      <c r="I101" s="5">
        <v>10</v>
      </c>
      <c r="J101" s="5" t="str">
        <f>_xlfn.IFS(Table1[[#This Row],[Experience(Years)]]&lt;5, "Junior", I101&lt;=12, "Mid-Level", I101&lt;=20, "Senior", I101&lt;=30, "Super Senior", TRUE, "Expert")</f>
        <v>Mid-Level</v>
      </c>
      <c r="K101" s="7">
        <v>50</v>
      </c>
      <c r="L101" s="7">
        <f>Table1[[#This Row],[Hourly Rate]]*1000</f>
        <v>50000</v>
      </c>
      <c r="M101" s="7" t="str">
        <f t="shared" si="1"/>
        <v>Standard</v>
      </c>
      <c r="N101" s="2">
        <f>IF(ISNUMBER(#REF!),#REF!, _xlfn.IFS( I101&gt;=30, 5, I101&gt;=25, 4.8, I101&gt;=15, 4, I101&gt;=10, 3.8, I101&gt;=5, 3, I101&gt;=2, 2.5, I101&gt;=0, 1.8, TRUE, 1.3))</f>
        <v>3.8</v>
      </c>
      <c r="O101" s="2" t="s">
        <v>2052</v>
      </c>
      <c r="P101" s="10">
        <v>0.89</v>
      </c>
      <c r="Q101" s="10" t="str">
        <f>_xlfn.IFS(Table1[[#This Row],[Rating]]&gt;=4, "Top Performer", Table1[[#This Row],[Rating]]&gt;=3, "Average", TRUE, "Needs Imporovement")</f>
        <v>Average</v>
      </c>
    </row>
    <row r="102" spans="1:17" x14ac:dyDescent="0.3">
      <c r="A102" s="2" t="s">
        <v>249</v>
      </c>
      <c r="B102" s="2" t="s">
        <v>250</v>
      </c>
      <c r="C102" s="2" t="s">
        <v>68</v>
      </c>
      <c r="D102" s="2">
        <v>35</v>
      </c>
      <c r="E102" s="2" t="str">
        <f>_xlfn.IFS(Table1[[#This Row],[Age]]&lt;30, "18-29", D102&lt;=45,"30-45", D102&lt;=55, "46-55", TRUE, "55+")</f>
        <v>30-45</v>
      </c>
      <c r="F102" s="2" t="s">
        <v>64</v>
      </c>
      <c r="G102" s="2" t="s">
        <v>65</v>
      </c>
      <c r="H102" s="2" t="s">
        <v>9</v>
      </c>
      <c r="I102" s="5">
        <v>0</v>
      </c>
      <c r="J102" s="5" t="str">
        <f>_xlfn.IFS(Table1[[#This Row],[Experience(Years)]]&lt;5, "Junior", I102&lt;=12, "Mid-Level", I102&lt;=20, "Senior", I102&lt;=30, "Super Senior", TRUE, "Expert")</f>
        <v>Junior</v>
      </c>
      <c r="K102" s="7">
        <v>20</v>
      </c>
      <c r="L102" s="7">
        <f>Table1[[#This Row],[Hourly Rate]]*1000</f>
        <v>20000</v>
      </c>
      <c r="M102" s="7" t="str">
        <f t="shared" si="1"/>
        <v>Budget</v>
      </c>
      <c r="N102" s="2">
        <f>IF(ISNUMBER(#REF!),#REF!, _xlfn.IFS( I102&gt;=30, 5, I102&gt;=25, 4.8, I102&gt;=15, 4, I102&gt;=10, 3.8, I102&gt;=5, 3, I102&gt;=2, 2.5, I102&gt;=0, 1.8, TRUE, 1.3))</f>
        <v>1.8</v>
      </c>
      <c r="O102" s="2" t="s">
        <v>2053</v>
      </c>
      <c r="P102" s="10">
        <v>0.64</v>
      </c>
      <c r="Q102" s="10" t="str">
        <f>_xlfn.IFS(Table1[[#This Row],[Rating]]&gt;=4, "Top Performer", Table1[[#This Row],[Rating]]&gt;=3, "Average", TRUE, "Needs Imporovement")</f>
        <v>Needs Imporovement</v>
      </c>
    </row>
    <row r="103" spans="1:17" x14ac:dyDescent="0.3">
      <c r="A103" s="2" t="s">
        <v>251</v>
      </c>
      <c r="B103" s="2" t="s">
        <v>252</v>
      </c>
      <c r="C103" s="2" t="s">
        <v>49</v>
      </c>
      <c r="D103" s="2">
        <v>51</v>
      </c>
      <c r="E103" s="2" t="str">
        <f>_xlfn.IFS(Table1[[#This Row],[Age]]&lt;30, "18-29", D103&lt;=45,"30-45", D103&lt;=55, "46-55", TRUE, "55+")</f>
        <v>46-55</v>
      </c>
      <c r="F103" s="2" t="s">
        <v>92</v>
      </c>
      <c r="G103" s="2" t="s">
        <v>93</v>
      </c>
      <c r="H103" s="2" t="s">
        <v>14</v>
      </c>
      <c r="I103" s="5">
        <v>2</v>
      </c>
      <c r="J103" s="5" t="str">
        <f>_xlfn.IFS(Table1[[#This Row],[Experience(Years)]]&lt;5, "Junior", I103&lt;=12, "Mid-Level", I103&lt;=20, "Senior", I103&lt;=30, "Super Senior", TRUE, "Expert")</f>
        <v>Junior</v>
      </c>
      <c r="K103" s="7">
        <v>30</v>
      </c>
      <c r="L103" s="7">
        <f>Table1[[#This Row],[Hourly Rate]]*1000</f>
        <v>30000</v>
      </c>
      <c r="M103" s="7" t="str">
        <f t="shared" si="1"/>
        <v>Budget</v>
      </c>
      <c r="N103" s="2">
        <f>IF(ISNUMBER(#REF!),#REF!, _xlfn.IFS( I103&gt;=30, 5, I103&gt;=25, 4.8, I103&gt;=15, 4, I103&gt;=10, 3.8, I103&gt;=5, 3, I103&gt;=2, 2.5, I103&gt;=0, 1.8, TRUE, 1.3))</f>
        <v>2.5</v>
      </c>
      <c r="O103" s="2" t="s">
        <v>2052</v>
      </c>
      <c r="P103" s="10">
        <v>0.64</v>
      </c>
      <c r="Q103" s="10" t="str">
        <f>_xlfn.IFS(Table1[[#This Row],[Rating]]&gt;=4, "Top Performer", Table1[[#This Row],[Rating]]&gt;=3, "Average", TRUE, "Needs Imporovement")</f>
        <v>Needs Imporovement</v>
      </c>
    </row>
    <row r="104" spans="1:17" x14ac:dyDescent="0.3">
      <c r="A104" s="2" t="s">
        <v>253</v>
      </c>
      <c r="B104" s="2" t="s">
        <v>254</v>
      </c>
      <c r="C104" s="2" t="s">
        <v>49</v>
      </c>
      <c r="D104" s="2">
        <v>50</v>
      </c>
      <c r="E104" s="2" t="str">
        <f>_xlfn.IFS(Table1[[#This Row],[Age]]&lt;30, "18-29", D104&lt;=45,"30-45", D104&lt;=55, "46-55", TRUE, "55+")</f>
        <v>46-55</v>
      </c>
      <c r="F104" s="2" t="s">
        <v>92</v>
      </c>
      <c r="G104" s="2" t="s">
        <v>93</v>
      </c>
      <c r="H104" s="2" t="s">
        <v>61</v>
      </c>
      <c r="I104" s="5">
        <v>30</v>
      </c>
      <c r="J104" s="5" t="str">
        <f>_xlfn.IFS(Table1[[#This Row],[Experience(Years)]]&lt;5, "Junior", I104&lt;=12, "Mid-Level", I104&lt;=20, "Senior", I104&lt;=30, "Super Senior", TRUE, "Expert")</f>
        <v>Super Senior</v>
      </c>
      <c r="K104" s="7">
        <v>100</v>
      </c>
      <c r="L104" s="7">
        <f>Table1[[#This Row],[Hourly Rate]]*1000</f>
        <v>100000</v>
      </c>
      <c r="M104" s="7" t="str">
        <f t="shared" si="1"/>
        <v>Premium</v>
      </c>
      <c r="N104" s="2">
        <f>IF(ISNUMBER(#REF!),#REF!, _xlfn.IFS( I104&gt;=30, 5, I104&gt;=25, 4.8, I104&gt;=15, 4, I104&gt;=10, 3.8, I104&gt;=5, 3, I104&gt;=2, 2.5, I104&gt;=0, 1.8, TRUE, 1.3))</f>
        <v>5</v>
      </c>
      <c r="O104" s="2" t="s">
        <v>2053</v>
      </c>
      <c r="P104" s="10">
        <v>0.73</v>
      </c>
      <c r="Q104" s="10" t="str">
        <f>_xlfn.IFS(Table1[[#This Row],[Rating]]&gt;=4, "Top Performer", Table1[[#This Row],[Rating]]&gt;=3, "Average", TRUE, "Needs Imporovement")</f>
        <v>Top Performer</v>
      </c>
    </row>
    <row r="105" spans="1:17" x14ac:dyDescent="0.3">
      <c r="A105" s="2" t="s">
        <v>255</v>
      </c>
      <c r="B105" s="2" t="s">
        <v>256</v>
      </c>
      <c r="C105" s="2" t="s">
        <v>49</v>
      </c>
      <c r="D105" s="2">
        <v>21</v>
      </c>
      <c r="E105" s="2" t="str">
        <f>_xlfn.IFS(Table1[[#This Row],[Age]]&lt;30, "18-29", D105&lt;=45,"30-45", D105&lt;=55, "46-55", TRUE, "55+")</f>
        <v>18-29</v>
      </c>
      <c r="F105" s="2" t="s">
        <v>37</v>
      </c>
      <c r="G105" s="2" t="s">
        <v>38</v>
      </c>
      <c r="H105" s="2" t="s">
        <v>4</v>
      </c>
      <c r="I105" s="5">
        <v>2</v>
      </c>
      <c r="J105" s="5" t="str">
        <f>_xlfn.IFS(Table1[[#This Row],[Experience(Years)]]&lt;5, "Junior", I105&lt;=12, "Mid-Level", I105&lt;=20, "Senior", I105&lt;=30, "Super Senior", TRUE, "Expert")</f>
        <v>Junior</v>
      </c>
      <c r="K105" s="7">
        <v>50</v>
      </c>
      <c r="L105" s="7">
        <f>Table1[[#This Row],[Hourly Rate]]*1000</f>
        <v>50000</v>
      </c>
      <c r="M105" s="7" t="str">
        <f t="shared" si="1"/>
        <v>Standard</v>
      </c>
      <c r="N105" s="2">
        <f>IF(ISNUMBER(#REF!),#REF!, _xlfn.IFS( I105&gt;=30, 5, I105&gt;=25, 4.8, I105&gt;=15, 4, I105&gt;=10, 3.8, I105&gt;=5, 3, I105&gt;=2, 2.5, I105&gt;=0, 1.8, TRUE, 1.3))</f>
        <v>2.5</v>
      </c>
      <c r="O105" s="2" t="s">
        <v>2053</v>
      </c>
      <c r="P105" s="10">
        <v>0.68</v>
      </c>
      <c r="Q105" s="10" t="str">
        <f>_xlfn.IFS(Table1[[#This Row],[Rating]]&gt;=4, "Top Performer", Table1[[#This Row],[Rating]]&gt;=3, "Average", TRUE, "Needs Imporovement")</f>
        <v>Needs Imporovement</v>
      </c>
    </row>
    <row r="106" spans="1:17" x14ac:dyDescent="0.3">
      <c r="A106" s="2" t="s">
        <v>257</v>
      </c>
      <c r="B106" s="2" t="s">
        <v>258</v>
      </c>
      <c r="C106" s="2" t="s">
        <v>68</v>
      </c>
      <c r="D106" s="2">
        <v>25</v>
      </c>
      <c r="E106" s="2" t="str">
        <f>_xlfn.IFS(Table1[[#This Row],[Age]]&lt;30, "18-29", D106&lt;=45,"30-45", D106&lt;=55, "46-55", TRUE, "55+")</f>
        <v>18-29</v>
      </c>
      <c r="F106" s="2" t="s">
        <v>34</v>
      </c>
      <c r="G106" s="2" t="s">
        <v>8</v>
      </c>
      <c r="H106" s="2" t="s">
        <v>14</v>
      </c>
      <c r="I106" s="5">
        <v>3</v>
      </c>
      <c r="J106" s="5" t="str">
        <f>_xlfn.IFS(Table1[[#This Row],[Experience(Years)]]&lt;5, "Junior", I106&lt;=12, "Mid-Level", I106&lt;=20, "Senior", I106&lt;=30, "Super Senior", TRUE, "Expert")</f>
        <v>Junior</v>
      </c>
      <c r="K106" s="7">
        <v>30</v>
      </c>
      <c r="L106" s="7">
        <f>Table1[[#This Row],[Hourly Rate]]*1000</f>
        <v>30000</v>
      </c>
      <c r="M106" s="7" t="str">
        <f t="shared" si="1"/>
        <v>Budget</v>
      </c>
      <c r="N106" s="2">
        <f>IF(ISNUMBER(#REF!),#REF!, _xlfn.IFS( I106&gt;=30, 5, I106&gt;=25, 4.8, I106&gt;=15, 4, I106&gt;=10, 3.8, I106&gt;=5, 3, I106&gt;=2, 2.5, I106&gt;=0, 1.8, TRUE, 1.3))</f>
        <v>2.5</v>
      </c>
      <c r="O106" s="2" t="s">
        <v>2052</v>
      </c>
      <c r="P106" s="10">
        <v>0.88</v>
      </c>
      <c r="Q106" s="10" t="str">
        <f>_xlfn.IFS(Table1[[#This Row],[Rating]]&gt;=4, "Top Performer", Table1[[#This Row],[Rating]]&gt;=3, "Average", TRUE, "Needs Imporovement")</f>
        <v>Needs Imporovement</v>
      </c>
    </row>
    <row r="107" spans="1:17" x14ac:dyDescent="0.3">
      <c r="A107" s="2" t="s">
        <v>259</v>
      </c>
      <c r="B107" s="2" t="s">
        <v>260</v>
      </c>
      <c r="C107" s="2" t="s">
        <v>49</v>
      </c>
      <c r="D107" s="2">
        <v>57</v>
      </c>
      <c r="E107" s="2" t="str">
        <f>_xlfn.IFS(Table1[[#This Row],[Age]]&lt;30, "18-29", D107&lt;=45,"30-45", D107&lt;=55, "46-55", TRUE, "55+")</f>
        <v>55+</v>
      </c>
      <c r="F107" s="2" t="s">
        <v>103</v>
      </c>
      <c r="G107" s="2" t="s">
        <v>104</v>
      </c>
      <c r="H107" s="2" t="s">
        <v>61</v>
      </c>
      <c r="I107" s="5">
        <v>21</v>
      </c>
      <c r="J107" s="5" t="str">
        <f>_xlfn.IFS(Table1[[#This Row],[Experience(Years)]]&lt;5, "Junior", I107&lt;=12, "Mid-Level", I107&lt;=20, "Senior", I107&lt;=30, "Super Senior", TRUE, "Expert")</f>
        <v>Super Senior</v>
      </c>
      <c r="K107" s="7">
        <v>40</v>
      </c>
      <c r="L107" s="7">
        <f>Table1[[#This Row],[Hourly Rate]]*1000</f>
        <v>40000</v>
      </c>
      <c r="M107" s="7" t="str">
        <f t="shared" si="1"/>
        <v>Standard</v>
      </c>
      <c r="N107" s="2">
        <f>IF(ISNUMBER(#REF!),#REF!, _xlfn.IFS( I107&gt;=30, 5, I107&gt;=25, 4.8, I107&gt;=15, 4, I107&gt;=10, 3.8, I107&gt;=5, 3, I107&gt;=2, 2.5, I107&gt;=0, 1.8, TRUE, 1.3))</f>
        <v>4</v>
      </c>
      <c r="O107" s="2" t="s">
        <v>2052</v>
      </c>
      <c r="P107" s="10">
        <v>0.77</v>
      </c>
      <c r="Q107" s="10" t="str">
        <f>_xlfn.IFS(Table1[[#This Row],[Rating]]&gt;=4, "Top Performer", Table1[[#This Row],[Rating]]&gt;=3, "Average", TRUE, "Needs Imporovement")</f>
        <v>Top Performer</v>
      </c>
    </row>
    <row r="108" spans="1:17" x14ac:dyDescent="0.3">
      <c r="A108" s="2" t="s">
        <v>261</v>
      </c>
      <c r="B108" s="2" t="s">
        <v>262</v>
      </c>
      <c r="C108" s="2" t="s">
        <v>68</v>
      </c>
      <c r="D108" s="2">
        <v>58</v>
      </c>
      <c r="E108" s="2" t="str">
        <f>_xlfn.IFS(Table1[[#This Row],[Age]]&lt;30, "18-29", D108&lt;=45,"30-45", D108&lt;=55, "46-55", TRUE, "55+")</f>
        <v>55+</v>
      </c>
      <c r="F108" s="2" t="s">
        <v>92</v>
      </c>
      <c r="G108" s="2" t="s">
        <v>93</v>
      </c>
      <c r="H108" s="2" t="s">
        <v>4</v>
      </c>
      <c r="I108" s="5">
        <v>3</v>
      </c>
      <c r="J108" s="5" t="str">
        <f>_xlfn.IFS(Table1[[#This Row],[Experience(Years)]]&lt;5, "Junior", I108&lt;=12, "Mid-Level", I108&lt;=20, "Senior", I108&lt;=30, "Super Senior", TRUE, "Expert")</f>
        <v>Junior</v>
      </c>
      <c r="K108" s="7">
        <v>30</v>
      </c>
      <c r="L108" s="7">
        <f>Table1[[#This Row],[Hourly Rate]]*1000</f>
        <v>30000</v>
      </c>
      <c r="M108" s="7" t="str">
        <f t="shared" si="1"/>
        <v>Budget</v>
      </c>
      <c r="N108" s="2">
        <f>IF(ISNUMBER(#REF!),#REF!, _xlfn.IFS( I108&gt;=30, 5, I108&gt;=25, 4.8, I108&gt;=15, 4, I108&gt;=10, 3.8, I108&gt;=5, 3, I108&gt;=2, 2.5, I108&gt;=0, 1.8, TRUE, 1.3))</f>
        <v>2.5</v>
      </c>
      <c r="O108" s="2" t="s">
        <v>2053</v>
      </c>
      <c r="P108" s="10">
        <v>0.35</v>
      </c>
      <c r="Q108" s="10" t="str">
        <f>_xlfn.IFS(Table1[[#This Row],[Rating]]&gt;=4, "Top Performer", Table1[[#This Row],[Rating]]&gt;=3, "Average", TRUE, "Needs Imporovement")</f>
        <v>Needs Imporovement</v>
      </c>
    </row>
    <row r="109" spans="1:17" x14ac:dyDescent="0.3">
      <c r="A109" s="2" t="s">
        <v>263</v>
      </c>
      <c r="B109" s="2" t="s">
        <v>264</v>
      </c>
      <c r="C109" s="2" t="s">
        <v>49</v>
      </c>
      <c r="D109" s="2">
        <v>45</v>
      </c>
      <c r="E109" s="2" t="str">
        <f>_xlfn.IFS(Table1[[#This Row],[Age]]&lt;30, "18-29", D109&lt;=45,"30-45", D109&lt;=55, "46-55", TRUE, "55+")</f>
        <v>30-45</v>
      </c>
      <c r="F109" s="2" t="s">
        <v>27</v>
      </c>
      <c r="G109" s="2" t="s">
        <v>28</v>
      </c>
      <c r="H109" s="2" t="s">
        <v>9</v>
      </c>
      <c r="I109" s="5">
        <v>19</v>
      </c>
      <c r="J109" s="5" t="str">
        <f>_xlfn.IFS(Table1[[#This Row],[Experience(Years)]]&lt;5, "Junior", I109&lt;=12, "Mid-Level", I109&lt;=20, "Senior", I109&lt;=30, "Super Senior", TRUE, "Expert")</f>
        <v>Senior</v>
      </c>
      <c r="K109" s="7">
        <v>40</v>
      </c>
      <c r="L109" s="7">
        <f>Table1[[#This Row],[Hourly Rate]]*1000</f>
        <v>40000</v>
      </c>
      <c r="M109" s="7" t="str">
        <f t="shared" si="1"/>
        <v>Standard</v>
      </c>
      <c r="N109" s="2">
        <f>IF(ISNUMBER(#REF!),#REF!, _xlfn.IFS( I109&gt;=30, 5, I109&gt;=25, 4.8, I109&gt;=15, 4, I109&gt;=10, 3.8, I109&gt;=5, 3, I109&gt;=2, 2.5, I109&gt;=0, 1.8, TRUE, 1.3))</f>
        <v>4</v>
      </c>
      <c r="O109" s="2" t="s">
        <v>2053</v>
      </c>
      <c r="P109" s="10">
        <v>0.72</v>
      </c>
      <c r="Q109" s="10" t="str">
        <f>_xlfn.IFS(Table1[[#This Row],[Rating]]&gt;=4, "Top Performer", Table1[[#This Row],[Rating]]&gt;=3, "Average", TRUE, "Needs Imporovement")</f>
        <v>Top Performer</v>
      </c>
    </row>
    <row r="110" spans="1:17" x14ac:dyDescent="0.3">
      <c r="A110" s="2" t="s">
        <v>265</v>
      </c>
      <c r="B110" s="2" t="s">
        <v>266</v>
      </c>
      <c r="C110" s="2" t="s">
        <v>49</v>
      </c>
      <c r="D110" s="2">
        <v>23</v>
      </c>
      <c r="E110" s="2" t="str">
        <f>_xlfn.IFS(Table1[[#This Row],[Age]]&lt;30, "18-29", D110&lt;=45,"30-45", D110&lt;=55, "46-55", TRUE, "55+")</f>
        <v>18-29</v>
      </c>
      <c r="F110" s="2" t="s">
        <v>34</v>
      </c>
      <c r="G110" s="2" t="s">
        <v>8</v>
      </c>
      <c r="H110" s="2" t="s">
        <v>17</v>
      </c>
      <c r="I110" s="5">
        <v>0</v>
      </c>
      <c r="J110" s="5" t="str">
        <f>_xlfn.IFS(Table1[[#This Row],[Experience(Years)]]&lt;5, "Junior", I110&lt;=12, "Mid-Level", I110&lt;=20, "Senior", I110&lt;=30, "Super Senior", TRUE, "Expert")</f>
        <v>Junior</v>
      </c>
      <c r="K110" s="7">
        <v>20</v>
      </c>
      <c r="L110" s="7">
        <f>Table1[[#This Row],[Hourly Rate]]*1000</f>
        <v>20000</v>
      </c>
      <c r="M110" s="7" t="str">
        <f t="shared" si="1"/>
        <v>Budget</v>
      </c>
      <c r="N110" s="2">
        <f>IF(ISNUMBER(#REF!),#REF!, _xlfn.IFS( I110&gt;=30, 5, I110&gt;=25, 4.8, I110&gt;=15, 4, I110&gt;=10, 3.8, I110&gt;=5, 3, I110&gt;=2, 2.5, I110&gt;=0, 1.8, TRUE, 1.3))</f>
        <v>1.8</v>
      </c>
      <c r="O110" s="2" t="s">
        <v>2053</v>
      </c>
      <c r="P110" s="10">
        <v>0.6</v>
      </c>
      <c r="Q110" s="10" t="str">
        <f>_xlfn.IFS(Table1[[#This Row],[Rating]]&gt;=4, "Top Performer", Table1[[#This Row],[Rating]]&gt;=3, "Average", TRUE, "Needs Imporovement")</f>
        <v>Needs Imporovement</v>
      </c>
    </row>
    <row r="111" spans="1:17" x14ac:dyDescent="0.3">
      <c r="A111" s="2" t="s">
        <v>267</v>
      </c>
      <c r="B111" s="2" t="s">
        <v>268</v>
      </c>
      <c r="C111" s="2" t="s">
        <v>49</v>
      </c>
      <c r="D111" s="2">
        <v>46</v>
      </c>
      <c r="E111" s="2" t="str">
        <f>_xlfn.IFS(Table1[[#This Row],[Age]]&lt;30, "18-29", D111&lt;=45,"30-45", D111&lt;=55, "46-55", TRUE, "55+")</f>
        <v>46-55</v>
      </c>
      <c r="F111" s="2" t="s">
        <v>34</v>
      </c>
      <c r="G111" s="2" t="s">
        <v>8</v>
      </c>
      <c r="H111" s="2" t="s">
        <v>24</v>
      </c>
      <c r="I111" s="5">
        <v>9</v>
      </c>
      <c r="J111" s="5" t="str">
        <f>_xlfn.IFS(Table1[[#This Row],[Experience(Years)]]&lt;5, "Junior", I111&lt;=12, "Mid-Level", I111&lt;=20, "Senior", I111&lt;=30, "Super Senior", TRUE, "Expert")</f>
        <v>Mid-Level</v>
      </c>
      <c r="K111" s="7">
        <v>30</v>
      </c>
      <c r="L111" s="7">
        <f>Table1[[#This Row],[Hourly Rate]]*1000</f>
        <v>30000</v>
      </c>
      <c r="M111" s="7" t="str">
        <f t="shared" si="1"/>
        <v>Budget</v>
      </c>
      <c r="N111" s="2">
        <f>IF(ISNUMBER(#REF!),#REF!, _xlfn.IFS( I111&gt;=30, 5, I111&gt;=25, 4.8, I111&gt;=15, 4, I111&gt;=10, 3.8, I111&gt;=5, 3, I111&gt;=2, 2.5, I111&gt;=0, 1.8, TRUE, 1.3))</f>
        <v>3</v>
      </c>
      <c r="O111" s="2" t="str">
        <f>IF(AND( Table1[[#This Row],[Rating]]&gt;=3.5, Table1[[#This Row],[Experience(Years)]]&gt;=15), "Active", "Inactive")</f>
        <v>Inactive</v>
      </c>
      <c r="P111" s="10">
        <v>0.72</v>
      </c>
      <c r="Q111" s="10" t="str">
        <f>_xlfn.IFS(Table1[[#This Row],[Rating]]&gt;=4, "Top Performer", Table1[[#This Row],[Rating]]&gt;=3, "Average", TRUE, "Needs Imporovement")</f>
        <v>Average</v>
      </c>
    </row>
    <row r="112" spans="1:17" x14ac:dyDescent="0.3">
      <c r="A112" s="2" t="s">
        <v>269</v>
      </c>
      <c r="B112" s="2" t="s">
        <v>270</v>
      </c>
      <c r="C112" s="2" t="s">
        <v>68</v>
      </c>
      <c r="D112" s="2">
        <v>27</v>
      </c>
      <c r="E112" s="2" t="str">
        <f>_xlfn.IFS(Table1[[#This Row],[Age]]&lt;30, "18-29", D112&lt;=45,"30-45", D112&lt;=55, "46-55", TRUE, "55+")</f>
        <v>18-29</v>
      </c>
      <c r="F112" s="2" t="s">
        <v>44</v>
      </c>
      <c r="G112" s="2" t="s">
        <v>45</v>
      </c>
      <c r="H112" s="2" t="s">
        <v>46</v>
      </c>
      <c r="I112" s="5">
        <v>5</v>
      </c>
      <c r="J112" s="5" t="str">
        <f>_xlfn.IFS(Table1[[#This Row],[Experience(Years)]]&lt;5, "Junior", I112&lt;=12, "Mid-Level", I112&lt;=20, "Senior", I112&lt;=30, "Super Senior", TRUE, "Expert")</f>
        <v>Mid-Level</v>
      </c>
      <c r="K112" s="7">
        <v>30</v>
      </c>
      <c r="L112" s="7">
        <f>Table1[[#This Row],[Hourly Rate]]*1000</f>
        <v>30000</v>
      </c>
      <c r="M112" s="7" t="str">
        <f t="shared" si="1"/>
        <v>Budget</v>
      </c>
      <c r="N112" s="2">
        <f>IF(ISNUMBER(#REF!),#REF!, _xlfn.IFS( I112&gt;=30, 5, I112&gt;=25, 4.8, I112&gt;=15, 4, I112&gt;=10, 3.8, I112&gt;=5, 3, I112&gt;=2, 2.5, I112&gt;=0, 1.8, TRUE, 1.3))</f>
        <v>3</v>
      </c>
      <c r="O112" s="2" t="s">
        <v>2052</v>
      </c>
      <c r="P112" s="10">
        <v>0.92</v>
      </c>
      <c r="Q112" s="10" t="str">
        <f>_xlfn.IFS(Table1[[#This Row],[Rating]]&gt;=4, "Top Performer", Table1[[#This Row],[Rating]]&gt;=3, "Average", TRUE, "Needs Imporovement")</f>
        <v>Average</v>
      </c>
    </row>
    <row r="113" spans="1:17" x14ac:dyDescent="0.3">
      <c r="A113" s="2" t="s">
        <v>271</v>
      </c>
      <c r="B113" s="2" t="s">
        <v>272</v>
      </c>
      <c r="C113" s="2" t="s">
        <v>49</v>
      </c>
      <c r="D113" s="2">
        <v>32</v>
      </c>
      <c r="E113" s="2" t="str">
        <f>_xlfn.IFS(Table1[[#This Row],[Age]]&lt;30, "18-29", D113&lt;=45,"30-45", D113&lt;=55, "46-55", TRUE, "55+")</f>
        <v>30-45</v>
      </c>
      <c r="F113" s="2" t="s">
        <v>34</v>
      </c>
      <c r="G113" s="2" t="s">
        <v>8</v>
      </c>
      <c r="H113" s="2" t="s">
        <v>83</v>
      </c>
      <c r="I113" s="5">
        <v>6</v>
      </c>
      <c r="J113" s="5" t="str">
        <f>_xlfn.IFS(Table1[[#This Row],[Experience(Years)]]&lt;5, "Junior", I113&lt;=12, "Mid-Level", I113&lt;=20, "Senior", I113&lt;=30, "Super Senior", TRUE, "Expert")</f>
        <v>Mid-Level</v>
      </c>
      <c r="K113" s="7">
        <v>50</v>
      </c>
      <c r="L113" s="7">
        <f>Table1[[#This Row],[Hourly Rate]]*1000</f>
        <v>50000</v>
      </c>
      <c r="M113" s="7" t="str">
        <f t="shared" si="1"/>
        <v>Standard</v>
      </c>
      <c r="N113" s="2">
        <f>IF(ISNUMBER(#REF!),#REF!, _xlfn.IFS( I113&gt;=30, 5, I113&gt;=25, 4.8, I113&gt;=15, 4, I113&gt;=10, 3.8, I113&gt;=5, 3, I113&gt;=2, 2.5, I113&gt;=0, 1.8, TRUE, 1.3))</f>
        <v>3</v>
      </c>
      <c r="O113" s="2" t="s">
        <v>2053</v>
      </c>
      <c r="P113" s="10">
        <v>0.6</v>
      </c>
      <c r="Q113" s="10" t="str">
        <f>_xlfn.IFS(Table1[[#This Row],[Rating]]&gt;=4, "Top Performer", Table1[[#This Row],[Rating]]&gt;=3, "Average", TRUE, "Needs Imporovement")</f>
        <v>Average</v>
      </c>
    </row>
    <row r="114" spans="1:17" x14ac:dyDescent="0.3">
      <c r="A114" s="2" t="s">
        <v>273</v>
      </c>
      <c r="B114" s="2" t="s">
        <v>274</v>
      </c>
      <c r="C114" s="2" t="s">
        <v>49</v>
      </c>
      <c r="D114" s="2">
        <v>48</v>
      </c>
      <c r="E114" s="2" t="str">
        <f>_xlfn.IFS(Table1[[#This Row],[Age]]&lt;30, "18-29", D114&lt;=45,"30-45", D114&lt;=55, "46-55", TRUE, "55+")</f>
        <v>46-55</v>
      </c>
      <c r="F114" s="2" t="s">
        <v>44</v>
      </c>
      <c r="G114" s="2" t="s">
        <v>45</v>
      </c>
      <c r="H114" s="2" t="s">
        <v>83</v>
      </c>
      <c r="I114" s="5">
        <v>6</v>
      </c>
      <c r="J114" s="5" t="str">
        <f>_xlfn.IFS(Table1[[#This Row],[Experience(Years)]]&lt;5, "Junior", I114&lt;=12, "Mid-Level", I114&lt;=20, "Senior", I114&lt;=30, "Super Senior", TRUE, "Expert")</f>
        <v>Mid-Level</v>
      </c>
      <c r="K114" s="7">
        <v>75</v>
      </c>
      <c r="L114" s="7">
        <f>Table1[[#This Row],[Hourly Rate]]*1000</f>
        <v>75000</v>
      </c>
      <c r="M114" s="7" t="str">
        <f t="shared" si="1"/>
        <v>Standard</v>
      </c>
      <c r="N114" s="2">
        <f>IF(ISNUMBER(#REF!),#REF!, _xlfn.IFS( I114&gt;=30, 5, I114&gt;=25, 4.8, I114&gt;=15, 4, I114&gt;=10, 3.8, I114&gt;=5, 3, I114&gt;=2, 2.5, I114&gt;=0, 1.8, TRUE, 1.3))</f>
        <v>3</v>
      </c>
      <c r="O114" s="2" t="str">
        <f>IF(AND( Table1[[#This Row],[Rating]]&gt;=3.5, Table1[[#This Row],[Experience(Years)]]&gt;=15), "Active", "Inactive")</f>
        <v>Inactive</v>
      </c>
      <c r="P114" s="10">
        <v>0.92</v>
      </c>
      <c r="Q114" s="10" t="str">
        <f>_xlfn.IFS(Table1[[#This Row],[Rating]]&gt;=4, "Top Performer", Table1[[#This Row],[Rating]]&gt;=3, "Average", TRUE, "Needs Imporovement")</f>
        <v>Average</v>
      </c>
    </row>
    <row r="115" spans="1:17" x14ac:dyDescent="0.3">
      <c r="A115" s="2" t="s">
        <v>275</v>
      </c>
      <c r="B115" s="2" t="s">
        <v>276</v>
      </c>
      <c r="C115" s="2" t="s">
        <v>68</v>
      </c>
      <c r="D115" s="2">
        <v>30</v>
      </c>
      <c r="E115" s="2" t="str">
        <f>_xlfn.IFS(Table1[[#This Row],[Age]]&lt;30, "18-29", D115&lt;=45,"30-45", D115&lt;=55, "46-55", TRUE, "55+")</f>
        <v>30-45</v>
      </c>
      <c r="F115" s="2" t="s">
        <v>37</v>
      </c>
      <c r="G115" s="2" t="s">
        <v>38</v>
      </c>
      <c r="H115" s="2" t="s">
        <v>9</v>
      </c>
      <c r="I115" s="5">
        <v>3</v>
      </c>
      <c r="J115" s="5" t="str">
        <f>_xlfn.IFS(Table1[[#This Row],[Experience(Years)]]&lt;5, "Junior", I115&lt;=12, "Mid-Level", I115&lt;=20, "Senior", I115&lt;=30, "Super Senior", TRUE, "Expert")</f>
        <v>Junior</v>
      </c>
      <c r="K115" s="7">
        <v>30</v>
      </c>
      <c r="L115" s="7">
        <f>Table1[[#This Row],[Hourly Rate]]*1000</f>
        <v>30000</v>
      </c>
      <c r="M115" s="7" t="str">
        <f t="shared" si="1"/>
        <v>Budget</v>
      </c>
      <c r="N115" s="2">
        <f>IF(ISNUMBER(#REF!),#REF!, _xlfn.IFS( I115&gt;=30, 5, I115&gt;=25, 4.8, I115&gt;=15, 4, I115&gt;=10, 3.8, I115&gt;=5, 3, I115&gt;=2, 2.5, I115&gt;=0, 1.8, TRUE, 1.3))</f>
        <v>2.5</v>
      </c>
      <c r="O115" s="2" t="s">
        <v>2053</v>
      </c>
      <c r="P115" s="10">
        <v>0.35</v>
      </c>
      <c r="Q115" s="10" t="str">
        <f>_xlfn.IFS(Table1[[#This Row],[Rating]]&gt;=4, "Top Performer", Table1[[#This Row],[Rating]]&gt;=3, "Average", TRUE, "Needs Imporovement")</f>
        <v>Needs Imporovement</v>
      </c>
    </row>
    <row r="116" spans="1:17" x14ac:dyDescent="0.3">
      <c r="A116" s="2" t="s">
        <v>277</v>
      </c>
      <c r="B116" s="2" t="s">
        <v>278</v>
      </c>
      <c r="C116" s="2" t="s">
        <v>68</v>
      </c>
      <c r="D116" s="2">
        <v>59</v>
      </c>
      <c r="E116" s="2" t="str">
        <f>_xlfn.IFS(Table1[[#This Row],[Age]]&lt;30, "18-29", D116&lt;=45,"30-45", D116&lt;=55, "46-55", TRUE, "55+")</f>
        <v>55+</v>
      </c>
      <c r="F116" s="2" t="s">
        <v>37</v>
      </c>
      <c r="G116" s="2" t="s">
        <v>38</v>
      </c>
      <c r="H116" s="2" t="s">
        <v>24</v>
      </c>
      <c r="I116" s="5">
        <v>13</v>
      </c>
      <c r="J116" s="5" t="str">
        <f>_xlfn.IFS(Table1[[#This Row],[Experience(Years)]]&lt;5, "Junior", I116&lt;=12, "Mid-Level", I116&lt;=20, "Senior", I116&lt;=30, "Super Senior", TRUE, "Expert")</f>
        <v>Senior</v>
      </c>
      <c r="K116" s="7">
        <v>20</v>
      </c>
      <c r="L116" s="7">
        <f>Table1[[#This Row],[Hourly Rate]]*1000</f>
        <v>20000</v>
      </c>
      <c r="M116" s="7" t="str">
        <f t="shared" si="1"/>
        <v>Budget</v>
      </c>
      <c r="N116" s="2">
        <f>IF(ISNUMBER(#REF!),#REF!, _xlfn.IFS( I116&gt;=30, 5, I116&gt;=25, 4.8, I116&gt;=15, 4, I116&gt;=10, 3.8, I116&gt;=5, 3, I116&gt;=2, 2.5, I116&gt;=0, 1.8, TRUE, 1.3))</f>
        <v>3.8</v>
      </c>
      <c r="O116" s="2" t="str">
        <f>IF(AND( Table1[[#This Row],[Rating]]&gt;=3.5, Table1[[#This Row],[Experience(Years)]]&gt;=15), "Active", "Inactive")</f>
        <v>Inactive</v>
      </c>
      <c r="P116" s="10">
        <v>0.75</v>
      </c>
      <c r="Q116" s="10" t="str">
        <f>_xlfn.IFS(Table1[[#This Row],[Rating]]&gt;=4, "Top Performer", Table1[[#This Row],[Rating]]&gt;=3, "Average", TRUE, "Needs Imporovement")</f>
        <v>Average</v>
      </c>
    </row>
    <row r="117" spans="1:17" x14ac:dyDescent="0.3">
      <c r="A117" s="2" t="s">
        <v>279</v>
      </c>
      <c r="B117" s="2" t="s">
        <v>280</v>
      </c>
      <c r="C117" s="2" t="s">
        <v>49</v>
      </c>
      <c r="D117" s="2">
        <v>32</v>
      </c>
      <c r="E117" s="2" t="str">
        <f>_xlfn.IFS(Table1[[#This Row],[Age]]&lt;30, "18-29", D117&lt;=45,"30-45", D117&lt;=55, "46-55", TRUE, "55+")</f>
        <v>30-45</v>
      </c>
      <c r="F117" s="2" t="s">
        <v>145</v>
      </c>
      <c r="G117" s="2" t="s">
        <v>45</v>
      </c>
      <c r="H117" s="2" t="s">
        <v>24</v>
      </c>
      <c r="I117" s="5">
        <v>5</v>
      </c>
      <c r="J117" s="5" t="str">
        <f>_xlfn.IFS(Table1[[#This Row],[Experience(Years)]]&lt;5, "Junior", I117&lt;=12, "Mid-Level", I117&lt;=20, "Senior", I117&lt;=30, "Super Senior", TRUE, "Expert")</f>
        <v>Mid-Level</v>
      </c>
      <c r="K117" s="7">
        <v>30</v>
      </c>
      <c r="L117" s="7">
        <f>Table1[[#This Row],[Hourly Rate]]*1000</f>
        <v>30000</v>
      </c>
      <c r="M117" s="7" t="str">
        <f t="shared" si="1"/>
        <v>Budget</v>
      </c>
      <c r="N117" s="2">
        <f>IF(ISNUMBER(#REF!),#REF!, _xlfn.IFS( I117&gt;=30, 5, I117&gt;=25, 4.8, I117&gt;=15, 4, I117&gt;=10, 3.8, I117&gt;=5, 3, I117&gt;=2, 2.5, I117&gt;=0, 1.8, TRUE, 1.3))</f>
        <v>3</v>
      </c>
      <c r="O117" s="2" t="s">
        <v>2052</v>
      </c>
      <c r="P117" s="10">
        <v>0.86</v>
      </c>
      <c r="Q117" s="10" t="str">
        <f>_xlfn.IFS(Table1[[#This Row],[Rating]]&gt;=4, "Top Performer", Table1[[#This Row],[Rating]]&gt;=3, "Average", TRUE, "Needs Imporovement")</f>
        <v>Average</v>
      </c>
    </row>
    <row r="118" spans="1:17" x14ac:dyDescent="0.3">
      <c r="A118" s="2" t="s">
        <v>281</v>
      </c>
      <c r="B118" s="2" t="s">
        <v>282</v>
      </c>
      <c r="C118" s="2" t="s">
        <v>49</v>
      </c>
      <c r="D118" s="2">
        <v>57</v>
      </c>
      <c r="E118" s="2" t="str">
        <f>_xlfn.IFS(Table1[[#This Row],[Age]]&lt;30, "18-29", D118&lt;=45,"30-45", D118&lt;=55, "46-55", TRUE, "55+")</f>
        <v>55+</v>
      </c>
      <c r="F118" s="2" t="s">
        <v>107</v>
      </c>
      <c r="G118" s="2" t="s">
        <v>108</v>
      </c>
      <c r="H118" s="2" t="s">
        <v>46</v>
      </c>
      <c r="I118" s="5">
        <v>4</v>
      </c>
      <c r="J118" s="5" t="str">
        <f>_xlfn.IFS(Table1[[#This Row],[Experience(Years)]]&lt;5, "Junior", I118&lt;=12, "Mid-Level", I118&lt;=20, "Senior", I118&lt;=30, "Super Senior", TRUE, "Expert")</f>
        <v>Junior</v>
      </c>
      <c r="K118" s="7">
        <v>40</v>
      </c>
      <c r="L118" s="7">
        <f>Table1[[#This Row],[Hourly Rate]]*1000</f>
        <v>40000</v>
      </c>
      <c r="M118" s="7" t="str">
        <f t="shared" si="1"/>
        <v>Standard</v>
      </c>
      <c r="N118" s="2">
        <f>IF(ISNUMBER(#REF!),#REF!, _xlfn.IFS( I118&gt;=30, 5, I118&gt;=25, 4.8, I118&gt;=15, 4, I118&gt;=10, 3.8, I118&gt;=5, 3, I118&gt;=2, 2.5, I118&gt;=0, 1.8, TRUE, 1.3))</f>
        <v>2.5</v>
      </c>
      <c r="O118" s="2" t="s">
        <v>2053</v>
      </c>
      <c r="P118" s="10">
        <v>0.68</v>
      </c>
      <c r="Q118" s="10" t="str">
        <f>_xlfn.IFS(Table1[[#This Row],[Rating]]&gt;=4, "Top Performer", Table1[[#This Row],[Rating]]&gt;=3, "Average", TRUE, "Needs Imporovement")</f>
        <v>Needs Imporovement</v>
      </c>
    </row>
    <row r="119" spans="1:17" x14ac:dyDescent="0.3">
      <c r="A119" s="2" t="s">
        <v>283</v>
      </c>
      <c r="B119" s="2" t="s">
        <v>284</v>
      </c>
      <c r="C119" s="2" t="s">
        <v>68</v>
      </c>
      <c r="D119" s="2">
        <v>27</v>
      </c>
      <c r="E119" s="2" t="str">
        <f>_xlfn.IFS(Table1[[#This Row],[Age]]&lt;30, "18-29", D119&lt;=45,"30-45", D119&lt;=55, "46-55", TRUE, "55+")</f>
        <v>18-29</v>
      </c>
      <c r="F119" s="2" t="s">
        <v>7</v>
      </c>
      <c r="G119" s="2" t="s">
        <v>8</v>
      </c>
      <c r="H119" s="2" t="s">
        <v>83</v>
      </c>
      <c r="I119" s="5">
        <v>7</v>
      </c>
      <c r="J119" s="5" t="str">
        <f>_xlfn.IFS(Table1[[#This Row],[Experience(Years)]]&lt;5, "Junior", I119&lt;=12, "Mid-Level", I119&lt;=20, "Senior", I119&lt;=30, "Super Senior", TRUE, "Expert")</f>
        <v>Mid-Level</v>
      </c>
      <c r="K119" s="7">
        <v>20</v>
      </c>
      <c r="L119" s="7">
        <f>Table1[[#This Row],[Hourly Rate]]*1000</f>
        <v>20000</v>
      </c>
      <c r="M119" s="7" t="str">
        <f t="shared" si="1"/>
        <v>Budget</v>
      </c>
      <c r="N119" s="2">
        <f>IF(ISNUMBER(#REF!),#REF!, _xlfn.IFS( I119&gt;=30, 5, I119&gt;=25, 4.8, I119&gt;=15, 4, I119&gt;=10, 3.8, I119&gt;=5, 3, I119&gt;=2, 2.5, I119&gt;=0, 1.8, TRUE, 1.3))</f>
        <v>3</v>
      </c>
      <c r="O119" s="2" t="s">
        <v>2053</v>
      </c>
      <c r="P119" s="10">
        <v>0.62</v>
      </c>
      <c r="Q119" s="10" t="str">
        <f>_xlfn.IFS(Table1[[#This Row],[Rating]]&gt;=4, "Top Performer", Table1[[#This Row],[Rating]]&gt;=3, "Average", TRUE, "Needs Imporovement")</f>
        <v>Average</v>
      </c>
    </row>
    <row r="120" spans="1:17" x14ac:dyDescent="0.3">
      <c r="A120" s="2" t="s">
        <v>285</v>
      </c>
      <c r="B120" s="2" t="s">
        <v>286</v>
      </c>
      <c r="C120" s="2" t="s">
        <v>49</v>
      </c>
      <c r="D120" s="2">
        <v>33</v>
      </c>
      <c r="E120" s="2" t="str">
        <f>_xlfn.IFS(Table1[[#This Row],[Age]]&lt;30, "18-29", D120&lt;=45,"30-45", D120&lt;=55, "46-55", TRUE, "55+")</f>
        <v>30-45</v>
      </c>
      <c r="F120" s="2" t="s">
        <v>27</v>
      </c>
      <c r="G120" s="2" t="s">
        <v>28</v>
      </c>
      <c r="H120" s="2" t="s">
        <v>83</v>
      </c>
      <c r="I120" s="5">
        <v>13</v>
      </c>
      <c r="J120" s="5" t="str">
        <f>_xlfn.IFS(Table1[[#This Row],[Experience(Years)]]&lt;5, "Junior", I120&lt;=12, "Mid-Level", I120&lt;=20, "Senior", I120&lt;=30, "Super Senior", TRUE, "Expert")</f>
        <v>Senior</v>
      </c>
      <c r="K120" s="7">
        <v>20</v>
      </c>
      <c r="L120" s="7">
        <f>Table1[[#This Row],[Hourly Rate]]*1000</f>
        <v>20000</v>
      </c>
      <c r="M120" s="7" t="str">
        <f t="shared" si="1"/>
        <v>Budget</v>
      </c>
      <c r="N120" s="2">
        <f>IF(ISNUMBER(#REF!),#REF!, _xlfn.IFS( I120&gt;=30, 5, I120&gt;=25, 4.8, I120&gt;=15, 4, I120&gt;=10, 3.8, I120&gt;=5, 3, I120&gt;=2, 2.5, I120&gt;=0, 1.8, TRUE, 1.3))</f>
        <v>3.8</v>
      </c>
      <c r="O120" s="2" t="s">
        <v>2052</v>
      </c>
      <c r="P120" s="10">
        <v>0.75</v>
      </c>
      <c r="Q120" s="10" t="str">
        <f>_xlfn.IFS(Table1[[#This Row],[Rating]]&gt;=4, "Top Performer", Table1[[#This Row],[Rating]]&gt;=3, "Average", TRUE, "Needs Imporovement")</f>
        <v>Average</v>
      </c>
    </row>
    <row r="121" spans="1:17" x14ac:dyDescent="0.3">
      <c r="A121" s="2" t="s">
        <v>287</v>
      </c>
      <c r="B121" s="2" t="s">
        <v>288</v>
      </c>
      <c r="C121" s="2" t="s">
        <v>68</v>
      </c>
      <c r="D121" s="2">
        <v>29</v>
      </c>
      <c r="E121" s="2" t="str">
        <f>_xlfn.IFS(Table1[[#This Row],[Age]]&lt;30, "18-29", D121&lt;=45,"30-45", D121&lt;=55, "46-55", TRUE, "55+")</f>
        <v>18-29</v>
      </c>
      <c r="F121" s="2" t="s">
        <v>81</v>
      </c>
      <c r="G121" s="2" t="s">
        <v>82</v>
      </c>
      <c r="H121" s="2" t="s">
        <v>29</v>
      </c>
      <c r="I121" s="5">
        <v>4</v>
      </c>
      <c r="J121" s="5" t="str">
        <f>_xlfn.IFS(Table1[[#This Row],[Experience(Years)]]&lt;5, "Junior", I121&lt;=12, "Mid-Level", I121&lt;=20, "Senior", I121&lt;=30, "Super Senior", TRUE, "Expert")</f>
        <v>Junior</v>
      </c>
      <c r="K121" s="7">
        <v>30</v>
      </c>
      <c r="L121" s="7">
        <f>Table1[[#This Row],[Hourly Rate]]*1000</f>
        <v>30000</v>
      </c>
      <c r="M121" s="7" t="str">
        <f t="shared" si="1"/>
        <v>Budget</v>
      </c>
      <c r="N121" s="2">
        <f>IF(ISNUMBER(#REF!),#REF!, _xlfn.IFS( I121&gt;=30, 5, I121&gt;=25, 4.8, I121&gt;=15, 4, I121&gt;=10, 3.8, I121&gt;=5, 3, I121&gt;=2, 2.5, I121&gt;=0, 1.8, TRUE, 1.3))</f>
        <v>2.5</v>
      </c>
      <c r="O121" s="2" t="s">
        <v>2053</v>
      </c>
      <c r="P121" s="10">
        <v>0.82</v>
      </c>
      <c r="Q121" s="10" t="str">
        <f>_xlfn.IFS(Table1[[#This Row],[Rating]]&gt;=4, "Top Performer", Table1[[#This Row],[Rating]]&gt;=3, "Average", TRUE, "Needs Imporovement")</f>
        <v>Needs Imporovement</v>
      </c>
    </row>
    <row r="122" spans="1:17" x14ac:dyDescent="0.3">
      <c r="A122" s="2" t="s">
        <v>289</v>
      </c>
      <c r="B122" s="2" t="s">
        <v>290</v>
      </c>
      <c r="C122" s="2" t="s">
        <v>49</v>
      </c>
      <c r="D122" s="2">
        <v>36</v>
      </c>
      <c r="E122" s="2" t="str">
        <f>_xlfn.IFS(Table1[[#This Row],[Age]]&lt;30, "18-29", D122&lt;=45,"30-45", D122&lt;=55, "46-55", TRUE, "55+")</f>
        <v>30-45</v>
      </c>
      <c r="F122" s="2" t="s">
        <v>27</v>
      </c>
      <c r="G122" s="2" t="s">
        <v>28</v>
      </c>
      <c r="H122" s="2" t="s">
        <v>46</v>
      </c>
      <c r="I122" s="5">
        <v>13</v>
      </c>
      <c r="J122" s="5" t="str">
        <f>_xlfn.IFS(Table1[[#This Row],[Experience(Years)]]&lt;5, "Junior", I122&lt;=12, "Mid-Level", I122&lt;=20, "Senior", I122&lt;=30, "Super Senior", TRUE, "Expert")</f>
        <v>Senior</v>
      </c>
      <c r="K122" s="7">
        <v>75</v>
      </c>
      <c r="L122" s="7">
        <f>Table1[[#This Row],[Hourly Rate]]*1000</f>
        <v>75000</v>
      </c>
      <c r="M122" s="7" t="str">
        <f t="shared" si="1"/>
        <v>Standard</v>
      </c>
      <c r="N122" s="2">
        <f>IF(ISNUMBER(#REF!),#REF!, _xlfn.IFS( I122&gt;=30, 5, I122&gt;=25, 4.8, I122&gt;=15, 4, I122&gt;=10, 3.8, I122&gt;=5, 3, I122&gt;=2, 2.5, I122&gt;=0, 1.8, TRUE, 1.3))</f>
        <v>3.8</v>
      </c>
      <c r="O122" s="2" t="s">
        <v>2053</v>
      </c>
      <c r="P122" s="10">
        <v>0.75</v>
      </c>
      <c r="Q122" s="10" t="str">
        <f>_xlfn.IFS(Table1[[#This Row],[Rating]]&gt;=4, "Top Performer", Table1[[#This Row],[Rating]]&gt;=3, "Average", TRUE, "Needs Imporovement")</f>
        <v>Average</v>
      </c>
    </row>
    <row r="123" spans="1:17" x14ac:dyDescent="0.3">
      <c r="A123" s="2" t="s">
        <v>291</v>
      </c>
      <c r="B123" s="2" t="s">
        <v>292</v>
      </c>
      <c r="C123" s="2" t="s">
        <v>49</v>
      </c>
      <c r="D123" s="2">
        <v>47</v>
      </c>
      <c r="E123" s="2" t="str">
        <f>_xlfn.IFS(Table1[[#This Row],[Age]]&lt;30, "18-29", D123&lt;=45,"30-45", D123&lt;=55, "46-55", TRUE, "55+")</f>
        <v>46-55</v>
      </c>
      <c r="F123" s="2" t="s">
        <v>2</v>
      </c>
      <c r="G123" s="2" t="s">
        <v>3</v>
      </c>
      <c r="H123" s="2" t="s">
        <v>61</v>
      </c>
      <c r="I123" s="5">
        <v>5</v>
      </c>
      <c r="J123" s="5" t="str">
        <f>_xlfn.IFS(Table1[[#This Row],[Experience(Years)]]&lt;5, "Junior", I123&lt;=12, "Mid-Level", I123&lt;=20, "Senior", I123&lt;=30, "Super Senior", TRUE, "Expert")</f>
        <v>Mid-Level</v>
      </c>
      <c r="K123" s="7">
        <v>40</v>
      </c>
      <c r="L123" s="7">
        <f>Table1[[#This Row],[Hourly Rate]]*1000</f>
        <v>40000</v>
      </c>
      <c r="M123" s="7" t="str">
        <f t="shared" si="1"/>
        <v>Standard</v>
      </c>
      <c r="N123" s="2">
        <f>IF(ISNUMBER(#REF!),#REF!, _xlfn.IFS( I123&gt;=30, 5, I123&gt;=25, 4.8, I123&gt;=15, 4, I123&gt;=10, 3.8, I123&gt;=5, 3, I123&gt;=2, 2.5, I123&gt;=0, 1.8, TRUE, 1.3))</f>
        <v>3</v>
      </c>
      <c r="O123" s="2" t="s">
        <v>2052</v>
      </c>
      <c r="P123" s="10">
        <v>0.93</v>
      </c>
      <c r="Q123" s="10" t="str">
        <f>_xlfn.IFS(Table1[[#This Row],[Rating]]&gt;=4, "Top Performer", Table1[[#This Row],[Rating]]&gt;=3, "Average", TRUE, "Needs Imporovement")</f>
        <v>Average</v>
      </c>
    </row>
    <row r="124" spans="1:17" x14ac:dyDescent="0.3">
      <c r="A124" s="2" t="s">
        <v>293</v>
      </c>
      <c r="B124" s="2" t="s">
        <v>294</v>
      </c>
      <c r="C124" s="2" t="s">
        <v>68</v>
      </c>
      <c r="D124" s="2">
        <v>48</v>
      </c>
      <c r="E124" s="2" t="str">
        <f>_xlfn.IFS(Table1[[#This Row],[Age]]&lt;30, "18-29", D124&lt;=45,"30-45", D124&lt;=55, "46-55", TRUE, "55+")</f>
        <v>46-55</v>
      </c>
      <c r="F124" s="2" t="s">
        <v>96</v>
      </c>
      <c r="G124" s="2" t="s">
        <v>8</v>
      </c>
      <c r="H124" s="2" t="s">
        <v>83</v>
      </c>
      <c r="I124" s="5">
        <v>15</v>
      </c>
      <c r="J124" s="5" t="str">
        <f>_xlfn.IFS(Table1[[#This Row],[Experience(Years)]]&lt;5, "Junior", I124&lt;=12, "Mid-Level", I124&lt;=20, "Senior", I124&lt;=30, "Super Senior", TRUE, "Expert")</f>
        <v>Senior</v>
      </c>
      <c r="K124" s="7">
        <v>50</v>
      </c>
      <c r="L124" s="7">
        <f>Table1[[#This Row],[Hourly Rate]]*1000</f>
        <v>50000</v>
      </c>
      <c r="M124" s="7" t="str">
        <f t="shared" si="1"/>
        <v>Standard</v>
      </c>
      <c r="N124" s="2">
        <f>IF(ISNUMBER(#REF!),#REF!, _xlfn.IFS( I124&gt;=30, 5, I124&gt;=25, 4.8, I124&gt;=15, 4, I124&gt;=10, 3.8, I124&gt;=5, 3, I124&gt;=2, 2.5, I124&gt;=0, 1.8, TRUE, 1.3))</f>
        <v>4</v>
      </c>
      <c r="O124" s="2" t="s">
        <v>2053</v>
      </c>
      <c r="P124" s="10">
        <v>0.64</v>
      </c>
      <c r="Q124" s="10" t="str">
        <f>_xlfn.IFS(Table1[[#This Row],[Rating]]&gt;=4, "Top Performer", Table1[[#This Row],[Rating]]&gt;=3, "Average", TRUE, "Needs Imporovement")</f>
        <v>Top Performer</v>
      </c>
    </row>
    <row r="125" spans="1:17" x14ac:dyDescent="0.3">
      <c r="A125" s="2" t="s">
        <v>295</v>
      </c>
      <c r="B125" s="2" t="s">
        <v>296</v>
      </c>
      <c r="C125" s="2" t="s">
        <v>49</v>
      </c>
      <c r="D125" s="2">
        <v>27</v>
      </c>
      <c r="E125" s="2" t="str">
        <f>_xlfn.IFS(Table1[[#This Row],[Age]]&lt;30, "18-29", D125&lt;=45,"30-45", D125&lt;=55, "46-55", TRUE, "55+")</f>
        <v>18-29</v>
      </c>
      <c r="F125" s="2" t="s">
        <v>141</v>
      </c>
      <c r="G125" s="2" t="s">
        <v>142</v>
      </c>
      <c r="H125" s="2" t="s">
        <v>46</v>
      </c>
      <c r="I125" s="5">
        <v>8</v>
      </c>
      <c r="J125" s="5" t="str">
        <f>_xlfn.IFS(Table1[[#This Row],[Experience(Years)]]&lt;5, "Junior", I125&lt;=12, "Mid-Level", I125&lt;=20, "Senior", I125&lt;=30, "Super Senior", TRUE, "Expert")</f>
        <v>Mid-Level</v>
      </c>
      <c r="K125" s="7">
        <v>50</v>
      </c>
      <c r="L125" s="7">
        <f>Table1[[#This Row],[Hourly Rate]]*1000</f>
        <v>50000</v>
      </c>
      <c r="M125" s="7" t="str">
        <f t="shared" si="1"/>
        <v>Standard</v>
      </c>
      <c r="N125" s="2">
        <f>IF(ISNUMBER(#REF!),#REF!, _xlfn.IFS( I125&gt;=30, 5, I125&gt;=25, 4.8, I125&gt;=15, 4, I125&gt;=10, 3.8, I125&gt;=5, 3, I125&gt;=2, 2.5, I125&gt;=0, 1.8, TRUE, 1.3))</f>
        <v>3</v>
      </c>
      <c r="O125" s="2" t="s">
        <v>2052</v>
      </c>
      <c r="P125" s="10">
        <v>0.6</v>
      </c>
      <c r="Q125" s="10" t="str">
        <f>_xlfn.IFS(Table1[[#This Row],[Rating]]&gt;=4, "Top Performer", Table1[[#This Row],[Rating]]&gt;=3, "Average", TRUE, "Needs Imporovement")</f>
        <v>Average</v>
      </c>
    </row>
    <row r="126" spans="1:17" x14ac:dyDescent="0.3">
      <c r="A126" s="2" t="s">
        <v>297</v>
      </c>
      <c r="B126" s="2" t="s">
        <v>298</v>
      </c>
      <c r="C126" s="2" t="s">
        <v>68</v>
      </c>
      <c r="D126" s="2">
        <v>34</v>
      </c>
      <c r="E126" s="2" t="str">
        <f>_xlfn.IFS(Table1[[#This Row],[Age]]&lt;30, "18-29", D126&lt;=45,"30-45", D126&lt;=55, "46-55", TRUE, "55+")</f>
        <v>30-45</v>
      </c>
      <c r="F126" s="2" t="s">
        <v>7</v>
      </c>
      <c r="G126" s="2" t="s">
        <v>8</v>
      </c>
      <c r="H126" s="2" t="s">
        <v>17</v>
      </c>
      <c r="I126" s="5">
        <v>10</v>
      </c>
      <c r="J126" s="5" t="str">
        <f>_xlfn.IFS(Table1[[#This Row],[Experience(Years)]]&lt;5, "Junior", I126&lt;=12, "Mid-Level", I126&lt;=20, "Senior", I126&lt;=30, "Super Senior", TRUE, "Expert")</f>
        <v>Mid-Level</v>
      </c>
      <c r="K126" s="7">
        <v>20</v>
      </c>
      <c r="L126" s="7">
        <f>Table1[[#This Row],[Hourly Rate]]*1000</f>
        <v>20000</v>
      </c>
      <c r="M126" s="7" t="str">
        <f t="shared" si="1"/>
        <v>Budget</v>
      </c>
      <c r="N126" s="2">
        <f>IF(ISNUMBER(#REF!),#REF!, _xlfn.IFS( I126&gt;=30, 5, I126&gt;=25, 4.8, I126&gt;=15, 4, I126&gt;=10, 3.8, I126&gt;=5, 3, I126&gt;=2, 2.5, I126&gt;=0, 1.8, TRUE, 1.3))</f>
        <v>3.8</v>
      </c>
      <c r="O126" s="2" t="s">
        <v>2052</v>
      </c>
      <c r="P126" s="10">
        <v>0.96</v>
      </c>
      <c r="Q126" s="10" t="str">
        <f>_xlfn.IFS(Table1[[#This Row],[Rating]]&gt;=4, "Top Performer", Table1[[#This Row],[Rating]]&gt;=3, "Average", TRUE, "Needs Imporovement")</f>
        <v>Average</v>
      </c>
    </row>
    <row r="127" spans="1:17" x14ac:dyDescent="0.3">
      <c r="A127" s="2" t="s">
        <v>299</v>
      </c>
      <c r="B127" s="2" t="s">
        <v>300</v>
      </c>
      <c r="C127" s="2" t="s">
        <v>68</v>
      </c>
      <c r="D127" s="2">
        <v>49</v>
      </c>
      <c r="E127" s="2" t="str">
        <f>_xlfn.IFS(Table1[[#This Row],[Age]]&lt;30, "18-29", D127&lt;=45,"30-45", D127&lt;=55, "46-55", TRUE, "55+")</f>
        <v>46-55</v>
      </c>
      <c r="F127" s="2" t="s">
        <v>81</v>
      </c>
      <c r="G127" s="2" t="s">
        <v>82</v>
      </c>
      <c r="H127" s="2" t="s">
        <v>29</v>
      </c>
      <c r="I127" s="5">
        <v>19</v>
      </c>
      <c r="J127" s="5" t="str">
        <f>_xlfn.IFS(Table1[[#This Row],[Experience(Years)]]&lt;5, "Junior", I127&lt;=12, "Mid-Level", I127&lt;=20, "Senior", I127&lt;=30, "Super Senior", TRUE, "Expert")</f>
        <v>Senior</v>
      </c>
      <c r="K127" s="7">
        <v>90</v>
      </c>
      <c r="L127" s="7">
        <f>Table1[[#This Row],[Hourly Rate]]*1000</f>
        <v>90000</v>
      </c>
      <c r="M127" s="7" t="str">
        <f t="shared" si="1"/>
        <v>Premium</v>
      </c>
      <c r="N127" s="2">
        <f>IF(ISNUMBER(#REF!),#REF!, _xlfn.IFS( I127&gt;=30, 5, I127&gt;=25, 4.8, I127&gt;=15, 4, I127&gt;=10, 3.8, I127&gt;=5, 3, I127&gt;=2, 2.5, I127&gt;=0, 1.8, TRUE, 1.3))</f>
        <v>4</v>
      </c>
      <c r="O127" s="2" t="s">
        <v>2053</v>
      </c>
      <c r="P127" s="10">
        <v>0.83</v>
      </c>
      <c r="Q127" s="10" t="str">
        <f>_xlfn.IFS(Table1[[#This Row],[Rating]]&gt;=4, "Top Performer", Table1[[#This Row],[Rating]]&gt;=3, "Average", TRUE, "Needs Imporovement")</f>
        <v>Top Performer</v>
      </c>
    </row>
    <row r="128" spans="1:17" x14ac:dyDescent="0.3">
      <c r="A128" s="2" t="s">
        <v>301</v>
      </c>
      <c r="B128" s="2" t="s">
        <v>302</v>
      </c>
      <c r="C128" s="2" t="s">
        <v>68</v>
      </c>
      <c r="D128" s="2">
        <v>30</v>
      </c>
      <c r="E128" s="2" t="str">
        <f>_xlfn.IFS(Table1[[#This Row],[Age]]&lt;30, "18-29", D128&lt;=45,"30-45", D128&lt;=55, "46-55", TRUE, "55+")</f>
        <v>30-45</v>
      </c>
      <c r="F128" s="2" t="s">
        <v>77</v>
      </c>
      <c r="G128" s="2" t="s">
        <v>78</v>
      </c>
      <c r="H128" s="2" t="s">
        <v>9</v>
      </c>
      <c r="I128" s="5">
        <v>10</v>
      </c>
      <c r="J128" s="5" t="str">
        <f>_xlfn.IFS(Table1[[#This Row],[Experience(Years)]]&lt;5, "Junior", I128&lt;=12, "Mid-Level", I128&lt;=20, "Senior", I128&lt;=30, "Super Senior", TRUE, "Expert")</f>
        <v>Mid-Level</v>
      </c>
      <c r="K128" s="7">
        <v>100</v>
      </c>
      <c r="L128" s="7">
        <f>Table1[[#This Row],[Hourly Rate]]*1000</f>
        <v>100000</v>
      </c>
      <c r="M128" s="7" t="str">
        <f t="shared" si="1"/>
        <v>Premium</v>
      </c>
      <c r="N128" s="2">
        <f>IF(ISNUMBER(#REF!),#REF!, _xlfn.IFS( I128&gt;=30, 5, I128&gt;=25, 4.8, I128&gt;=15, 4, I128&gt;=10, 3.8, I128&gt;=5, 3, I128&gt;=2, 2.5, I128&gt;=0, 1.8, TRUE, 1.3))</f>
        <v>3.8</v>
      </c>
      <c r="O128" s="2" t="s">
        <v>2053</v>
      </c>
      <c r="P128" s="10">
        <v>0.64</v>
      </c>
      <c r="Q128" s="10" t="str">
        <f>_xlfn.IFS(Table1[[#This Row],[Rating]]&gt;=4, "Top Performer", Table1[[#This Row],[Rating]]&gt;=3, "Average", TRUE, "Needs Imporovement")</f>
        <v>Average</v>
      </c>
    </row>
    <row r="129" spans="1:17" x14ac:dyDescent="0.3">
      <c r="A129" s="2" t="s">
        <v>303</v>
      </c>
      <c r="B129" s="2" t="s">
        <v>304</v>
      </c>
      <c r="C129" s="2" t="s">
        <v>68</v>
      </c>
      <c r="D129" s="2">
        <v>31</v>
      </c>
      <c r="E129" s="2" t="str">
        <f>_xlfn.IFS(Table1[[#This Row],[Age]]&lt;30, "18-29", D129&lt;=45,"30-45", D129&lt;=55, "46-55", TRUE, "55+")</f>
        <v>30-45</v>
      </c>
      <c r="F129" s="2" t="s">
        <v>107</v>
      </c>
      <c r="G129" s="2" t="s">
        <v>108</v>
      </c>
      <c r="H129" s="2" t="s">
        <v>14</v>
      </c>
      <c r="I129" s="5">
        <v>8</v>
      </c>
      <c r="J129" s="5" t="str">
        <f>_xlfn.IFS(Table1[[#This Row],[Experience(Years)]]&lt;5, "Junior", I129&lt;=12, "Mid-Level", I129&lt;=20, "Senior", I129&lt;=30, "Super Senior", TRUE, "Expert")</f>
        <v>Mid-Level</v>
      </c>
      <c r="K129" s="7">
        <v>40</v>
      </c>
      <c r="L129" s="7">
        <f>Table1[[#This Row],[Hourly Rate]]*1000</f>
        <v>40000</v>
      </c>
      <c r="M129" s="7" t="str">
        <f t="shared" si="1"/>
        <v>Standard</v>
      </c>
      <c r="N129" s="2">
        <f>IF(ISNUMBER(#REF!),#REF!, _xlfn.IFS( I129&gt;=30, 5, I129&gt;=25, 4.8, I129&gt;=15, 4, I129&gt;=10, 3.8, I129&gt;=5, 3, I129&gt;=2, 2.5, I129&gt;=0, 1.8, TRUE, 1.3))</f>
        <v>3</v>
      </c>
      <c r="O129" s="2" t="s">
        <v>2052</v>
      </c>
      <c r="P129" s="10">
        <v>0.7</v>
      </c>
      <c r="Q129" s="10" t="str">
        <f>_xlfn.IFS(Table1[[#This Row],[Rating]]&gt;=4, "Top Performer", Table1[[#This Row],[Rating]]&gt;=3, "Average", TRUE, "Needs Imporovement")</f>
        <v>Average</v>
      </c>
    </row>
    <row r="130" spans="1:17" x14ac:dyDescent="0.3">
      <c r="A130" s="2" t="s">
        <v>305</v>
      </c>
      <c r="B130" s="2" t="s">
        <v>306</v>
      </c>
      <c r="C130" s="2" t="s">
        <v>68</v>
      </c>
      <c r="D130" s="2">
        <v>58</v>
      </c>
      <c r="E130" s="2" t="str">
        <f>_xlfn.IFS(Table1[[#This Row],[Age]]&lt;30, "18-29", D130&lt;=45,"30-45", D130&lt;=55, "46-55", TRUE, "55+")</f>
        <v>55+</v>
      </c>
      <c r="F130" s="2" t="s">
        <v>141</v>
      </c>
      <c r="G130" s="2" t="s">
        <v>142</v>
      </c>
      <c r="H130" s="2" t="s">
        <v>83</v>
      </c>
      <c r="I130" s="5">
        <v>9</v>
      </c>
      <c r="J130" s="5" t="str">
        <f>_xlfn.IFS(Table1[[#This Row],[Experience(Years)]]&lt;5, "Junior", I130&lt;=12, "Mid-Level", I130&lt;=20, "Senior", I130&lt;=30, "Super Senior", TRUE, "Expert")</f>
        <v>Mid-Level</v>
      </c>
      <c r="K130" s="7">
        <v>20</v>
      </c>
      <c r="L130" s="7">
        <f>Table1[[#This Row],[Hourly Rate]]*1000</f>
        <v>20000</v>
      </c>
      <c r="M130" s="7" t="str">
        <f t="shared" ref="M130:M193" si="2">_xlfn.IFS(K130&lt;40, "Budget", K130&lt;=80, "Standard", TRUE, "Premium")</f>
        <v>Budget</v>
      </c>
      <c r="N130" s="2">
        <f>IF(ISNUMBER(#REF!),#REF!, _xlfn.IFS( I130&gt;=30, 5, I130&gt;=25, 4.8, I130&gt;=15, 4, I130&gt;=10, 3.8, I130&gt;=5, 3, I130&gt;=2, 2.5, I130&gt;=0, 1.8, TRUE, 1.3))</f>
        <v>3</v>
      </c>
      <c r="O130" s="2" t="s">
        <v>2052</v>
      </c>
      <c r="P130" s="10">
        <v>0.65</v>
      </c>
      <c r="Q130" s="10" t="str">
        <f>_xlfn.IFS(Table1[[#This Row],[Rating]]&gt;=4, "Top Performer", Table1[[#This Row],[Rating]]&gt;=3, "Average", TRUE, "Needs Imporovement")</f>
        <v>Average</v>
      </c>
    </row>
    <row r="131" spans="1:17" x14ac:dyDescent="0.3">
      <c r="A131" s="2" t="s">
        <v>307</v>
      </c>
      <c r="B131" s="2" t="s">
        <v>308</v>
      </c>
      <c r="C131" s="2" t="s">
        <v>68</v>
      </c>
      <c r="D131" s="2">
        <v>47</v>
      </c>
      <c r="E131" s="2" t="str">
        <f>_xlfn.IFS(Table1[[#This Row],[Age]]&lt;30, "18-29", D131&lt;=45,"30-45", D131&lt;=55, "46-55", TRUE, "55+")</f>
        <v>46-55</v>
      </c>
      <c r="F131" s="2" t="s">
        <v>103</v>
      </c>
      <c r="G131" s="2" t="s">
        <v>104</v>
      </c>
      <c r="H131" s="2" t="s">
        <v>83</v>
      </c>
      <c r="I131" s="5">
        <v>13</v>
      </c>
      <c r="J131" s="5" t="str">
        <f>_xlfn.IFS(Table1[[#This Row],[Experience(Years)]]&lt;5, "Junior", I131&lt;=12, "Mid-Level", I131&lt;=20, "Senior", I131&lt;=30, "Super Senior", TRUE, "Expert")</f>
        <v>Senior</v>
      </c>
      <c r="K131" s="7">
        <v>40</v>
      </c>
      <c r="L131" s="7">
        <f>Table1[[#This Row],[Hourly Rate]]*1000</f>
        <v>40000</v>
      </c>
      <c r="M131" s="7" t="str">
        <f t="shared" si="2"/>
        <v>Standard</v>
      </c>
      <c r="N131" s="2">
        <f>IF(ISNUMBER(#REF!),#REF!, _xlfn.IFS( I131&gt;=30, 5, I131&gt;=25, 4.8, I131&gt;=15, 4, I131&gt;=10, 3.8, I131&gt;=5, 3, I131&gt;=2, 2.5, I131&gt;=0, 1.8, TRUE, 1.3))</f>
        <v>3.8</v>
      </c>
      <c r="O131" s="2" t="str">
        <f xml:space="preserve"> IF(AND( Table1[[#This Row],[Rating]]&gt;=3.5, Table1[[#This Row],[Experience(Years)]]&gt;=15), "Active", "Inactive")</f>
        <v>Inactive</v>
      </c>
      <c r="P131" s="10">
        <v>0.67</v>
      </c>
      <c r="Q131" s="10" t="str">
        <f>_xlfn.IFS(Table1[[#This Row],[Rating]]&gt;=4, "Top Performer", Table1[[#This Row],[Rating]]&gt;=3, "Average", TRUE, "Needs Imporovement")</f>
        <v>Average</v>
      </c>
    </row>
    <row r="132" spans="1:17" x14ac:dyDescent="0.3">
      <c r="A132" s="2" t="s">
        <v>309</v>
      </c>
      <c r="B132" s="2" t="s">
        <v>310</v>
      </c>
      <c r="C132" s="2" t="s">
        <v>49</v>
      </c>
      <c r="D132" s="2">
        <v>45</v>
      </c>
      <c r="E132" s="2" t="str">
        <f>_xlfn.IFS(Table1[[#This Row],[Age]]&lt;30, "18-29", D132&lt;=45,"30-45", D132&lt;=55, "46-55", TRUE, "55+")</f>
        <v>30-45</v>
      </c>
      <c r="F132" s="2" t="s">
        <v>41</v>
      </c>
      <c r="G132" s="2" t="s">
        <v>8</v>
      </c>
      <c r="H132" s="2" t="s">
        <v>50</v>
      </c>
      <c r="I132" s="5">
        <v>14</v>
      </c>
      <c r="J132" s="5" t="str">
        <f>_xlfn.IFS(Table1[[#This Row],[Experience(Years)]]&lt;5, "Junior", I132&lt;=12, "Mid-Level", I132&lt;=20, "Senior", I132&lt;=30, "Super Senior", TRUE, "Expert")</f>
        <v>Senior</v>
      </c>
      <c r="K132" s="7">
        <v>100</v>
      </c>
      <c r="L132" s="7">
        <f>Table1[[#This Row],[Hourly Rate]]*1000</f>
        <v>100000</v>
      </c>
      <c r="M132" s="7" t="str">
        <f t="shared" si="2"/>
        <v>Premium</v>
      </c>
      <c r="N132" s="2">
        <f>IF(ISNUMBER(#REF!),#REF!, _xlfn.IFS( I132&gt;=30, 5, I132&gt;=25, 4.8, I132&gt;=15, 4, I132&gt;=10, 3.8, I132&gt;=5, 3, I132&gt;=2, 2.5, I132&gt;=0, 1.8, TRUE, 1.3))</f>
        <v>3.8</v>
      </c>
      <c r="O132" s="2" t="s">
        <v>2052</v>
      </c>
      <c r="P132" s="10">
        <v>0.93</v>
      </c>
      <c r="Q132" s="10" t="str">
        <f>_xlfn.IFS(Table1[[#This Row],[Rating]]&gt;=4, "Top Performer", Table1[[#This Row],[Rating]]&gt;=3, "Average", TRUE, "Needs Imporovement")</f>
        <v>Average</v>
      </c>
    </row>
    <row r="133" spans="1:17" x14ac:dyDescent="0.3">
      <c r="A133" s="2" t="s">
        <v>311</v>
      </c>
      <c r="B133" s="2" t="s">
        <v>312</v>
      </c>
      <c r="C133" s="2" t="s">
        <v>49</v>
      </c>
      <c r="D133" s="2">
        <v>57</v>
      </c>
      <c r="E133" s="2" t="str">
        <f>_xlfn.IFS(Table1[[#This Row],[Age]]&lt;30, "18-29", D133&lt;=45,"30-45", D133&lt;=55, "46-55", TRUE, "55+")</f>
        <v>55+</v>
      </c>
      <c r="F133" s="2" t="s">
        <v>103</v>
      </c>
      <c r="G133" s="2" t="s">
        <v>104</v>
      </c>
      <c r="H133" s="2" t="s">
        <v>83</v>
      </c>
      <c r="I133" s="5">
        <v>0</v>
      </c>
      <c r="J133" s="5" t="str">
        <f>_xlfn.IFS(Table1[[#This Row],[Experience(Years)]]&lt;5, "Junior", I133&lt;=12, "Mid-Level", I133&lt;=20, "Senior", I133&lt;=30, "Super Senior", TRUE, "Expert")</f>
        <v>Junior</v>
      </c>
      <c r="K133" s="7">
        <v>50</v>
      </c>
      <c r="L133" s="7">
        <f>Table1[[#This Row],[Hourly Rate]]*1000</f>
        <v>50000</v>
      </c>
      <c r="M133" s="7" t="str">
        <f t="shared" si="2"/>
        <v>Standard</v>
      </c>
      <c r="N133" s="2">
        <f>IF(ISNUMBER(#REF!),#REF!, _xlfn.IFS( I133&gt;=30, 5, I133&gt;=25, 4.8, I133&gt;=15, 4, I133&gt;=10, 3.8, I133&gt;=5, 3, I133&gt;=2, 2.5, I133&gt;=0, 1.8, TRUE, 1.3))</f>
        <v>1.8</v>
      </c>
      <c r="O133" s="2" t="s">
        <v>2052</v>
      </c>
      <c r="P133" s="10">
        <v>0.6</v>
      </c>
      <c r="Q133" s="10" t="str">
        <f>_xlfn.IFS(Table1[[#This Row],[Rating]]&gt;=4, "Top Performer", Table1[[#This Row],[Rating]]&gt;=3, "Average", TRUE, "Needs Imporovement")</f>
        <v>Needs Imporovement</v>
      </c>
    </row>
    <row r="134" spans="1:17" x14ac:dyDescent="0.3">
      <c r="A134" s="2" t="s">
        <v>313</v>
      </c>
      <c r="B134" s="2" t="s">
        <v>314</v>
      </c>
      <c r="C134" s="2" t="s">
        <v>68</v>
      </c>
      <c r="D134" s="2">
        <v>50</v>
      </c>
      <c r="E134" s="2" t="str">
        <f>_xlfn.IFS(Table1[[#This Row],[Age]]&lt;30, "18-29", D134&lt;=45,"30-45", D134&lt;=55, "46-55", TRUE, "55+")</f>
        <v>46-55</v>
      </c>
      <c r="F134" s="2" t="s">
        <v>64</v>
      </c>
      <c r="G134" s="2" t="s">
        <v>65</v>
      </c>
      <c r="H134" s="2" t="s">
        <v>17</v>
      </c>
      <c r="I134" s="5">
        <v>22</v>
      </c>
      <c r="J134" s="5" t="str">
        <f>_xlfn.IFS(Table1[[#This Row],[Experience(Years)]]&lt;5, "Junior", I134&lt;=12, "Mid-Level", I134&lt;=20, "Senior", I134&lt;=30, "Super Senior", TRUE, "Expert")</f>
        <v>Super Senior</v>
      </c>
      <c r="K134" s="7">
        <v>100</v>
      </c>
      <c r="L134" s="7">
        <f>Table1[[#This Row],[Hourly Rate]]*1000</f>
        <v>100000</v>
      </c>
      <c r="M134" s="7" t="str">
        <f t="shared" si="2"/>
        <v>Premium</v>
      </c>
      <c r="N134" s="2">
        <f>IF(ISNUMBER(#REF!),#REF!, _xlfn.IFS( I134&gt;=30, 5, I134&gt;=25, 4.8, I134&gt;=15, 4, I134&gt;=10, 3.8, I134&gt;=5, 3, I134&gt;=2, 2.5, I134&gt;=0, 1.8, TRUE, 1.3))</f>
        <v>4</v>
      </c>
      <c r="O134" s="2" t="s">
        <v>2052</v>
      </c>
      <c r="P134" s="10">
        <v>0.62</v>
      </c>
      <c r="Q134" s="10" t="str">
        <f>_xlfn.IFS(Table1[[#This Row],[Rating]]&gt;=4, "Top Performer", Table1[[#This Row],[Rating]]&gt;=3, "Average", TRUE, "Needs Imporovement")</f>
        <v>Top Performer</v>
      </c>
    </row>
    <row r="135" spans="1:17" x14ac:dyDescent="0.3">
      <c r="A135" s="2" t="s">
        <v>315</v>
      </c>
      <c r="B135" s="2" t="s">
        <v>316</v>
      </c>
      <c r="C135" s="2" t="s">
        <v>49</v>
      </c>
      <c r="D135" s="2">
        <v>26</v>
      </c>
      <c r="E135" s="2" t="str">
        <f>_xlfn.IFS(Table1[[#This Row],[Age]]&lt;30, "18-29", D135&lt;=45,"30-45", D135&lt;=55, "46-55", TRUE, "55+")</f>
        <v>18-29</v>
      </c>
      <c r="F135" s="2" t="s">
        <v>77</v>
      </c>
      <c r="G135" s="2" t="s">
        <v>78</v>
      </c>
      <c r="H135" s="2" t="s">
        <v>83</v>
      </c>
      <c r="I135" s="5">
        <v>4</v>
      </c>
      <c r="J135" s="5" t="str">
        <f>_xlfn.IFS(Table1[[#This Row],[Experience(Years)]]&lt;5, "Junior", I135&lt;=12, "Mid-Level", I135&lt;=20, "Senior", I135&lt;=30, "Super Senior", TRUE, "Expert")</f>
        <v>Junior</v>
      </c>
      <c r="K135" s="7">
        <v>30</v>
      </c>
      <c r="L135" s="7">
        <f>Table1[[#This Row],[Hourly Rate]]*1000</f>
        <v>30000</v>
      </c>
      <c r="M135" s="7" t="str">
        <f t="shared" si="2"/>
        <v>Budget</v>
      </c>
      <c r="N135" s="2">
        <f>IF(ISNUMBER(#REF!),#REF!, _xlfn.IFS( I135&gt;=30, 5, I135&gt;=25, 4.8, I135&gt;=15, 4, I135&gt;=10, 3.8, I135&gt;=5, 3, I135&gt;=2, 2.5, I135&gt;=0, 1.8, TRUE, 1.3))</f>
        <v>2.5</v>
      </c>
      <c r="O135" s="2" t="str">
        <f>IF(AND( Table1[[#This Row],[Rating]]&gt;=3.5, Table1[[#This Row],[Experience(Years)]]&gt;=15), "Active", "Inactive")</f>
        <v>Inactive</v>
      </c>
      <c r="P135" s="10">
        <v>0.7</v>
      </c>
      <c r="Q135" s="10" t="str">
        <f>_xlfn.IFS(Table1[[#This Row],[Rating]]&gt;=4, "Top Performer", Table1[[#This Row],[Rating]]&gt;=3, "Average", TRUE, "Needs Imporovement")</f>
        <v>Needs Imporovement</v>
      </c>
    </row>
    <row r="136" spans="1:17" x14ac:dyDescent="0.3">
      <c r="A136" s="2" t="s">
        <v>317</v>
      </c>
      <c r="B136" s="2" t="s">
        <v>318</v>
      </c>
      <c r="C136" s="2" t="s">
        <v>49</v>
      </c>
      <c r="D136" s="2">
        <v>45</v>
      </c>
      <c r="E136" s="2" t="str">
        <f>_xlfn.IFS(Table1[[#This Row],[Age]]&lt;30, "18-29", D136&lt;=45,"30-45", D136&lt;=55, "46-55", TRUE, "55+")</f>
        <v>30-45</v>
      </c>
      <c r="F136" s="2" t="s">
        <v>27</v>
      </c>
      <c r="G136" s="2" t="s">
        <v>28</v>
      </c>
      <c r="H136" s="2" t="s">
        <v>4</v>
      </c>
      <c r="I136" s="5">
        <v>22</v>
      </c>
      <c r="J136" s="5" t="str">
        <f>_xlfn.IFS(Table1[[#This Row],[Experience(Years)]]&lt;5, "Junior", I136&lt;=12, "Mid-Level", I136&lt;=20, "Senior", I136&lt;=30, "Super Senior", TRUE, "Expert")</f>
        <v>Super Senior</v>
      </c>
      <c r="K136" s="7">
        <v>100</v>
      </c>
      <c r="L136" s="7">
        <f>Table1[[#This Row],[Hourly Rate]]*1000</f>
        <v>100000</v>
      </c>
      <c r="M136" s="7" t="str">
        <f t="shared" si="2"/>
        <v>Premium</v>
      </c>
      <c r="N136" s="2">
        <f>IF(ISNUMBER(#REF!),#REF!, _xlfn.IFS( I136&gt;=30, 5, I136&gt;=25, 4.8, I136&gt;=15, 4, I136&gt;=10, 3.8, I136&gt;=5, 3, I136&gt;=2, 2.5, I136&gt;=0, 1.8, TRUE, 1.3))</f>
        <v>4</v>
      </c>
      <c r="O136" s="2" t="s">
        <v>2053</v>
      </c>
      <c r="P136" s="10">
        <v>0.75</v>
      </c>
      <c r="Q136" s="10" t="str">
        <f>_xlfn.IFS(Table1[[#This Row],[Rating]]&gt;=4, "Top Performer", Table1[[#This Row],[Rating]]&gt;=3, "Average", TRUE, "Needs Imporovement")</f>
        <v>Top Performer</v>
      </c>
    </row>
    <row r="137" spans="1:17" x14ac:dyDescent="0.3">
      <c r="A137" s="2" t="s">
        <v>319</v>
      </c>
      <c r="B137" s="2" t="s">
        <v>320</v>
      </c>
      <c r="C137" s="2" t="s">
        <v>68</v>
      </c>
      <c r="D137" s="2">
        <v>60</v>
      </c>
      <c r="E137" s="2" t="str">
        <f>_xlfn.IFS(Table1[[#This Row],[Age]]&lt;30, "18-29", D137&lt;=45,"30-45", D137&lt;=55, "46-55", TRUE, "55+")</f>
        <v>55+</v>
      </c>
      <c r="F137" s="2" t="s">
        <v>121</v>
      </c>
      <c r="G137" s="2" t="s">
        <v>122</v>
      </c>
      <c r="H137" s="2" t="s">
        <v>50</v>
      </c>
      <c r="I137" s="5">
        <v>39</v>
      </c>
      <c r="J137" s="5" t="str">
        <f>_xlfn.IFS(Table1[[#This Row],[Experience(Years)]]&lt;5, "Junior", I137&lt;=12, "Mid-Level", I137&lt;=20, "Senior", I137&lt;=30, "Super Senior", TRUE, "Expert")</f>
        <v>Expert</v>
      </c>
      <c r="K137" s="7">
        <v>75</v>
      </c>
      <c r="L137" s="7">
        <f>Table1[[#This Row],[Hourly Rate]]*1000</f>
        <v>75000</v>
      </c>
      <c r="M137" s="7" t="str">
        <f t="shared" si="2"/>
        <v>Standard</v>
      </c>
      <c r="N137" s="2">
        <f>IF(ISNUMBER(#REF!),#REF!, _xlfn.IFS( I137&gt;=30, 5, I137&gt;=25, 4.8, I137&gt;=15, 4, I137&gt;=10, 3.8, I137&gt;=5, 3, I137&gt;=2, 2.5, I137&gt;=0, 1.8, TRUE, 1.3))</f>
        <v>5</v>
      </c>
      <c r="O137" s="2" t="s">
        <v>2052</v>
      </c>
      <c r="P137" s="10">
        <v>0.7</v>
      </c>
      <c r="Q137" s="10" t="str">
        <f>_xlfn.IFS(Table1[[#This Row],[Rating]]&gt;=4, "Top Performer", Table1[[#This Row],[Rating]]&gt;=3, "Average", TRUE, "Needs Imporovement")</f>
        <v>Top Performer</v>
      </c>
    </row>
    <row r="138" spans="1:17" x14ac:dyDescent="0.3">
      <c r="A138" s="2" t="s">
        <v>321</v>
      </c>
      <c r="B138" s="2" t="s">
        <v>322</v>
      </c>
      <c r="C138" s="2" t="s">
        <v>49</v>
      </c>
      <c r="D138" s="2">
        <v>43</v>
      </c>
      <c r="E138" s="2" t="str">
        <f>_xlfn.IFS(Table1[[#This Row],[Age]]&lt;30, "18-29", D138&lt;=45,"30-45", D138&lt;=55, "46-55", TRUE, "55+")</f>
        <v>30-45</v>
      </c>
      <c r="F138" s="2" t="s">
        <v>41</v>
      </c>
      <c r="G138" s="2" t="s">
        <v>8</v>
      </c>
      <c r="H138" s="2" t="s">
        <v>50</v>
      </c>
      <c r="I138" s="5">
        <v>5</v>
      </c>
      <c r="J138" s="5" t="str">
        <f>_xlfn.IFS(Table1[[#This Row],[Experience(Years)]]&lt;5, "Junior", I138&lt;=12, "Mid-Level", I138&lt;=20, "Senior", I138&lt;=30, "Super Senior", TRUE, "Expert")</f>
        <v>Mid-Level</v>
      </c>
      <c r="K138" s="7">
        <v>50</v>
      </c>
      <c r="L138" s="7">
        <f>Table1[[#This Row],[Hourly Rate]]*1000</f>
        <v>50000</v>
      </c>
      <c r="M138" s="7" t="str">
        <f t="shared" si="2"/>
        <v>Standard</v>
      </c>
      <c r="N138" s="2">
        <f>IF(ISNUMBER(#REF!),#REF!, _xlfn.IFS( I138&gt;=30, 5, I138&gt;=25, 4.8, I138&gt;=15, 4, I138&gt;=10, 3.8, I138&gt;=5, 3, I138&gt;=2, 2.5, I138&gt;=0, 1.8, TRUE, 1.3))</f>
        <v>3</v>
      </c>
      <c r="O138" s="2" t="s">
        <v>2053</v>
      </c>
      <c r="P138" s="10">
        <v>0.84</v>
      </c>
      <c r="Q138" s="10" t="str">
        <f>_xlfn.IFS(Table1[[#This Row],[Rating]]&gt;=4, "Top Performer", Table1[[#This Row],[Rating]]&gt;=3, "Average", TRUE, "Needs Imporovement")</f>
        <v>Average</v>
      </c>
    </row>
    <row r="139" spans="1:17" x14ac:dyDescent="0.3">
      <c r="A139" s="2" t="s">
        <v>323</v>
      </c>
      <c r="B139" s="2" t="s">
        <v>324</v>
      </c>
      <c r="C139" s="2" t="s">
        <v>49</v>
      </c>
      <c r="D139" s="2">
        <v>39</v>
      </c>
      <c r="E139" s="2" t="str">
        <f>_xlfn.IFS(Table1[[#This Row],[Age]]&lt;30, "18-29", D139&lt;=45,"30-45", D139&lt;=55, "46-55", TRUE, "55+")</f>
        <v>30-45</v>
      </c>
      <c r="F139" s="2" t="s">
        <v>103</v>
      </c>
      <c r="G139" s="2" t="s">
        <v>104</v>
      </c>
      <c r="H139" s="2" t="s">
        <v>50</v>
      </c>
      <c r="I139" s="5">
        <v>5</v>
      </c>
      <c r="J139" s="5" t="str">
        <f>_xlfn.IFS(Table1[[#This Row],[Experience(Years)]]&lt;5, "Junior", I139&lt;=12, "Mid-Level", I139&lt;=20, "Senior", I139&lt;=30, "Super Senior", TRUE, "Expert")</f>
        <v>Mid-Level</v>
      </c>
      <c r="K139" s="7">
        <v>40</v>
      </c>
      <c r="L139" s="7">
        <f>Table1[[#This Row],[Hourly Rate]]*1000</f>
        <v>40000</v>
      </c>
      <c r="M139" s="7" t="str">
        <f t="shared" si="2"/>
        <v>Standard</v>
      </c>
      <c r="N139" s="2">
        <f>IF(ISNUMBER(#REF!),#REF!, _xlfn.IFS( I139&gt;=30, 5, I139&gt;=25, 4.8, I139&gt;=15, 4, I139&gt;=10, 3.8, I139&gt;=5, 3, I139&gt;=2, 2.5, I139&gt;=0, 1.8, TRUE, 1.3))</f>
        <v>3</v>
      </c>
      <c r="O139" s="2" t="s">
        <v>2052</v>
      </c>
      <c r="P139" s="10">
        <v>0.83</v>
      </c>
      <c r="Q139" s="10" t="str">
        <f>_xlfn.IFS(Table1[[#This Row],[Rating]]&gt;=4, "Top Performer", Table1[[#This Row],[Rating]]&gt;=3, "Average", TRUE, "Needs Imporovement")</f>
        <v>Average</v>
      </c>
    </row>
    <row r="140" spans="1:17" x14ac:dyDescent="0.3">
      <c r="A140" s="2" t="s">
        <v>325</v>
      </c>
      <c r="B140" s="2" t="s">
        <v>326</v>
      </c>
      <c r="C140" s="2" t="s">
        <v>68</v>
      </c>
      <c r="D140" s="2">
        <v>26</v>
      </c>
      <c r="E140" s="2" t="str">
        <f>_xlfn.IFS(Table1[[#This Row],[Age]]&lt;30, "18-29", D140&lt;=45,"30-45", D140&lt;=55, "46-55", TRUE, "55+")</f>
        <v>18-29</v>
      </c>
      <c r="F140" s="2" t="s">
        <v>145</v>
      </c>
      <c r="G140" s="2" t="s">
        <v>45</v>
      </c>
      <c r="H140" s="2" t="s">
        <v>46</v>
      </c>
      <c r="I140" s="5">
        <v>5</v>
      </c>
      <c r="J140" s="5" t="str">
        <f>_xlfn.IFS(Table1[[#This Row],[Experience(Years)]]&lt;5, "Junior", I140&lt;=12, "Mid-Level", I140&lt;=20, "Senior", I140&lt;=30, "Super Senior", TRUE, "Expert")</f>
        <v>Mid-Level</v>
      </c>
      <c r="K140" s="7">
        <v>50</v>
      </c>
      <c r="L140" s="7">
        <f>Table1[[#This Row],[Hourly Rate]]*1000</f>
        <v>50000</v>
      </c>
      <c r="M140" s="7" t="str">
        <f t="shared" si="2"/>
        <v>Standard</v>
      </c>
      <c r="N140" s="2">
        <f>IF(ISNUMBER(#REF!),#REF!, _xlfn.IFS( I140&gt;=30, 5, I140&gt;=25, 4.8, I140&gt;=15, 4, I140&gt;=10, 3.8, I140&gt;=5, 3, I140&gt;=2, 2.5, I140&gt;=0, 1.8, TRUE, 1.3))</f>
        <v>3</v>
      </c>
      <c r="O140" s="2" t="s">
        <v>2052</v>
      </c>
      <c r="P140" s="10">
        <v>0.6</v>
      </c>
      <c r="Q140" s="10" t="str">
        <f>_xlfn.IFS(Table1[[#This Row],[Rating]]&gt;=4, "Top Performer", Table1[[#This Row],[Rating]]&gt;=3, "Average", TRUE, "Needs Imporovement")</f>
        <v>Average</v>
      </c>
    </row>
    <row r="141" spans="1:17" x14ac:dyDescent="0.3">
      <c r="A141" s="2" t="s">
        <v>327</v>
      </c>
      <c r="B141" s="2" t="s">
        <v>328</v>
      </c>
      <c r="C141" s="2" t="s">
        <v>68</v>
      </c>
      <c r="D141" s="2">
        <v>31</v>
      </c>
      <c r="E141" s="2" t="str">
        <f>_xlfn.IFS(Table1[[#This Row],[Age]]&lt;30, "18-29", D141&lt;=45,"30-45", D141&lt;=55, "46-55", TRUE, "55+")</f>
        <v>30-45</v>
      </c>
      <c r="F141" s="2" t="s">
        <v>12</v>
      </c>
      <c r="G141" s="2" t="s">
        <v>13</v>
      </c>
      <c r="H141" s="2" t="s">
        <v>50</v>
      </c>
      <c r="I141" s="5">
        <v>11</v>
      </c>
      <c r="J141" s="5" t="str">
        <f>_xlfn.IFS(Table1[[#This Row],[Experience(Years)]]&lt;5, "Junior", I141&lt;=12, "Mid-Level", I141&lt;=20, "Senior", I141&lt;=30, "Super Senior", TRUE, "Expert")</f>
        <v>Mid-Level</v>
      </c>
      <c r="K141" s="7">
        <v>50</v>
      </c>
      <c r="L141" s="7">
        <f>Table1[[#This Row],[Hourly Rate]]*1000</f>
        <v>50000</v>
      </c>
      <c r="M141" s="7" t="str">
        <f t="shared" si="2"/>
        <v>Standard</v>
      </c>
      <c r="N141" s="2">
        <f>IF(ISNUMBER(#REF!),#REF!, _xlfn.IFS( I141&gt;=30, 5, I141&gt;=25, 4.8, I141&gt;=15, 4, I141&gt;=10, 3.8, I141&gt;=5, 3, I141&gt;=2, 2.5, I141&gt;=0, 1.8, TRUE, 1.3))</f>
        <v>3.8</v>
      </c>
      <c r="O141" s="2" t="s">
        <v>2052</v>
      </c>
      <c r="P141" s="10">
        <v>0.88</v>
      </c>
      <c r="Q141" s="10" t="str">
        <f>_xlfn.IFS(Table1[[#This Row],[Rating]]&gt;=4, "Top Performer", Table1[[#This Row],[Rating]]&gt;=3, "Average", TRUE, "Needs Imporovement")</f>
        <v>Average</v>
      </c>
    </row>
    <row r="142" spans="1:17" x14ac:dyDescent="0.3">
      <c r="A142" s="2" t="s">
        <v>329</v>
      </c>
      <c r="B142" s="2" t="s">
        <v>330</v>
      </c>
      <c r="C142" s="2" t="s">
        <v>68</v>
      </c>
      <c r="D142" s="2">
        <v>52</v>
      </c>
      <c r="E142" s="2" t="str">
        <f>_xlfn.IFS(Table1[[#This Row],[Age]]&lt;30, "18-29", D142&lt;=45,"30-45", D142&lt;=55, "46-55", TRUE, "55+")</f>
        <v>46-55</v>
      </c>
      <c r="F142" s="2" t="s">
        <v>103</v>
      </c>
      <c r="G142" s="2" t="s">
        <v>104</v>
      </c>
      <c r="H142" s="2" t="s">
        <v>46</v>
      </c>
      <c r="I142" s="5">
        <v>15</v>
      </c>
      <c r="J142" s="5" t="str">
        <f>_xlfn.IFS(Table1[[#This Row],[Experience(Years)]]&lt;5, "Junior", I142&lt;=12, "Mid-Level", I142&lt;=20, "Senior", I142&lt;=30, "Super Senior", TRUE, "Expert")</f>
        <v>Senior</v>
      </c>
      <c r="K142" s="7">
        <v>50</v>
      </c>
      <c r="L142" s="7">
        <f>Table1[[#This Row],[Hourly Rate]]*1000</f>
        <v>50000</v>
      </c>
      <c r="M142" s="7" t="str">
        <f t="shared" si="2"/>
        <v>Standard</v>
      </c>
      <c r="N142" s="2">
        <f>IF(ISNUMBER(#REF!),#REF!, _xlfn.IFS( I142&gt;=30, 5, I142&gt;=25, 4.8, I142&gt;=15, 4, I142&gt;=10, 3.8, I142&gt;=5, 3, I142&gt;=2, 2.5, I142&gt;=0, 1.8, TRUE, 1.3))</f>
        <v>4</v>
      </c>
      <c r="O142" s="2" t="s">
        <v>2053</v>
      </c>
      <c r="P142" s="10">
        <v>0.81</v>
      </c>
      <c r="Q142" s="10" t="str">
        <f>_xlfn.IFS(Table1[[#This Row],[Rating]]&gt;=4, "Top Performer", Table1[[#This Row],[Rating]]&gt;=3, "Average", TRUE, "Needs Imporovement")</f>
        <v>Top Performer</v>
      </c>
    </row>
    <row r="143" spans="1:17" x14ac:dyDescent="0.3">
      <c r="A143" s="2" t="s">
        <v>331</v>
      </c>
      <c r="B143" s="2" t="s">
        <v>332</v>
      </c>
      <c r="C143" s="2" t="s">
        <v>49</v>
      </c>
      <c r="D143" s="2">
        <v>34</v>
      </c>
      <c r="E143" s="2" t="str">
        <f>_xlfn.IFS(Table1[[#This Row],[Age]]&lt;30, "18-29", D143&lt;=45,"30-45", D143&lt;=55, "46-55", TRUE, "55+")</f>
        <v>30-45</v>
      </c>
      <c r="F143" s="2" t="s">
        <v>64</v>
      </c>
      <c r="G143" s="2" t="s">
        <v>65</v>
      </c>
      <c r="H143" s="2" t="s">
        <v>29</v>
      </c>
      <c r="I143" s="5">
        <v>5</v>
      </c>
      <c r="J143" s="5" t="str">
        <f>_xlfn.IFS(Table1[[#This Row],[Experience(Years)]]&lt;5, "Junior", I143&lt;=12, "Mid-Level", I143&lt;=20, "Senior", I143&lt;=30, "Super Senior", TRUE, "Expert")</f>
        <v>Mid-Level</v>
      </c>
      <c r="K143" s="7">
        <v>20</v>
      </c>
      <c r="L143" s="7">
        <f>Table1[[#This Row],[Hourly Rate]]*1000</f>
        <v>20000</v>
      </c>
      <c r="M143" s="7" t="str">
        <f t="shared" si="2"/>
        <v>Budget</v>
      </c>
      <c r="N143" s="2">
        <f>IF(ISNUMBER(#REF!),#REF!, _xlfn.IFS( I143&gt;=30, 5, I143&gt;=25, 4.8, I143&gt;=15, 4, I143&gt;=10, 3.8, I143&gt;=5, 3, I143&gt;=2, 2.5, I143&gt;=0, 1.8, TRUE, 1.3))</f>
        <v>3</v>
      </c>
      <c r="O143" s="2" t="s">
        <v>2053</v>
      </c>
      <c r="P143" s="10">
        <v>0.8</v>
      </c>
      <c r="Q143" s="10" t="str">
        <f>_xlfn.IFS(Table1[[#This Row],[Rating]]&gt;=4, "Top Performer", Table1[[#This Row],[Rating]]&gt;=3, "Average", TRUE, "Needs Imporovement")</f>
        <v>Average</v>
      </c>
    </row>
    <row r="144" spans="1:17" x14ac:dyDescent="0.3">
      <c r="A144" s="2" t="s">
        <v>333</v>
      </c>
      <c r="B144" s="2" t="s">
        <v>334</v>
      </c>
      <c r="C144" s="2" t="s">
        <v>68</v>
      </c>
      <c r="D144" s="2">
        <v>45</v>
      </c>
      <c r="E144" s="2" t="str">
        <f>_xlfn.IFS(Table1[[#This Row],[Age]]&lt;30, "18-29", D144&lt;=45,"30-45", D144&lt;=55, "46-55", TRUE, "55+")</f>
        <v>30-45</v>
      </c>
      <c r="F144" s="2" t="s">
        <v>41</v>
      </c>
      <c r="G144" s="2" t="s">
        <v>8</v>
      </c>
      <c r="H144" s="2" t="s">
        <v>17</v>
      </c>
      <c r="I144" s="5">
        <v>7</v>
      </c>
      <c r="J144" s="5" t="str">
        <f>_xlfn.IFS(Table1[[#This Row],[Experience(Years)]]&lt;5, "Junior", I144&lt;=12, "Mid-Level", I144&lt;=20, "Senior", I144&lt;=30, "Super Senior", TRUE, "Expert")</f>
        <v>Mid-Level</v>
      </c>
      <c r="K144" s="7">
        <v>75</v>
      </c>
      <c r="L144" s="7">
        <f>Table1[[#This Row],[Hourly Rate]]*1000</f>
        <v>75000</v>
      </c>
      <c r="M144" s="7" t="str">
        <f t="shared" si="2"/>
        <v>Standard</v>
      </c>
      <c r="N144" s="2">
        <f>IF(ISNUMBER(#REF!),#REF!, _xlfn.IFS( I144&gt;=30, 5, I144&gt;=25, 4.8, I144&gt;=15, 4, I144&gt;=10, 3.8, I144&gt;=5, 3, I144&gt;=2, 2.5, I144&gt;=0, 1.8, TRUE, 1.3))</f>
        <v>3</v>
      </c>
      <c r="O144" s="2" t="s">
        <v>2053</v>
      </c>
      <c r="P144" s="10">
        <v>0.67</v>
      </c>
      <c r="Q144" s="10" t="str">
        <f>_xlfn.IFS(Table1[[#This Row],[Rating]]&gt;=4, "Top Performer", Table1[[#This Row],[Rating]]&gt;=3, "Average", TRUE, "Needs Imporovement")</f>
        <v>Average</v>
      </c>
    </row>
    <row r="145" spans="1:17" x14ac:dyDescent="0.3">
      <c r="A145" s="2" t="s">
        <v>335</v>
      </c>
      <c r="B145" s="2" t="s">
        <v>336</v>
      </c>
      <c r="C145" s="2" t="s">
        <v>68</v>
      </c>
      <c r="D145" s="2">
        <v>46</v>
      </c>
      <c r="E145" s="2" t="str">
        <f>_xlfn.IFS(Table1[[#This Row],[Age]]&lt;30, "18-29", D145&lt;=45,"30-45", D145&lt;=55, "46-55", TRUE, "55+")</f>
        <v>46-55</v>
      </c>
      <c r="F145" s="2" t="s">
        <v>41</v>
      </c>
      <c r="G145" s="2" t="s">
        <v>8</v>
      </c>
      <c r="H145" s="2" t="s">
        <v>50</v>
      </c>
      <c r="I145" s="5">
        <v>9</v>
      </c>
      <c r="J145" s="5" t="str">
        <f>_xlfn.IFS(Table1[[#This Row],[Experience(Years)]]&lt;5, "Junior", I145&lt;=12, "Mid-Level", I145&lt;=20, "Senior", I145&lt;=30, "Super Senior", TRUE, "Expert")</f>
        <v>Mid-Level</v>
      </c>
      <c r="K145" s="7">
        <v>20</v>
      </c>
      <c r="L145" s="7">
        <f>Table1[[#This Row],[Hourly Rate]]*1000</f>
        <v>20000</v>
      </c>
      <c r="M145" s="7" t="str">
        <f t="shared" si="2"/>
        <v>Budget</v>
      </c>
      <c r="N145" s="2">
        <f>IF(ISNUMBER(#REF!),#REF!, _xlfn.IFS( I145&gt;=30, 5, I145&gt;=25, 4.8, I145&gt;=15, 4, I145&gt;=10, 3.8, I145&gt;=5, 3, I145&gt;=2, 2.5, I145&gt;=0, 1.8, TRUE, 1.3))</f>
        <v>3</v>
      </c>
      <c r="O145" s="2" t="s">
        <v>2052</v>
      </c>
      <c r="P145" s="10">
        <v>0.82</v>
      </c>
      <c r="Q145" s="10" t="str">
        <f>_xlfn.IFS(Table1[[#This Row],[Rating]]&gt;=4, "Top Performer", Table1[[#This Row],[Rating]]&gt;=3, "Average", TRUE, "Needs Imporovement")</f>
        <v>Average</v>
      </c>
    </row>
    <row r="146" spans="1:17" x14ac:dyDescent="0.3">
      <c r="A146" s="2" t="s">
        <v>337</v>
      </c>
      <c r="B146" s="2" t="s">
        <v>338</v>
      </c>
      <c r="C146" s="2" t="s">
        <v>68</v>
      </c>
      <c r="D146" s="2">
        <v>56</v>
      </c>
      <c r="E146" s="2" t="str">
        <f>_xlfn.IFS(Table1[[#This Row],[Age]]&lt;30, "18-29", D146&lt;=45,"30-45", D146&lt;=55, "46-55", TRUE, "55+")</f>
        <v>55+</v>
      </c>
      <c r="F146" s="2" t="s">
        <v>103</v>
      </c>
      <c r="G146" s="2" t="s">
        <v>104</v>
      </c>
      <c r="H146" s="2" t="s">
        <v>46</v>
      </c>
      <c r="I146" s="5">
        <v>21</v>
      </c>
      <c r="J146" s="5" t="str">
        <f>_xlfn.IFS(Table1[[#This Row],[Experience(Years)]]&lt;5, "Junior", I146&lt;=12, "Mid-Level", I146&lt;=20, "Senior", I146&lt;=30, "Super Senior", TRUE, "Expert")</f>
        <v>Super Senior</v>
      </c>
      <c r="K146" s="7">
        <v>100</v>
      </c>
      <c r="L146" s="7">
        <f>Table1[[#This Row],[Hourly Rate]]*1000</f>
        <v>100000</v>
      </c>
      <c r="M146" s="7" t="str">
        <f t="shared" si="2"/>
        <v>Premium</v>
      </c>
      <c r="N146" s="2">
        <f>IF(ISNUMBER(#REF!),#REF!, _xlfn.IFS( I146&gt;=30, 5, I146&gt;=25, 4.8, I146&gt;=15, 4, I146&gt;=10, 3.8, I146&gt;=5, 3, I146&gt;=2, 2.5, I146&gt;=0, 1.8, TRUE, 1.3))</f>
        <v>4</v>
      </c>
      <c r="O146" s="2" t="s">
        <v>2053</v>
      </c>
      <c r="P146" s="10">
        <v>0.78</v>
      </c>
      <c r="Q146" s="10" t="str">
        <f>_xlfn.IFS(Table1[[#This Row],[Rating]]&gt;=4, "Top Performer", Table1[[#This Row],[Rating]]&gt;=3, "Average", TRUE, "Needs Imporovement")</f>
        <v>Top Performer</v>
      </c>
    </row>
    <row r="147" spans="1:17" x14ac:dyDescent="0.3">
      <c r="A147" s="2" t="s">
        <v>339</v>
      </c>
      <c r="B147" s="2" t="s">
        <v>340</v>
      </c>
      <c r="C147" s="2" t="s">
        <v>49</v>
      </c>
      <c r="D147" s="2">
        <v>59</v>
      </c>
      <c r="E147" s="2" t="str">
        <f>_xlfn.IFS(Table1[[#This Row],[Age]]&lt;30, "18-29", D147&lt;=45,"30-45", D147&lt;=55, "46-55", TRUE, "55+")</f>
        <v>55+</v>
      </c>
      <c r="F147" s="2" t="s">
        <v>12</v>
      </c>
      <c r="G147" s="2" t="s">
        <v>13</v>
      </c>
      <c r="H147" s="2" t="s">
        <v>24</v>
      </c>
      <c r="I147" s="5">
        <v>7</v>
      </c>
      <c r="J147" s="5" t="str">
        <f>_xlfn.IFS(Table1[[#This Row],[Experience(Years)]]&lt;5, "Junior", I147&lt;=12, "Mid-Level", I147&lt;=20, "Senior", I147&lt;=30, "Super Senior", TRUE, "Expert")</f>
        <v>Mid-Level</v>
      </c>
      <c r="K147" s="7">
        <v>40</v>
      </c>
      <c r="L147" s="7">
        <f>Table1[[#This Row],[Hourly Rate]]*1000</f>
        <v>40000</v>
      </c>
      <c r="M147" s="7" t="str">
        <f t="shared" si="2"/>
        <v>Standard</v>
      </c>
      <c r="N147" s="2">
        <f>IF(ISNUMBER(#REF!),#REF!, _xlfn.IFS( I147&gt;=30, 5, I147&gt;=25, 4.8, I147&gt;=15, 4, I147&gt;=10, 3.8, I147&gt;=5, 3, I147&gt;=2, 2.5, I147&gt;=0, 1.8, TRUE, 1.3))</f>
        <v>3</v>
      </c>
      <c r="O147" s="2" t="s">
        <v>2052</v>
      </c>
      <c r="P147" s="10">
        <v>0.81</v>
      </c>
      <c r="Q147" s="10" t="str">
        <f>_xlfn.IFS(Table1[[#This Row],[Rating]]&gt;=4, "Top Performer", Table1[[#This Row],[Rating]]&gt;=3, "Average", TRUE, "Needs Imporovement")</f>
        <v>Average</v>
      </c>
    </row>
    <row r="148" spans="1:17" x14ac:dyDescent="0.3">
      <c r="A148" s="2" t="s">
        <v>341</v>
      </c>
      <c r="B148" s="2" t="s">
        <v>342</v>
      </c>
      <c r="C148" s="2" t="s">
        <v>49</v>
      </c>
      <c r="D148" s="2">
        <v>54</v>
      </c>
      <c r="E148" s="2" t="str">
        <f>_xlfn.IFS(Table1[[#This Row],[Age]]&lt;30, "18-29", D148&lt;=45,"30-45", D148&lt;=55, "46-55", TRUE, "55+")</f>
        <v>46-55</v>
      </c>
      <c r="F148" s="2" t="s">
        <v>107</v>
      </c>
      <c r="G148" s="2" t="s">
        <v>108</v>
      </c>
      <c r="H148" s="2" t="s">
        <v>4</v>
      </c>
      <c r="I148" s="5">
        <v>4</v>
      </c>
      <c r="J148" s="5" t="str">
        <f>_xlfn.IFS(Table1[[#This Row],[Experience(Years)]]&lt;5, "Junior", I148&lt;=12, "Mid-Level", I148&lt;=20, "Senior", I148&lt;=30, "Super Senior", TRUE, "Expert")</f>
        <v>Junior</v>
      </c>
      <c r="K148" s="7">
        <v>20</v>
      </c>
      <c r="L148" s="7">
        <f>Table1[[#This Row],[Hourly Rate]]*1000</f>
        <v>20000</v>
      </c>
      <c r="M148" s="7" t="str">
        <f t="shared" si="2"/>
        <v>Budget</v>
      </c>
      <c r="N148" s="2">
        <f>IF(ISNUMBER(#REF!),#REF!, _xlfn.IFS( I148&gt;=30, 5, I148&gt;=25, 4.8, I148&gt;=15, 4, I148&gt;=10, 3.8, I148&gt;=5, 3, I148&gt;=2, 2.5, I148&gt;=0, 1.8, TRUE, 1.3))</f>
        <v>2.5</v>
      </c>
      <c r="O148" s="2" t="s">
        <v>2053</v>
      </c>
      <c r="P148" s="10">
        <v>0.74</v>
      </c>
      <c r="Q148" s="10" t="str">
        <f>_xlfn.IFS(Table1[[#This Row],[Rating]]&gt;=4, "Top Performer", Table1[[#This Row],[Rating]]&gt;=3, "Average", TRUE, "Needs Imporovement")</f>
        <v>Needs Imporovement</v>
      </c>
    </row>
    <row r="149" spans="1:17" x14ac:dyDescent="0.3">
      <c r="A149" s="2" t="s">
        <v>343</v>
      </c>
      <c r="B149" s="2" t="s">
        <v>344</v>
      </c>
      <c r="C149" s="2" t="s">
        <v>68</v>
      </c>
      <c r="D149" s="2">
        <v>36</v>
      </c>
      <c r="E149" s="2" t="str">
        <f>_xlfn.IFS(Table1[[#This Row],[Age]]&lt;30, "18-29", D149&lt;=45,"30-45", D149&lt;=55, "46-55", TRUE, "55+")</f>
        <v>30-45</v>
      </c>
      <c r="F149" s="2" t="s">
        <v>12</v>
      </c>
      <c r="G149" s="2" t="s">
        <v>13</v>
      </c>
      <c r="H149" s="2" t="s">
        <v>46</v>
      </c>
      <c r="I149" s="5">
        <v>7</v>
      </c>
      <c r="J149" s="5" t="str">
        <f>_xlfn.IFS(Table1[[#This Row],[Experience(Years)]]&lt;5, "Junior", I149&lt;=12, "Mid-Level", I149&lt;=20, "Senior", I149&lt;=30, "Super Senior", TRUE, "Expert")</f>
        <v>Mid-Level</v>
      </c>
      <c r="K149" s="7">
        <v>30</v>
      </c>
      <c r="L149" s="7">
        <f>Table1[[#This Row],[Hourly Rate]]*1000</f>
        <v>30000</v>
      </c>
      <c r="M149" s="7" t="str">
        <f t="shared" si="2"/>
        <v>Budget</v>
      </c>
      <c r="N149" s="2">
        <f>IF(ISNUMBER(#REF!),#REF!, _xlfn.IFS( I149&gt;=30, 5, I149&gt;=25, 4.8, I149&gt;=15, 4, I149&gt;=10, 3.8, I149&gt;=5, 3, I149&gt;=2, 2.5, I149&gt;=0, 1.8, TRUE, 1.3))</f>
        <v>3</v>
      </c>
      <c r="O149" s="2" t="s">
        <v>2052</v>
      </c>
      <c r="P149" s="10">
        <v>0.88</v>
      </c>
      <c r="Q149" s="10" t="str">
        <f>_xlfn.IFS(Table1[[#This Row],[Rating]]&gt;=4, "Top Performer", Table1[[#This Row],[Rating]]&gt;=3, "Average", TRUE, "Needs Imporovement")</f>
        <v>Average</v>
      </c>
    </row>
    <row r="150" spans="1:17" x14ac:dyDescent="0.3">
      <c r="A150" s="2" t="s">
        <v>345</v>
      </c>
      <c r="B150" s="2" t="s">
        <v>346</v>
      </c>
      <c r="C150" s="2" t="s">
        <v>68</v>
      </c>
      <c r="D150" s="2">
        <v>25</v>
      </c>
      <c r="E150" s="2" t="str">
        <f>_xlfn.IFS(Table1[[#This Row],[Age]]&lt;30, "18-29", D150&lt;=45,"30-45", D150&lt;=55, "46-55", TRUE, "55+")</f>
        <v>18-29</v>
      </c>
      <c r="F150" s="2" t="s">
        <v>145</v>
      </c>
      <c r="G150" s="2" t="s">
        <v>45</v>
      </c>
      <c r="H150" s="2" t="s">
        <v>29</v>
      </c>
      <c r="I150" s="5">
        <v>0</v>
      </c>
      <c r="J150" s="5" t="str">
        <f>_xlfn.IFS(Table1[[#This Row],[Experience(Years)]]&lt;5, "Junior", I150&lt;=12, "Mid-Level", I150&lt;=20, "Senior", I150&lt;=30, "Super Senior", TRUE, "Expert")</f>
        <v>Junior</v>
      </c>
      <c r="K150" s="7">
        <v>40</v>
      </c>
      <c r="L150" s="7">
        <f>Table1[[#This Row],[Hourly Rate]]*1000</f>
        <v>40000</v>
      </c>
      <c r="M150" s="7" t="str">
        <f t="shared" si="2"/>
        <v>Standard</v>
      </c>
      <c r="N150" s="2">
        <f>IF(ISNUMBER(#REF!),#REF!, _xlfn.IFS( I150&gt;=30, 5, I150&gt;=25, 4.8, I150&gt;=15, 4, I150&gt;=10, 3.8, I150&gt;=5, 3, I150&gt;=2, 2.5, I150&gt;=0, 1.8, TRUE, 1.3))</f>
        <v>1.8</v>
      </c>
      <c r="O150" s="2" t="s">
        <v>2052</v>
      </c>
      <c r="P150" s="10">
        <v>0.9</v>
      </c>
      <c r="Q150" s="10" t="str">
        <f>_xlfn.IFS(Table1[[#This Row],[Rating]]&gt;=4, "Top Performer", Table1[[#This Row],[Rating]]&gt;=3, "Average", TRUE, "Needs Imporovement")</f>
        <v>Needs Imporovement</v>
      </c>
    </row>
    <row r="151" spans="1:17" x14ac:dyDescent="0.3">
      <c r="A151" s="2" t="s">
        <v>347</v>
      </c>
      <c r="B151" s="2" t="s">
        <v>348</v>
      </c>
      <c r="C151" s="2" t="s">
        <v>49</v>
      </c>
      <c r="D151" s="2">
        <v>37</v>
      </c>
      <c r="E151" s="2" t="str">
        <f>_xlfn.IFS(Table1[[#This Row],[Age]]&lt;30, "18-29", D151&lt;=45,"30-45", D151&lt;=55, "46-55", TRUE, "55+")</f>
        <v>30-45</v>
      </c>
      <c r="F151" s="2" t="s">
        <v>92</v>
      </c>
      <c r="G151" s="2" t="s">
        <v>93</v>
      </c>
      <c r="H151" s="2" t="s">
        <v>29</v>
      </c>
      <c r="I151" s="5">
        <v>15</v>
      </c>
      <c r="J151" s="5" t="str">
        <f>_xlfn.IFS(Table1[[#This Row],[Experience(Years)]]&lt;5, "Junior", I151&lt;=12, "Mid-Level", I151&lt;=20, "Senior", I151&lt;=30, "Super Senior", TRUE, "Expert")</f>
        <v>Senior</v>
      </c>
      <c r="K151" s="7">
        <v>40</v>
      </c>
      <c r="L151" s="7">
        <f>Table1[[#This Row],[Hourly Rate]]*1000</f>
        <v>40000</v>
      </c>
      <c r="M151" s="7" t="str">
        <f t="shared" si="2"/>
        <v>Standard</v>
      </c>
      <c r="N151" s="2">
        <f>IF(ISNUMBER(#REF!),#REF!, _xlfn.IFS( I151&gt;=30, 5, I151&gt;=25, 4.8, I151&gt;=15, 4, I151&gt;=10, 3.8, I151&gt;=5, 3, I151&gt;=2, 2.5, I151&gt;=0, 1.8, TRUE, 1.3))</f>
        <v>4</v>
      </c>
      <c r="O151" s="2" t="s">
        <v>2052</v>
      </c>
      <c r="P151" s="10">
        <v>0.85</v>
      </c>
      <c r="Q151" s="10" t="str">
        <f>_xlfn.IFS(Table1[[#This Row],[Rating]]&gt;=4, "Top Performer", Table1[[#This Row],[Rating]]&gt;=3, "Average", TRUE, "Needs Imporovement")</f>
        <v>Top Performer</v>
      </c>
    </row>
    <row r="152" spans="1:17" x14ac:dyDescent="0.3">
      <c r="A152" s="2" t="s">
        <v>349</v>
      </c>
      <c r="B152" s="2" t="s">
        <v>350</v>
      </c>
      <c r="C152" s="2" t="s">
        <v>68</v>
      </c>
      <c r="D152" s="2">
        <v>35</v>
      </c>
      <c r="E152" s="2" t="str">
        <f>_xlfn.IFS(Table1[[#This Row],[Age]]&lt;30, "18-29", D152&lt;=45,"30-45", D152&lt;=55, "46-55", TRUE, "55+")</f>
        <v>30-45</v>
      </c>
      <c r="F152" s="2" t="s">
        <v>37</v>
      </c>
      <c r="G152" s="2" t="s">
        <v>38</v>
      </c>
      <c r="H152" s="2" t="s">
        <v>29</v>
      </c>
      <c r="I152" s="5">
        <v>10</v>
      </c>
      <c r="J152" s="5" t="str">
        <f>_xlfn.IFS(Table1[[#This Row],[Experience(Years)]]&lt;5, "Junior", I152&lt;=12, "Mid-Level", I152&lt;=20, "Senior", I152&lt;=30, "Super Senior", TRUE, "Expert")</f>
        <v>Mid-Level</v>
      </c>
      <c r="K152" s="7">
        <v>40</v>
      </c>
      <c r="L152" s="7">
        <f>Table1[[#This Row],[Hourly Rate]]*1000</f>
        <v>40000</v>
      </c>
      <c r="M152" s="7" t="str">
        <f t="shared" si="2"/>
        <v>Standard</v>
      </c>
      <c r="N152" s="2">
        <f>IF(ISNUMBER(#REF!),#REF!, _xlfn.IFS( I152&gt;=30, 5, I152&gt;=25, 4.8, I152&gt;=15, 4, I152&gt;=10, 3.8, I152&gt;=5, 3, I152&gt;=2, 2.5, I152&gt;=0, 1.8, TRUE, 1.3))</f>
        <v>3.8</v>
      </c>
      <c r="O152" s="2" t="str">
        <f xml:space="preserve"> IF(AND( Table1[[#This Row],[Rating]]&gt;=3.5, Table1[[#This Row],[Experience(Years)]]&gt;=15), "Active", "Inactive")</f>
        <v>Inactive</v>
      </c>
      <c r="P152" s="10">
        <v>0.75</v>
      </c>
      <c r="Q152" s="10" t="str">
        <f>_xlfn.IFS(Table1[[#This Row],[Rating]]&gt;=4, "Top Performer", Table1[[#This Row],[Rating]]&gt;=3, "Average", TRUE, "Needs Imporovement")</f>
        <v>Average</v>
      </c>
    </row>
    <row r="153" spans="1:17" x14ac:dyDescent="0.3">
      <c r="A153" s="2" t="s">
        <v>351</v>
      </c>
      <c r="B153" s="2" t="s">
        <v>352</v>
      </c>
      <c r="C153" s="2" t="s">
        <v>68</v>
      </c>
      <c r="D153" s="2">
        <v>29</v>
      </c>
      <c r="E153" s="2" t="str">
        <f>_xlfn.IFS(Table1[[#This Row],[Age]]&lt;30, "18-29", D153&lt;=45,"30-45", D153&lt;=55, "46-55", TRUE, "55+")</f>
        <v>18-29</v>
      </c>
      <c r="F153" s="2" t="s">
        <v>156</v>
      </c>
      <c r="G153" s="2" t="s">
        <v>45</v>
      </c>
      <c r="H153" s="2" t="s">
        <v>29</v>
      </c>
      <c r="I153" s="5">
        <v>11</v>
      </c>
      <c r="J153" s="5" t="str">
        <f>_xlfn.IFS(Table1[[#This Row],[Experience(Years)]]&lt;5, "Junior", I153&lt;=12, "Mid-Level", I153&lt;=20, "Senior", I153&lt;=30, "Super Senior", TRUE, "Expert")</f>
        <v>Mid-Level</v>
      </c>
      <c r="K153" s="7">
        <v>20</v>
      </c>
      <c r="L153" s="7">
        <f>Table1[[#This Row],[Hourly Rate]]*1000</f>
        <v>20000</v>
      </c>
      <c r="M153" s="7" t="str">
        <f t="shared" si="2"/>
        <v>Budget</v>
      </c>
      <c r="N153" s="2">
        <f>IF(ISNUMBER(#REF!),#REF!, _xlfn.IFS( I153&gt;=30, 5, I153&gt;=25, 4.8, I153&gt;=15, 4, I153&gt;=10, 3.8, I153&gt;=5, 3, I153&gt;=2, 2.5, I153&gt;=0, 1.8, TRUE, 1.3))</f>
        <v>3.8</v>
      </c>
      <c r="O153" s="2" t="s">
        <v>2052</v>
      </c>
      <c r="P153" s="10">
        <v>0.93</v>
      </c>
      <c r="Q153" s="10" t="str">
        <f>_xlfn.IFS(Table1[[#This Row],[Rating]]&gt;=4, "Top Performer", Table1[[#This Row],[Rating]]&gt;=3, "Average", TRUE, "Needs Imporovement")</f>
        <v>Average</v>
      </c>
    </row>
    <row r="154" spans="1:17" x14ac:dyDescent="0.3">
      <c r="A154" s="2" t="s">
        <v>353</v>
      </c>
      <c r="B154" s="2" t="s">
        <v>354</v>
      </c>
      <c r="C154" s="2" t="s">
        <v>49</v>
      </c>
      <c r="D154" s="2">
        <v>55</v>
      </c>
      <c r="E154" s="2" t="str">
        <f>_xlfn.IFS(Table1[[#This Row],[Age]]&lt;30, "18-29", D154&lt;=45,"30-45", D154&lt;=55, "46-55", TRUE, "55+")</f>
        <v>46-55</v>
      </c>
      <c r="F154" s="2" t="s">
        <v>44</v>
      </c>
      <c r="G154" s="2" t="s">
        <v>45</v>
      </c>
      <c r="H154" s="2" t="s">
        <v>9</v>
      </c>
      <c r="I154" s="5">
        <v>12</v>
      </c>
      <c r="J154" s="5" t="str">
        <f>_xlfn.IFS(Table1[[#This Row],[Experience(Years)]]&lt;5, "Junior", I154&lt;=12, "Mid-Level", I154&lt;=20, "Senior", I154&lt;=30, "Super Senior", TRUE, "Expert")</f>
        <v>Mid-Level</v>
      </c>
      <c r="K154" s="7">
        <v>100</v>
      </c>
      <c r="L154" s="7">
        <f>Table1[[#This Row],[Hourly Rate]]*1000</f>
        <v>100000</v>
      </c>
      <c r="M154" s="7" t="str">
        <f t="shared" si="2"/>
        <v>Premium</v>
      </c>
      <c r="N154" s="2">
        <f>IF(ISNUMBER(#REF!),#REF!, _xlfn.IFS( I154&gt;=30, 5, I154&gt;=25, 4.8, I154&gt;=15, 4, I154&gt;=10, 3.8, I154&gt;=5, 3, I154&gt;=2, 2.5, I154&gt;=0, 1.8, TRUE, 1.3))</f>
        <v>3.8</v>
      </c>
      <c r="O154" s="2" t="s">
        <v>2053</v>
      </c>
      <c r="P154" s="10">
        <v>0.75</v>
      </c>
      <c r="Q154" s="10" t="str">
        <f>_xlfn.IFS(Table1[[#This Row],[Rating]]&gt;=4, "Top Performer", Table1[[#This Row],[Rating]]&gt;=3, "Average", TRUE, "Needs Imporovement")</f>
        <v>Average</v>
      </c>
    </row>
    <row r="155" spans="1:17" x14ac:dyDescent="0.3">
      <c r="A155" s="2" t="s">
        <v>355</v>
      </c>
      <c r="B155" s="2" t="s">
        <v>356</v>
      </c>
      <c r="C155" s="2" t="s">
        <v>49</v>
      </c>
      <c r="D155" s="2">
        <v>38</v>
      </c>
      <c r="E155" s="2" t="str">
        <f>_xlfn.IFS(Table1[[#This Row],[Age]]&lt;30, "18-29", D155&lt;=45,"30-45", D155&lt;=55, "46-55", TRUE, "55+")</f>
        <v>30-45</v>
      </c>
      <c r="F155" s="2" t="s">
        <v>57</v>
      </c>
      <c r="G155" s="2" t="s">
        <v>58</v>
      </c>
      <c r="H155" s="2" t="s">
        <v>61</v>
      </c>
      <c r="I155" s="5">
        <v>20</v>
      </c>
      <c r="J155" s="5" t="str">
        <f>_xlfn.IFS(Table1[[#This Row],[Experience(Years)]]&lt;5, "Junior", I155&lt;=12, "Mid-Level", I155&lt;=20, "Senior", I155&lt;=30, "Super Senior", TRUE, "Expert")</f>
        <v>Senior</v>
      </c>
      <c r="K155" s="7">
        <v>75</v>
      </c>
      <c r="L155" s="7">
        <f>Table1[[#This Row],[Hourly Rate]]*1000</f>
        <v>75000</v>
      </c>
      <c r="M155" s="7" t="str">
        <f t="shared" si="2"/>
        <v>Standard</v>
      </c>
      <c r="N155" s="2">
        <f>IF(ISNUMBER(#REF!),#REF!, _xlfn.IFS( I155&gt;=30, 5, I155&gt;=25, 4.8, I155&gt;=15, 4, I155&gt;=10, 3.8, I155&gt;=5, 3, I155&gt;=2, 2.5, I155&gt;=0, 1.8, TRUE, 1.3))</f>
        <v>4</v>
      </c>
      <c r="O155" s="2" t="s">
        <v>2052</v>
      </c>
      <c r="P155" s="10">
        <v>0.71</v>
      </c>
      <c r="Q155" s="10" t="str">
        <f>_xlfn.IFS(Table1[[#This Row],[Rating]]&gt;=4, "Top Performer", Table1[[#This Row],[Rating]]&gt;=3, "Average", TRUE, "Needs Imporovement")</f>
        <v>Top Performer</v>
      </c>
    </row>
    <row r="156" spans="1:17" x14ac:dyDescent="0.3">
      <c r="A156" s="2" t="s">
        <v>357</v>
      </c>
      <c r="B156" s="2" t="s">
        <v>358</v>
      </c>
      <c r="C156" s="2" t="s">
        <v>68</v>
      </c>
      <c r="D156" s="2">
        <v>47</v>
      </c>
      <c r="E156" s="2" t="str">
        <f>_xlfn.IFS(Table1[[#This Row],[Age]]&lt;30, "18-29", D156&lt;=45,"30-45", D156&lt;=55, "46-55", TRUE, "55+")</f>
        <v>46-55</v>
      </c>
      <c r="F156" s="2" t="s">
        <v>81</v>
      </c>
      <c r="G156" s="2" t="s">
        <v>82</v>
      </c>
      <c r="H156" s="2" t="s">
        <v>61</v>
      </c>
      <c r="I156" s="5">
        <v>29</v>
      </c>
      <c r="J156" s="5" t="str">
        <f>_xlfn.IFS(Table1[[#This Row],[Experience(Years)]]&lt;5, "Junior", I156&lt;=12, "Mid-Level", I156&lt;=20, "Senior", I156&lt;=30, "Super Senior", TRUE, "Expert")</f>
        <v>Super Senior</v>
      </c>
      <c r="K156" s="7">
        <v>40</v>
      </c>
      <c r="L156" s="7">
        <f>Table1[[#This Row],[Hourly Rate]]*1000</f>
        <v>40000</v>
      </c>
      <c r="M156" s="7" t="str">
        <f t="shared" si="2"/>
        <v>Standard</v>
      </c>
      <c r="N156" s="2">
        <f>IF(ISNUMBER(#REF!),#REF!, _xlfn.IFS( I156&gt;=30, 5, I156&gt;=25, 4.8, I156&gt;=15, 4, I156&gt;=10, 3.8, I156&gt;=5, 3, I156&gt;=2, 2.5, I156&gt;=0, 1.8, TRUE, 1.3))</f>
        <v>4.8</v>
      </c>
      <c r="O156" s="2" t="s">
        <v>2053</v>
      </c>
      <c r="P156" s="10">
        <v>0.95</v>
      </c>
      <c r="Q156" s="10" t="str">
        <f>_xlfn.IFS(Table1[[#This Row],[Rating]]&gt;=4, "Top Performer", Table1[[#This Row],[Rating]]&gt;=3, "Average", TRUE, "Needs Imporovement")</f>
        <v>Top Performer</v>
      </c>
    </row>
    <row r="157" spans="1:17" x14ac:dyDescent="0.3">
      <c r="A157" s="2" t="s">
        <v>359</v>
      </c>
      <c r="B157" s="2" t="s">
        <v>360</v>
      </c>
      <c r="C157" s="2" t="s">
        <v>68</v>
      </c>
      <c r="D157" s="2">
        <v>60</v>
      </c>
      <c r="E157" s="2" t="str">
        <f>_xlfn.IFS(Table1[[#This Row],[Age]]&lt;30, "18-29", D157&lt;=45,"30-45", D157&lt;=55, "46-55", TRUE, "55+")</f>
        <v>55+</v>
      </c>
      <c r="F157" s="2" t="s">
        <v>77</v>
      </c>
      <c r="G157" s="2" t="s">
        <v>78</v>
      </c>
      <c r="H157" s="2" t="s">
        <v>17</v>
      </c>
      <c r="I157" s="5">
        <v>15</v>
      </c>
      <c r="J157" s="5" t="str">
        <f>_xlfn.IFS(Table1[[#This Row],[Experience(Years)]]&lt;5, "Junior", I157&lt;=12, "Mid-Level", I157&lt;=20, "Senior", I157&lt;=30, "Super Senior", TRUE, "Expert")</f>
        <v>Senior</v>
      </c>
      <c r="K157" s="7">
        <v>100</v>
      </c>
      <c r="L157" s="7">
        <f>Table1[[#This Row],[Hourly Rate]]*1000</f>
        <v>100000</v>
      </c>
      <c r="M157" s="7" t="str">
        <f t="shared" si="2"/>
        <v>Premium</v>
      </c>
      <c r="N157" s="2">
        <f>IF(ISNUMBER(#REF!),#REF!, _xlfn.IFS( I157&gt;=30, 5, I157&gt;=25, 4.8, I157&gt;=15, 4, I157&gt;=10, 3.8, I157&gt;=5, 3, I157&gt;=2, 2.5, I157&gt;=0, 1.8, TRUE, 1.3))</f>
        <v>4</v>
      </c>
      <c r="O157" s="2" t="s">
        <v>2052</v>
      </c>
      <c r="P157" s="10">
        <v>0.8</v>
      </c>
      <c r="Q157" s="10" t="str">
        <f>_xlfn.IFS(Table1[[#This Row],[Rating]]&gt;=4, "Top Performer", Table1[[#This Row],[Rating]]&gt;=3, "Average", TRUE, "Needs Imporovement")</f>
        <v>Top Performer</v>
      </c>
    </row>
    <row r="158" spans="1:17" x14ac:dyDescent="0.3">
      <c r="A158" s="2" t="s">
        <v>361</v>
      </c>
      <c r="B158" s="2" t="s">
        <v>362</v>
      </c>
      <c r="C158" s="2" t="s">
        <v>49</v>
      </c>
      <c r="D158" s="2">
        <v>43</v>
      </c>
      <c r="E158" s="2" t="str">
        <f>_xlfn.IFS(Table1[[#This Row],[Age]]&lt;30, "18-29", D158&lt;=45,"30-45", D158&lt;=55, "46-55", TRUE, "55+")</f>
        <v>30-45</v>
      </c>
      <c r="F158" s="2" t="s">
        <v>2</v>
      </c>
      <c r="G158" s="2" t="s">
        <v>3</v>
      </c>
      <c r="H158" s="2" t="s">
        <v>29</v>
      </c>
      <c r="I158" s="5">
        <v>9</v>
      </c>
      <c r="J158" s="5" t="str">
        <f>_xlfn.IFS(Table1[[#This Row],[Experience(Years)]]&lt;5, "Junior", I158&lt;=12, "Mid-Level", I158&lt;=20, "Senior", I158&lt;=30, "Super Senior", TRUE, "Expert")</f>
        <v>Mid-Level</v>
      </c>
      <c r="K158" s="7">
        <v>20</v>
      </c>
      <c r="L158" s="7">
        <f>Table1[[#This Row],[Hourly Rate]]*1000</f>
        <v>20000</v>
      </c>
      <c r="M158" s="7" t="str">
        <f t="shared" si="2"/>
        <v>Budget</v>
      </c>
      <c r="N158" s="2">
        <f>IF(ISNUMBER(#REF!),#REF!, _xlfn.IFS( I158&gt;=30, 5, I158&gt;=25, 4.8, I158&gt;=15, 4, I158&gt;=10, 3.8, I158&gt;=5, 3, I158&gt;=2, 2.5, I158&gt;=0, 1.8, TRUE, 1.3))</f>
        <v>3</v>
      </c>
      <c r="O158" s="2" t="s">
        <v>2052</v>
      </c>
      <c r="P158" s="10">
        <v>0.6</v>
      </c>
      <c r="Q158" s="10" t="str">
        <f>_xlfn.IFS(Table1[[#This Row],[Rating]]&gt;=4, "Top Performer", Table1[[#This Row],[Rating]]&gt;=3, "Average", TRUE, "Needs Imporovement")</f>
        <v>Average</v>
      </c>
    </row>
    <row r="159" spans="1:17" x14ac:dyDescent="0.3">
      <c r="A159" s="2" t="s">
        <v>363</v>
      </c>
      <c r="B159" s="2" t="s">
        <v>364</v>
      </c>
      <c r="C159" s="2" t="s">
        <v>68</v>
      </c>
      <c r="D159" s="2">
        <v>56</v>
      </c>
      <c r="E159" s="2" t="str">
        <f>_xlfn.IFS(Table1[[#This Row],[Age]]&lt;30, "18-29", D159&lt;=45,"30-45", D159&lt;=55, "46-55", TRUE, "55+")</f>
        <v>55+</v>
      </c>
      <c r="F159" s="2" t="s">
        <v>121</v>
      </c>
      <c r="G159" s="2" t="s">
        <v>122</v>
      </c>
      <c r="H159" s="2" t="s">
        <v>29</v>
      </c>
      <c r="I159" s="5">
        <v>25</v>
      </c>
      <c r="J159" s="5" t="str">
        <f>_xlfn.IFS(Table1[[#This Row],[Experience(Years)]]&lt;5, "Junior", I159&lt;=12, "Mid-Level", I159&lt;=20, "Senior", I159&lt;=30, "Super Senior", TRUE, "Expert")</f>
        <v>Super Senior</v>
      </c>
      <c r="K159" s="7">
        <v>100</v>
      </c>
      <c r="L159" s="7">
        <f>Table1[[#This Row],[Hourly Rate]]*1000</f>
        <v>100000</v>
      </c>
      <c r="M159" s="7" t="str">
        <f t="shared" si="2"/>
        <v>Premium</v>
      </c>
      <c r="N159" s="2">
        <f>IF(ISNUMBER(#REF!),#REF!, _xlfn.IFS( I159&gt;=30, 5, I159&gt;=25, 4.8, I159&gt;=15, 4, I159&gt;=10, 3.8, I159&gt;=5, 3, I159&gt;=2, 2.5, I159&gt;=0, 1.8, TRUE, 1.3))</f>
        <v>4.8</v>
      </c>
      <c r="O159" s="2" t="s">
        <v>2052</v>
      </c>
      <c r="P159" s="10">
        <v>0.62</v>
      </c>
      <c r="Q159" s="10" t="str">
        <f>_xlfn.IFS(Table1[[#This Row],[Rating]]&gt;=4, "Top Performer", Table1[[#This Row],[Rating]]&gt;=3, "Average", TRUE, "Needs Imporovement")</f>
        <v>Top Performer</v>
      </c>
    </row>
    <row r="160" spans="1:17" x14ac:dyDescent="0.3">
      <c r="A160" s="2" t="s">
        <v>365</v>
      </c>
      <c r="B160" s="2" t="s">
        <v>366</v>
      </c>
      <c r="C160" s="2" t="s">
        <v>68</v>
      </c>
      <c r="D160" s="2">
        <v>42</v>
      </c>
      <c r="E160" s="2" t="str">
        <f>_xlfn.IFS(Table1[[#This Row],[Age]]&lt;30, "18-29", D160&lt;=45,"30-45", D160&lt;=55, "46-55", TRUE, "55+")</f>
        <v>30-45</v>
      </c>
      <c r="F160" s="2" t="s">
        <v>92</v>
      </c>
      <c r="G160" s="2" t="s">
        <v>93</v>
      </c>
      <c r="H160" s="2" t="s">
        <v>61</v>
      </c>
      <c r="I160" s="5">
        <v>2</v>
      </c>
      <c r="J160" s="5" t="str">
        <f>_xlfn.IFS(Table1[[#This Row],[Experience(Years)]]&lt;5, "Junior", I160&lt;=12, "Mid-Level", I160&lt;=20, "Senior", I160&lt;=30, "Super Senior", TRUE, "Expert")</f>
        <v>Junior</v>
      </c>
      <c r="K160" s="7">
        <v>50</v>
      </c>
      <c r="L160" s="7">
        <f>Table1[[#This Row],[Hourly Rate]]*1000</f>
        <v>50000</v>
      </c>
      <c r="M160" s="7" t="str">
        <f t="shared" si="2"/>
        <v>Standard</v>
      </c>
      <c r="N160" s="2">
        <f>IF(ISNUMBER(#REF!),#REF!, _xlfn.IFS( I160&gt;=30, 5, I160&gt;=25, 4.8, I160&gt;=15, 4, I160&gt;=10, 3.8, I160&gt;=5, 3, I160&gt;=2, 2.5, I160&gt;=0, 1.8, TRUE, 1.3))</f>
        <v>2.5</v>
      </c>
      <c r="O160" s="2" t="s">
        <v>2052</v>
      </c>
      <c r="P160" s="10">
        <v>0.95</v>
      </c>
      <c r="Q160" s="10" t="str">
        <f>_xlfn.IFS(Table1[[#This Row],[Rating]]&gt;=4, "Top Performer", Table1[[#This Row],[Rating]]&gt;=3, "Average", TRUE, "Needs Imporovement")</f>
        <v>Needs Imporovement</v>
      </c>
    </row>
    <row r="161" spans="1:17" x14ac:dyDescent="0.3">
      <c r="A161" s="2" t="s">
        <v>367</v>
      </c>
      <c r="B161" s="2" t="s">
        <v>368</v>
      </c>
      <c r="C161" s="2" t="s">
        <v>49</v>
      </c>
      <c r="D161" s="2">
        <v>20</v>
      </c>
      <c r="E161" s="2" t="str">
        <f>_xlfn.IFS(Table1[[#This Row],[Age]]&lt;30, "18-29", D161&lt;=45,"30-45", D161&lt;=55, "46-55", TRUE, "55+")</f>
        <v>18-29</v>
      </c>
      <c r="F161" s="2" t="s">
        <v>156</v>
      </c>
      <c r="G161" s="2" t="s">
        <v>45</v>
      </c>
      <c r="H161" s="2" t="s">
        <v>14</v>
      </c>
      <c r="I161" s="5">
        <v>0</v>
      </c>
      <c r="J161" s="5" t="str">
        <f>_xlfn.IFS(Table1[[#This Row],[Experience(Years)]]&lt;5, "Junior", I161&lt;=12, "Mid-Level", I161&lt;=20, "Senior", I161&lt;=30, "Super Senior", TRUE, "Expert")</f>
        <v>Junior</v>
      </c>
      <c r="K161" s="7">
        <v>40</v>
      </c>
      <c r="L161" s="7">
        <f>Table1[[#This Row],[Hourly Rate]]*1000</f>
        <v>40000</v>
      </c>
      <c r="M161" s="7" t="str">
        <f t="shared" si="2"/>
        <v>Standard</v>
      </c>
      <c r="N161" s="2">
        <f>IF(ISNUMBER(#REF!),#REF!, _xlfn.IFS( I161&gt;=30, 5, I161&gt;=25, 4.8, I161&gt;=15, 4, I161&gt;=10, 3.8, I161&gt;=5, 3, I161&gt;=2, 2.5, I161&gt;=0, 1.8, TRUE, 1.3))</f>
        <v>1.8</v>
      </c>
      <c r="O161" s="2" t="s">
        <v>2052</v>
      </c>
      <c r="P161" s="10">
        <v>0.79</v>
      </c>
      <c r="Q161" s="10" t="str">
        <f>_xlfn.IFS(Table1[[#This Row],[Rating]]&gt;=4, "Top Performer", Table1[[#This Row],[Rating]]&gt;=3, "Average", TRUE, "Needs Imporovement")</f>
        <v>Needs Imporovement</v>
      </c>
    </row>
    <row r="162" spans="1:17" x14ac:dyDescent="0.3">
      <c r="A162" s="2" t="s">
        <v>369</v>
      </c>
      <c r="B162" s="2" t="s">
        <v>370</v>
      </c>
      <c r="C162" s="2" t="s">
        <v>49</v>
      </c>
      <c r="D162" s="2">
        <v>47</v>
      </c>
      <c r="E162" s="2" t="str">
        <f>_xlfn.IFS(Table1[[#This Row],[Age]]&lt;30, "18-29", D162&lt;=45,"30-45", D162&lt;=55, "46-55", TRUE, "55+")</f>
        <v>46-55</v>
      </c>
      <c r="F162" s="2" t="s">
        <v>27</v>
      </c>
      <c r="G162" s="2" t="s">
        <v>28</v>
      </c>
      <c r="H162" s="2" t="s">
        <v>46</v>
      </c>
      <c r="I162" s="5">
        <v>12</v>
      </c>
      <c r="J162" s="5" t="str">
        <f>_xlfn.IFS(Table1[[#This Row],[Experience(Years)]]&lt;5, "Junior", I162&lt;=12, "Mid-Level", I162&lt;=20, "Senior", I162&lt;=30, "Super Senior", TRUE, "Expert")</f>
        <v>Mid-Level</v>
      </c>
      <c r="K162" s="7">
        <v>40</v>
      </c>
      <c r="L162" s="7">
        <f>Table1[[#This Row],[Hourly Rate]]*1000</f>
        <v>40000</v>
      </c>
      <c r="M162" s="7" t="str">
        <f t="shared" si="2"/>
        <v>Standard</v>
      </c>
      <c r="N162" s="2">
        <f>IF(ISNUMBER(#REF!),#REF!, _xlfn.IFS( I162&gt;=30, 5, I162&gt;=25, 4.8, I162&gt;=15, 4, I162&gt;=10, 3.8, I162&gt;=5, 3, I162&gt;=2, 2.5, I162&gt;=0, 1.8, TRUE, 1.3))</f>
        <v>3.8</v>
      </c>
      <c r="O162" s="2" t="s">
        <v>2052</v>
      </c>
      <c r="P162" s="10">
        <v>0.62</v>
      </c>
      <c r="Q162" s="10" t="str">
        <f>_xlfn.IFS(Table1[[#This Row],[Rating]]&gt;=4, "Top Performer", Table1[[#This Row],[Rating]]&gt;=3, "Average", TRUE, "Needs Imporovement")</f>
        <v>Average</v>
      </c>
    </row>
    <row r="163" spans="1:17" x14ac:dyDescent="0.3">
      <c r="A163" s="2" t="s">
        <v>371</v>
      </c>
      <c r="B163" s="2" t="s">
        <v>372</v>
      </c>
      <c r="C163" s="2" t="s">
        <v>68</v>
      </c>
      <c r="D163" s="2">
        <v>54</v>
      </c>
      <c r="E163" s="2" t="str">
        <f>_xlfn.IFS(Table1[[#This Row],[Age]]&lt;30, "18-29", D163&lt;=45,"30-45", D163&lt;=55, "46-55", TRUE, "55+")</f>
        <v>46-55</v>
      </c>
      <c r="F163" s="2" t="s">
        <v>44</v>
      </c>
      <c r="G163" s="2" t="s">
        <v>45</v>
      </c>
      <c r="H163" s="2" t="s">
        <v>29</v>
      </c>
      <c r="I163" s="5">
        <v>12</v>
      </c>
      <c r="J163" s="5" t="str">
        <f>_xlfn.IFS(Table1[[#This Row],[Experience(Years)]]&lt;5, "Junior", I163&lt;=12, "Mid-Level", I163&lt;=20, "Senior", I163&lt;=30, "Super Senior", TRUE, "Expert")</f>
        <v>Mid-Level</v>
      </c>
      <c r="K163" s="7">
        <v>30</v>
      </c>
      <c r="L163" s="7">
        <f>Table1[[#This Row],[Hourly Rate]]*1000</f>
        <v>30000</v>
      </c>
      <c r="M163" s="7" t="str">
        <f t="shared" si="2"/>
        <v>Budget</v>
      </c>
      <c r="N163" s="2">
        <f>IF(ISNUMBER(#REF!),#REF!, _xlfn.IFS( I163&gt;=30, 5, I163&gt;=25, 4.8, I163&gt;=15, 4, I163&gt;=10, 3.8, I163&gt;=5, 3, I163&gt;=2, 2.5, I163&gt;=0, 1.8, TRUE, 1.3))</f>
        <v>3.8</v>
      </c>
      <c r="O163" s="2" t="s">
        <v>2052</v>
      </c>
      <c r="P163" s="10">
        <v>0.68</v>
      </c>
      <c r="Q163" s="10" t="str">
        <f>_xlfn.IFS(Table1[[#This Row],[Rating]]&gt;=4, "Top Performer", Table1[[#This Row],[Rating]]&gt;=3, "Average", TRUE, "Needs Imporovement")</f>
        <v>Average</v>
      </c>
    </row>
    <row r="164" spans="1:17" x14ac:dyDescent="0.3">
      <c r="A164" s="2" t="s">
        <v>373</v>
      </c>
      <c r="B164" s="2" t="s">
        <v>374</v>
      </c>
      <c r="C164" s="2" t="s">
        <v>68</v>
      </c>
      <c r="D164" s="2">
        <v>56</v>
      </c>
      <c r="E164" s="2" t="str">
        <f>_xlfn.IFS(Table1[[#This Row],[Age]]&lt;30, "18-29", D164&lt;=45,"30-45", D164&lt;=55, "46-55", TRUE, "55+")</f>
        <v>55+</v>
      </c>
      <c r="F164" s="2" t="s">
        <v>27</v>
      </c>
      <c r="G164" s="2" t="s">
        <v>28</v>
      </c>
      <c r="H164" s="2" t="s">
        <v>61</v>
      </c>
      <c r="I164" s="5">
        <v>15</v>
      </c>
      <c r="J164" s="5" t="str">
        <f>_xlfn.IFS(Table1[[#This Row],[Experience(Years)]]&lt;5, "Junior", I164&lt;=12, "Mid-Level", I164&lt;=20, "Senior", I164&lt;=30, "Super Senior", TRUE, "Expert")</f>
        <v>Senior</v>
      </c>
      <c r="K164" s="7">
        <v>75</v>
      </c>
      <c r="L164" s="7">
        <f>Table1[[#This Row],[Hourly Rate]]*1000</f>
        <v>75000</v>
      </c>
      <c r="M164" s="7" t="str">
        <f t="shared" si="2"/>
        <v>Standard</v>
      </c>
      <c r="N164" s="2">
        <f>IF(ISNUMBER(#REF!),#REF!, _xlfn.IFS( I164&gt;=30, 5, I164&gt;=25, 4.8, I164&gt;=15, 4, I164&gt;=10, 3.8, I164&gt;=5, 3, I164&gt;=2, 2.5, I164&gt;=0, 1.8, TRUE, 1.3))</f>
        <v>4</v>
      </c>
      <c r="O164" s="2" t="s">
        <v>2052</v>
      </c>
      <c r="P164" s="10">
        <v>0.85</v>
      </c>
      <c r="Q164" s="10" t="str">
        <f>_xlfn.IFS(Table1[[#This Row],[Rating]]&gt;=4, "Top Performer", Table1[[#This Row],[Rating]]&gt;=3, "Average", TRUE, "Needs Imporovement")</f>
        <v>Top Performer</v>
      </c>
    </row>
    <row r="165" spans="1:17" x14ac:dyDescent="0.3">
      <c r="A165" s="2" t="s">
        <v>375</v>
      </c>
      <c r="B165" s="2" t="s">
        <v>376</v>
      </c>
      <c r="C165" s="2" t="s">
        <v>68</v>
      </c>
      <c r="D165" s="2">
        <v>59</v>
      </c>
      <c r="E165" s="2" t="str">
        <f>_xlfn.IFS(Table1[[#This Row],[Age]]&lt;30, "18-29", D165&lt;=45,"30-45", D165&lt;=55, "46-55", TRUE, "55+")</f>
        <v>55+</v>
      </c>
      <c r="F165" s="2" t="s">
        <v>41</v>
      </c>
      <c r="G165" s="2" t="s">
        <v>8</v>
      </c>
      <c r="H165" s="2" t="s">
        <v>61</v>
      </c>
      <c r="I165" s="5">
        <v>29</v>
      </c>
      <c r="J165" s="5" t="str">
        <f>_xlfn.IFS(Table1[[#This Row],[Experience(Years)]]&lt;5, "Junior", I165&lt;=12, "Mid-Level", I165&lt;=20, "Senior", I165&lt;=30, "Super Senior", TRUE, "Expert")</f>
        <v>Super Senior</v>
      </c>
      <c r="K165" s="7">
        <v>75</v>
      </c>
      <c r="L165" s="7">
        <f>Table1[[#This Row],[Hourly Rate]]*1000</f>
        <v>75000</v>
      </c>
      <c r="M165" s="7" t="str">
        <f t="shared" si="2"/>
        <v>Standard</v>
      </c>
      <c r="N165" s="2">
        <f>IF(ISNUMBER(#REF!),#REF!, _xlfn.IFS( I165&gt;=30, 5, I165&gt;=25, 4.8, I165&gt;=15, 4, I165&gt;=10, 3.8, I165&gt;=5, 3, I165&gt;=2, 2.5, I165&gt;=0, 1.8, TRUE, 1.3))</f>
        <v>4.8</v>
      </c>
      <c r="O165" s="2" t="s">
        <v>2052</v>
      </c>
      <c r="P165" s="10">
        <v>0.8</v>
      </c>
      <c r="Q165" s="10" t="str">
        <f>_xlfn.IFS(Table1[[#This Row],[Rating]]&gt;=4, "Top Performer", Table1[[#This Row],[Rating]]&gt;=3, "Average", TRUE, "Needs Imporovement")</f>
        <v>Top Performer</v>
      </c>
    </row>
    <row r="166" spans="1:17" x14ac:dyDescent="0.3">
      <c r="A166" s="2" t="s">
        <v>377</v>
      </c>
      <c r="B166" s="2" t="s">
        <v>378</v>
      </c>
      <c r="C166" s="2" t="s">
        <v>68</v>
      </c>
      <c r="D166" s="2">
        <v>56</v>
      </c>
      <c r="E166" s="2" t="str">
        <f>_xlfn.IFS(Table1[[#This Row],[Age]]&lt;30, "18-29", D166&lt;=45,"30-45", D166&lt;=55, "46-55", TRUE, "55+")</f>
        <v>55+</v>
      </c>
      <c r="F166" s="2" t="s">
        <v>57</v>
      </c>
      <c r="G166" s="2" t="s">
        <v>58</v>
      </c>
      <c r="H166" s="2" t="s">
        <v>50</v>
      </c>
      <c r="I166" s="5">
        <v>15</v>
      </c>
      <c r="J166" s="5" t="str">
        <f>_xlfn.IFS(Table1[[#This Row],[Experience(Years)]]&lt;5, "Junior", I166&lt;=12, "Mid-Level", I166&lt;=20, "Senior", I166&lt;=30, "Super Senior", TRUE, "Expert")</f>
        <v>Senior</v>
      </c>
      <c r="K166" s="7">
        <v>40</v>
      </c>
      <c r="L166" s="7">
        <f>Table1[[#This Row],[Hourly Rate]]*1000</f>
        <v>40000</v>
      </c>
      <c r="M166" s="7" t="str">
        <f t="shared" si="2"/>
        <v>Standard</v>
      </c>
      <c r="N166" s="2">
        <f>IF(ISNUMBER(#REF!),#REF!, _xlfn.IFS( I166&gt;=30, 5, I166&gt;=25, 4.8, I166&gt;=15, 4, I166&gt;=10, 3.8, I166&gt;=5, 3, I166&gt;=2, 2.5, I166&gt;=0, 1.8, TRUE, 1.3))</f>
        <v>4</v>
      </c>
      <c r="O166" s="2" t="str">
        <f>IF(AND( Table1[[#This Row],[Rating]]&gt;=3.5, Table1[[#This Row],[Experience(Years)]]&gt;=15), "Active", "Inactive")</f>
        <v>Active</v>
      </c>
      <c r="P166" s="10">
        <v>0.92</v>
      </c>
      <c r="Q166" s="10" t="str">
        <f>_xlfn.IFS(Table1[[#This Row],[Rating]]&gt;=4, "Top Performer", Table1[[#This Row],[Rating]]&gt;=3, "Average", TRUE, "Needs Imporovement")</f>
        <v>Top Performer</v>
      </c>
    </row>
    <row r="167" spans="1:17" x14ac:dyDescent="0.3">
      <c r="A167" s="2" t="s">
        <v>379</v>
      </c>
      <c r="B167" s="2" t="s">
        <v>380</v>
      </c>
      <c r="C167" s="2" t="s">
        <v>49</v>
      </c>
      <c r="D167" s="2">
        <v>31</v>
      </c>
      <c r="E167" s="2" t="str">
        <f>_xlfn.IFS(Table1[[#This Row],[Age]]&lt;30, "18-29", D167&lt;=45,"30-45", D167&lt;=55, "46-55", TRUE, "55+")</f>
        <v>30-45</v>
      </c>
      <c r="F167" s="2" t="s">
        <v>121</v>
      </c>
      <c r="G167" s="2" t="s">
        <v>122</v>
      </c>
      <c r="H167" s="2" t="s">
        <v>17</v>
      </c>
      <c r="I167" s="5">
        <v>15</v>
      </c>
      <c r="J167" s="5" t="str">
        <f>_xlfn.IFS(Table1[[#This Row],[Experience(Years)]]&lt;5, "Junior", I167&lt;=12, "Mid-Level", I167&lt;=20, "Senior", I167&lt;=30, "Super Senior", TRUE, "Expert")</f>
        <v>Senior</v>
      </c>
      <c r="K167" s="7">
        <v>75</v>
      </c>
      <c r="L167" s="7">
        <f>Table1[[#This Row],[Hourly Rate]]*1000</f>
        <v>75000</v>
      </c>
      <c r="M167" s="7" t="str">
        <f t="shared" si="2"/>
        <v>Standard</v>
      </c>
      <c r="N167" s="2">
        <f>IF(ISNUMBER(#REF!),#REF!, _xlfn.IFS( I167&gt;=30, 5, I167&gt;=25, 4.8, I167&gt;=15, 4, I167&gt;=10, 3.8, I167&gt;=5, 3, I167&gt;=2, 2.5, I167&gt;=0, 1.8, TRUE, 1.3))</f>
        <v>4</v>
      </c>
      <c r="O167" s="2" t="s">
        <v>2053</v>
      </c>
      <c r="P167" s="10">
        <v>0.65</v>
      </c>
      <c r="Q167" s="10" t="str">
        <f>_xlfn.IFS(Table1[[#This Row],[Rating]]&gt;=4, "Top Performer", Table1[[#This Row],[Rating]]&gt;=3, "Average", TRUE, "Needs Imporovement")</f>
        <v>Top Performer</v>
      </c>
    </row>
    <row r="168" spans="1:17" x14ac:dyDescent="0.3">
      <c r="A168" s="2" t="s">
        <v>381</v>
      </c>
      <c r="B168" s="2" t="s">
        <v>382</v>
      </c>
      <c r="C168" s="2" t="s">
        <v>68</v>
      </c>
      <c r="D168" s="2">
        <v>60</v>
      </c>
      <c r="E168" s="2" t="str">
        <f>_xlfn.IFS(Table1[[#This Row],[Age]]&lt;30, "18-29", D168&lt;=45,"30-45", D168&lt;=55, "46-55", TRUE, "55+")</f>
        <v>55+</v>
      </c>
      <c r="F168" s="2" t="s">
        <v>81</v>
      </c>
      <c r="G168" s="2" t="s">
        <v>82</v>
      </c>
      <c r="H168" s="2" t="s">
        <v>9</v>
      </c>
      <c r="I168" s="5">
        <v>33</v>
      </c>
      <c r="J168" s="5" t="str">
        <f>_xlfn.IFS(Table1[[#This Row],[Experience(Years)]]&lt;5, "Junior", I168&lt;=12, "Mid-Level", I168&lt;=20, "Senior", I168&lt;=30, "Super Senior", TRUE, "Expert")</f>
        <v>Expert</v>
      </c>
      <c r="K168" s="7">
        <v>40</v>
      </c>
      <c r="L168" s="7">
        <f>Table1[[#This Row],[Hourly Rate]]*1000</f>
        <v>40000</v>
      </c>
      <c r="M168" s="7" t="str">
        <f t="shared" si="2"/>
        <v>Standard</v>
      </c>
      <c r="N168" s="2">
        <f>IF(ISNUMBER(#REF!),#REF!, _xlfn.IFS( I168&gt;=30, 5, I168&gt;=25, 4.8, I168&gt;=15, 4, I168&gt;=10, 3.8, I168&gt;=5, 3, I168&gt;=2, 2.5, I168&gt;=0, 1.8, TRUE, 1.3))</f>
        <v>5</v>
      </c>
      <c r="O168" s="2" t="s">
        <v>2053</v>
      </c>
      <c r="P168" s="10">
        <v>0.87</v>
      </c>
      <c r="Q168" s="10" t="str">
        <f>_xlfn.IFS(Table1[[#This Row],[Rating]]&gt;=4, "Top Performer", Table1[[#This Row],[Rating]]&gt;=3, "Average", TRUE, "Needs Imporovement")</f>
        <v>Top Performer</v>
      </c>
    </row>
    <row r="169" spans="1:17" x14ac:dyDescent="0.3">
      <c r="A169" s="2" t="s">
        <v>383</v>
      </c>
      <c r="B169" s="2" t="s">
        <v>384</v>
      </c>
      <c r="C169" s="2" t="s">
        <v>49</v>
      </c>
      <c r="D169" s="2">
        <v>31</v>
      </c>
      <c r="E169" s="2" t="str">
        <f>_xlfn.IFS(Table1[[#This Row],[Age]]&lt;30, "18-29", D169&lt;=45,"30-45", D169&lt;=55, "46-55", TRUE, "55+")</f>
        <v>30-45</v>
      </c>
      <c r="F169" s="2" t="s">
        <v>96</v>
      </c>
      <c r="G169" s="2" t="s">
        <v>8</v>
      </c>
      <c r="H169" s="2" t="s">
        <v>17</v>
      </c>
      <c r="I169" s="5">
        <v>10</v>
      </c>
      <c r="J169" s="5" t="str">
        <f>_xlfn.IFS(Table1[[#This Row],[Experience(Years)]]&lt;5, "Junior", I169&lt;=12, "Mid-Level", I169&lt;=20, "Senior", I169&lt;=30, "Super Senior", TRUE, "Expert")</f>
        <v>Mid-Level</v>
      </c>
      <c r="K169" s="7">
        <v>75</v>
      </c>
      <c r="L169" s="7">
        <f>Table1[[#This Row],[Hourly Rate]]*1000</f>
        <v>75000</v>
      </c>
      <c r="M169" s="7" t="str">
        <f t="shared" si="2"/>
        <v>Standard</v>
      </c>
      <c r="N169" s="2">
        <f>IF(ISNUMBER(#REF!),#REF!, _xlfn.IFS( I169&gt;=30, 5, I169&gt;=25, 4.8, I169&gt;=15, 4, I169&gt;=10, 3.8, I169&gt;=5, 3, I169&gt;=2, 2.5, I169&gt;=0, 1.8, TRUE, 1.3))</f>
        <v>3.8</v>
      </c>
      <c r="O169" s="2" t="s">
        <v>2052</v>
      </c>
      <c r="P169" s="10">
        <v>0.7</v>
      </c>
      <c r="Q169" s="10" t="str">
        <f>_xlfn.IFS(Table1[[#This Row],[Rating]]&gt;=4, "Top Performer", Table1[[#This Row],[Rating]]&gt;=3, "Average", TRUE, "Needs Imporovement")</f>
        <v>Average</v>
      </c>
    </row>
    <row r="170" spans="1:17" x14ac:dyDescent="0.3">
      <c r="A170" s="2" t="s">
        <v>385</v>
      </c>
      <c r="B170" s="2" t="s">
        <v>386</v>
      </c>
      <c r="C170" s="2" t="s">
        <v>68</v>
      </c>
      <c r="D170" s="2">
        <v>60</v>
      </c>
      <c r="E170" s="2" t="str">
        <f>_xlfn.IFS(Table1[[#This Row],[Age]]&lt;30, "18-29", D170&lt;=45,"30-45", D170&lt;=55, "46-55", TRUE, "55+")</f>
        <v>55+</v>
      </c>
      <c r="F170" s="2" t="s">
        <v>44</v>
      </c>
      <c r="G170" s="2" t="s">
        <v>45</v>
      </c>
      <c r="H170" s="2" t="s">
        <v>50</v>
      </c>
      <c r="I170" s="5">
        <v>20</v>
      </c>
      <c r="J170" s="5" t="str">
        <f>_xlfn.IFS(Table1[[#This Row],[Experience(Years)]]&lt;5, "Junior", I170&lt;=12, "Mid-Level", I170&lt;=20, "Senior", I170&lt;=30, "Super Senior", TRUE, "Expert")</f>
        <v>Senior</v>
      </c>
      <c r="K170" s="7">
        <v>40</v>
      </c>
      <c r="L170" s="7">
        <f>Table1[[#This Row],[Hourly Rate]]*1000</f>
        <v>40000</v>
      </c>
      <c r="M170" s="7" t="str">
        <f t="shared" si="2"/>
        <v>Standard</v>
      </c>
      <c r="N170" s="2">
        <f>IF(ISNUMBER(#REF!),#REF!, _xlfn.IFS( I170&gt;=30, 5, I170&gt;=25, 4.8, I170&gt;=15, 4, I170&gt;=10, 3.8, I170&gt;=5, 3, I170&gt;=2, 2.5, I170&gt;=0, 1.8, TRUE, 1.3))</f>
        <v>4</v>
      </c>
      <c r="O170" s="2" t="s">
        <v>2052</v>
      </c>
      <c r="P170" s="10">
        <v>0.87</v>
      </c>
      <c r="Q170" s="10" t="str">
        <f>_xlfn.IFS(Table1[[#This Row],[Rating]]&gt;=4, "Top Performer", Table1[[#This Row],[Rating]]&gt;=3, "Average", TRUE, "Needs Imporovement")</f>
        <v>Top Performer</v>
      </c>
    </row>
    <row r="171" spans="1:17" x14ac:dyDescent="0.3">
      <c r="A171" s="2" t="s">
        <v>387</v>
      </c>
      <c r="B171" s="2" t="s">
        <v>388</v>
      </c>
      <c r="C171" s="2" t="s">
        <v>68</v>
      </c>
      <c r="D171" s="2">
        <v>46</v>
      </c>
      <c r="E171" s="2" t="str">
        <f>_xlfn.IFS(Table1[[#This Row],[Age]]&lt;30, "18-29", D171&lt;=45,"30-45", D171&lt;=55, "46-55", TRUE, "55+")</f>
        <v>46-55</v>
      </c>
      <c r="F171" s="2" t="s">
        <v>103</v>
      </c>
      <c r="G171" s="2" t="s">
        <v>104</v>
      </c>
      <c r="H171" s="2" t="s">
        <v>61</v>
      </c>
      <c r="I171" s="5">
        <v>23</v>
      </c>
      <c r="J171" s="5" t="str">
        <f>_xlfn.IFS(Table1[[#This Row],[Experience(Years)]]&lt;5, "Junior", I171&lt;=12, "Mid-Level", I171&lt;=20, "Senior", I171&lt;=30, "Super Senior", TRUE, "Expert")</f>
        <v>Super Senior</v>
      </c>
      <c r="K171" s="7">
        <v>20</v>
      </c>
      <c r="L171" s="7">
        <f>Table1[[#This Row],[Hourly Rate]]*1000</f>
        <v>20000</v>
      </c>
      <c r="M171" s="7" t="str">
        <f t="shared" si="2"/>
        <v>Budget</v>
      </c>
      <c r="N171" s="2">
        <f>IF(ISNUMBER(#REF!),#REF!, _xlfn.IFS( I171&gt;=30, 5, I171&gt;=25, 4.8, I171&gt;=15, 4, I171&gt;=10, 3.8, I171&gt;=5, 3, I171&gt;=2, 2.5, I171&gt;=0, 1.8, TRUE, 1.3))</f>
        <v>4</v>
      </c>
      <c r="O171" s="2" t="s">
        <v>2052</v>
      </c>
      <c r="P171" s="10">
        <v>0.72</v>
      </c>
      <c r="Q171" s="10" t="str">
        <f>_xlfn.IFS(Table1[[#This Row],[Rating]]&gt;=4, "Top Performer", Table1[[#This Row],[Rating]]&gt;=3, "Average", TRUE, "Needs Imporovement")</f>
        <v>Top Performer</v>
      </c>
    </row>
    <row r="172" spans="1:17" x14ac:dyDescent="0.3">
      <c r="A172" s="2" t="s">
        <v>389</v>
      </c>
      <c r="B172" s="2" t="s">
        <v>390</v>
      </c>
      <c r="C172" s="2" t="s">
        <v>49</v>
      </c>
      <c r="D172" s="2">
        <v>56</v>
      </c>
      <c r="E172" s="2" t="str">
        <f>_xlfn.IFS(Table1[[#This Row],[Age]]&lt;30, "18-29", D172&lt;=45,"30-45", D172&lt;=55, "46-55", TRUE, "55+")</f>
        <v>55+</v>
      </c>
      <c r="F172" s="2" t="s">
        <v>22</v>
      </c>
      <c r="G172" s="2" t="s">
        <v>23</v>
      </c>
      <c r="H172" s="2" t="s">
        <v>4</v>
      </c>
      <c r="I172" s="5">
        <v>20</v>
      </c>
      <c r="J172" s="5" t="str">
        <f>_xlfn.IFS(Table1[[#This Row],[Experience(Years)]]&lt;5, "Junior", I172&lt;=12, "Mid-Level", I172&lt;=20, "Senior", I172&lt;=30, "Super Senior", TRUE, "Expert")</f>
        <v>Senior</v>
      </c>
      <c r="K172" s="7">
        <v>40</v>
      </c>
      <c r="L172" s="7">
        <f>Table1[[#This Row],[Hourly Rate]]*1000</f>
        <v>40000</v>
      </c>
      <c r="M172" s="7" t="str">
        <f t="shared" si="2"/>
        <v>Standard</v>
      </c>
      <c r="N172" s="2">
        <f>IF(ISNUMBER(#REF!),#REF!, _xlfn.IFS( I172&gt;=30, 5, I172&gt;=25, 4.8, I172&gt;=15, 4, I172&gt;=10, 3.8, I172&gt;=5, 3, I172&gt;=2, 2.5, I172&gt;=0, 1.8, TRUE, 1.3))</f>
        <v>4</v>
      </c>
      <c r="O172" s="2" t="s">
        <v>2052</v>
      </c>
      <c r="P172" s="10">
        <v>0.8</v>
      </c>
      <c r="Q172" s="10" t="str">
        <f>_xlfn.IFS(Table1[[#This Row],[Rating]]&gt;=4, "Top Performer", Table1[[#This Row],[Rating]]&gt;=3, "Average", TRUE, "Needs Imporovement")</f>
        <v>Top Performer</v>
      </c>
    </row>
    <row r="173" spans="1:17" x14ac:dyDescent="0.3">
      <c r="A173" s="2" t="s">
        <v>391</v>
      </c>
      <c r="B173" s="2" t="s">
        <v>392</v>
      </c>
      <c r="C173" s="2" t="s">
        <v>68</v>
      </c>
      <c r="D173" s="2">
        <v>34</v>
      </c>
      <c r="E173" s="2" t="str">
        <f>_xlfn.IFS(Table1[[#This Row],[Age]]&lt;30, "18-29", D173&lt;=45,"30-45", D173&lt;=55, "46-55", TRUE, "55+")</f>
        <v>30-45</v>
      </c>
      <c r="F173" s="2" t="s">
        <v>57</v>
      </c>
      <c r="G173" s="2" t="s">
        <v>58</v>
      </c>
      <c r="H173" s="2" t="s">
        <v>46</v>
      </c>
      <c r="I173" s="5">
        <v>0</v>
      </c>
      <c r="J173" s="5" t="str">
        <f>_xlfn.IFS(Table1[[#This Row],[Experience(Years)]]&lt;5, "Junior", I173&lt;=12, "Mid-Level", I173&lt;=20, "Senior", I173&lt;=30, "Super Senior", TRUE, "Expert")</f>
        <v>Junior</v>
      </c>
      <c r="K173" s="7">
        <v>20</v>
      </c>
      <c r="L173" s="7">
        <f>Table1[[#This Row],[Hourly Rate]]*1000</f>
        <v>20000</v>
      </c>
      <c r="M173" s="7" t="str">
        <f t="shared" si="2"/>
        <v>Budget</v>
      </c>
      <c r="N173" s="2">
        <f>IF(ISNUMBER(#REF!),#REF!, _xlfn.IFS( I173&gt;=30, 5, I173&gt;=25, 4.8, I173&gt;=15, 4, I173&gt;=10, 3.8, I173&gt;=5, 3, I173&gt;=2, 2.5, I173&gt;=0, 1.8, TRUE, 1.3))</f>
        <v>1.8</v>
      </c>
      <c r="O173" s="2" t="s">
        <v>2052</v>
      </c>
      <c r="P173" s="10">
        <v>0.66</v>
      </c>
      <c r="Q173" s="10" t="str">
        <f>_xlfn.IFS(Table1[[#This Row],[Rating]]&gt;=4, "Top Performer", Table1[[#This Row],[Rating]]&gt;=3, "Average", TRUE, "Needs Imporovement")</f>
        <v>Needs Imporovement</v>
      </c>
    </row>
    <row r="174" spans="1:17" x14ac:dyDescent="0.3">
      <c r="A174" s="2" t="s">
        <v>393</v>
      </c>
      <c r="B174" s="2" t="s">
        <v>394</v>
      </c>
      <c r="C174" s="2" t="s">
        <v>49</v>
      </c>
      <c r="D174" s="2">
        <v>42</v>
      </c>
      <c r="E174" s="2" t="str">
        <f>_xlfn.IFS(Table1[[#This Row],[Age]]&lt;30, "18-29", D174&lt;=45,"30-45", D174&lt;=55, "46-55", TRUE, "55+")</f>
        <v>30-45</v>
      </c>
      <c r="F174" s="2" t="s">
        <v>22</v>
      </c>
      <c r="G174" s="2" t="s">
        <v>23</v>
      </c>
      <c r="H174" s="2" t="s">
        <v>14</v>
      </c>
      <c r="I174" s="5">
        <v>7</v>
      </c>
      <c r="J174" s="5" t="str">
        <f>_xlfn.IFS(Table1[[#This Row],[Experience(Years)]]&lt;5, "Junior", I174&lt;=12, "Mid-Level", I174&lt;=20, "Senior", I174&lt;=30, "Super Senior", TRUE, "Expert")</f>
        <v>Mid-Level</v>
      </c>
      <c r="K174" s="7">
        <v>40</v>
      </c>
      <c r="L174" s="7">
        <f>Table1[[#This Row],[Hourly Rate]]*1000</f>
        <v>40000</v>
      </c>
      <c r="M174" s="7" t="str">
        <f t="shared" si="2"/>
        <v>Standard</v>
      </c>
      <c r="N174" s="2">
        <f>IF(ISNUMBER(#REF!),#REF!, _xlfn.IFS( I174&gt;=30, 5, I174&gt;=25, 4.8, I174&gt;=15, 4, I174&gt;=10, 3.8, I174&gt;=5, 3, I174&gt;=2, 2.5, I174&gt;=0, 1.8, TRUE, 1.3))</f>
        <v>3</v>
      </c>
      <c r="O174" s="2" t="s">
        <v>2053</v>
      </c>
      <c r="P174" s="10">
        <v>0.6</v>
      </c>
      <c r="Q174" s="10" t="str">
        <f>_xlfn.IFS(Table1[[#This Row],[Rating]]&gt;=4, "Top Performer", Table1[[#This Row],[Rating]]&gt;=3, "Average", TRUE, "Needs Imporovement")</f>
        <v>Average</v>
      </c>
    </row>
    <row r="175" spans="1:17" x14ac:dyDescent="0.3">
      <c r="A175" s="2" t="s">
        <v>395</v>
      </c>
      <c r="B175" s="2" t="s">
        <v>396</v>
      </c>
      <c r="C175" s="2" t="s">
        <v>68</v>
      </c>
      <c r="D175" s="2">
        <v>31</v>
      </c>
      <c r="E175" s="2" t="str">
        <f>_xlfn.IFS(Table1[[#This Row],[Age]]&lt;30, "18-29", D175&lt;=45,"30-45", D175&lt;=55, "46-55", TRUE, "55+")</f>
        <v>30-45</v>
      </c>
      <c r="F175" s="2" t="s">
        <v>41</v>
      </c>
      <c r="G175" s="2" t="s">
        <v>8</v>
      </c>
      <c r="H175" s="2" t="s">
        <v>29</v>
      </c>
      <c r="I175" s="5">
        <v>4</v>
      </c>
      <c r="J175" s="5" t="str">
        <f>_xlfn.IFS(Table1[[#This Row],[Experience(Years)]]&lt;5, "Junior", I175&lt;=12, "Mid-Level", I175&lt;=20, "Senior", I175&lt;=30, "Super Senior", TRUE, "Expert")</f>
        <v>Junior</v>
      </c>
      <c r="K175" s="7">
        <v>75</v>
      </c>
      <c r="L175" s="7">
        <f>Table1[[#This Row],[Hourly Rate]]*1000</f>
        <v>75000</v>
      </c>
      <c r="M175" s="7" t="str">
        <f t="shared" si="2"/>
        <v>Standard</v>
      </c>
      <c r="N175" s="2">
        <f>IF(ISNUMBER(#REF!),#REF!, _xlfn.IFS( I175&gt;=30, 5, I175&gt;=25, 4.8, I175&gt;=15, 4, I175&gt;=10, 3.8, I175&gt;=5, 3, I175&gt;=2, 2.5, I175&gt;=0, 1.8, TRUE, 1.3))</f>
        <v>2.5</v>
      </c>
      <c r="O175" s="2" t="s">
        <v>2053</v>
      </c>
      <c r="P175" s="10">
        <v>0.64</v>
      </c>
      <c r="Q175" s="10" t="str">
        <f>_xlfn.IFS(Table1[[#This Row],[Rating]]&gt;=4, "Top Performer", Table1[[#This Row],[Rating]]&gt;=3, "Average", TRUE, "Needs Imporovement")</f>
        <v>Needs Imporovement</v>
      </c>
    </row>
    <row r="176" spans="1:17" x14ac:dyDescent="0.3">
      <c r="A176" s="2" t="s">
        <v>397</v>
      </c>
      <c r="B176" s="2" t="s">
        <v>398</v>
      </c>
      <c r="C176" s="2" t="s">
        <v>68</v>
      </c>
      <c r="D176" s="2">
        <v>29</v>
      </c>
      <c r="E176" s="2" t="str">
        <f>_xlfn.IFS(Table1[[#This Row],[Age]]&lt;30, "18-29", D176&lt;=45,"30-45", D176&lt;=55, "46-55", TRUE, "55+")</f>
        <v>18-29</v>
      </c>
      <c r="F176" s="2" t="s">
        <v>77</v>
      </c>
      <c r="G176" s="2" t="s">
        <v>78</v>
      </c>
      <c r="H176" s="2" t="s">
        <v>46</v>
      </c>
      <c r="I176" s="5">
        <v>9</v>
      </c>
      <c r="J176" s="5" t="str">
        <f>_xlfn.IFS(Table1[[#This Row],[Experience(Years)]]&lt;5, "Junior", I176&lt;=12, "Mid-Level", I176&lt;=20, "Senior", I176&lt;=30, "Super Senior", TRUE, "Expert")</f>
        <v>Mid-Level</v>
      </c>
      <c r="K176" s="7">
        <v>20</v>
      </c>
      <c r="L176" s="7">
        <f>Table1[[#This Row],[Hourly Rate]]*1000</f>
        <v>20000</v>
      </c>
      <c r="M176" s="7" t="str">
        <f t="shared" si="2"/>
        <v>Budget</v>
      </c>
      <c r="N176" s="2">
        <f>IF(ISNUMBER(#REF!),#REF!, _xlfn.IFS( I176&gt;=30, 5, I176&gt;=25, 4.8, I176&gt;=15, 4, I176&gt;=10, 3.8, I176&gt;=5, 3, I176&gt;=2, 2.5, I176&gt;=0, 1.8, TRUE, 1.3))</f>
        <v>3</v>
      </c>
      <c r="O176" s="2" t="str">
        <f>IF(AND( Table1[[#This Row],[Rating]]&gt;=3.5, Table1[[#This Row],[Experience(Years)]]&gt;=15), "Active", "Inactive")</f>
        <v>Inactive</v>
      </c>
      <c r="P176" s="10">
        <v>0.68</v>
      </c>
      <c r="Q176" s="10" t="str">
        <f>_xlfn.IFS(Table1[[#This Row],[Rating]]&gt;=4, "Top Performer", Table1[[#This Row],[Rating]]&gt;=3, "Average", TRUE, "Needs Imporovement")</f>
        <v>Average</v>
      </c>
    </row>
    <row r="177" spans="1:17" x14ac:dyDescent="0.3">
      <c r="A177" s="2" t="s">
        <v>399</v>
      </c>
      <c r="B177" s="2" t="s">
        <v>400</v>
      </c>
      <c r="C177" s="2" t="s">
        <v>49</v>
      </c>
      <c r="D177" s="2">
        <v>57</v>
      </c>
      <c r="E177" s="2" t="str">
        <f>_xlfn.IFS(Table1[[#This Row],[Age]]&lt;30, "18-29", D177&lt;=45,"30-45", D177&lt;=55, "46-55", TRUE, "55+")</f>
        <v>55+</v>
      </c>
      <c r="F177" s="2" t="s">
        <v>7</v>
      </c>
      <c r="G177" s="2" t="s">
        <v>8</v>
      </c>
      <c r="H177" s="2" t="s">
        <v>14</v>
      </c>
      <c r="I177" s="5">
        <v>17</v>
      </c>
      <c r="J177" s="5" t="str">
        <f>_xlfn.IFS(Table1[[#This Row],[Experience(Years)]]&lt;5, "Junior", I177&lt;=12, "Mid-Level", I177&lt;=20, "Senior", I177&lt;=30, "Super Senior", TRUE, "Expert")</f>
        <v>Senior</v>
      </c>
      <c r="K177" s="7">
        <v>20</v>
      </c>
      <c r="L177" s="7">
        <f>Table1[[#This Row],[Hourly Rate]]*1000</f>
        <v>20000</v>
      </c>
      <c r="M177" s="7" t="str">
        <f t="shared" si="2"/>
        <v>Budget</v>
      </c>
      <c r="N177" s="2">
        <f>IF(ISNUMBER(#REF!),#REF!, _xlfn.IFS( I177&gt;=30, 5, I177&gt;=25, 4.8, I177&gt;=15, 4, I177&gt;=10, 3.8, I177&gt;=5, 3, I177&gt;=2, 2.5, I177&gt;=0, 1.8, TRUE, 1.3))</f>
        <v>4</v>
      </c>
      <c r="O177" s="2" t="s">
        <v>2052</v>
      </c>
      <c r="P177" s="10">
        <v>0.63</v>
      </c>
      <c r="Q177" s="10" t="str">
        <f>_xlfn.IFS(Table1[[#This Row],[Rating]]&gt;=4, "Top Performer", Table1[[#This Row],[Rating]]&gt;=3, "Average", TRUE, "Needs Imporovement")</f>
        <v>Top Performer</v>
      </c>
    </row>
    <row r="178" spans="1:17" x14ac:dyDescent="0.3">
      <c r="A178" s="2" t="s">
        <v>401</v>
      </c>
      <c r="B178" s="2" t="s">
        <v>402</v>
      </c>
      <c r="C178" s="2" t="s">
        <v>68</v>
      </c>
      <c r="D178" s="2">
        <v>47</v>
      </c>
      <c r="E178" s="2" t="str">
        <f>_xlfn.IFS(Table1[[#This Row],[Age]]&lt;30, "18-29", D178&lt;=45,"30-45", D178&lt;=55, "46-55", TRUE, "55+")</f>
        <v>46-55</v>
      </c>
      <c r="F178" s="2" t="s">
        <v>64</v>
      </c>
      <c r="G178" s="2" t="s">
        <v>65</v>
      </c>
      <c r="H178" s="2" t="s">
        <v>61</v>
      </c>
      <c r="I178" s="5">
        <v>8</v>
      </c>
      <c r="J178" s="5" t="str">
        <f>_xlfn.IFS(Table1[[#This Row],[Experience(Years)]]&lt;5, "Junior", I178&lt;=12, "Mid-Level", I178&lt;=20, "Senior", I178&lt;=30, "Super Senior", TRUE, "Expert")</f>
        <v>Mid-Level</v>
      </c>
      <c r="K178" s="7">
        <v>20</v>
      </c>
      <c r="L178" s="7">
        <f>Table1[[#This Row],[Hourly Rate]]*1000</f>
        <v>20000</v>
      </c>
      <c r="M178" s="7" t="str">
        <f t="shared" si="2"/>
        <v>Budget</v>
      </c>
      <c r="N178" s="2">
        <f>IF(ISNUMBER(#REF!),#REF!, _xlfn.IFS( I178&gt;=30, 5, I178&gt;=25, 4.8, I178&gt;=15, 4, I178&gt;=10, 3.8, I178&gt;=5, 3, I178&gt;=2, 2.5, I178&gt;=0, 1.8, TRUE, 1.3))</f>
        <v>3</v>
      </c>
      <c r="O178" s="2" t="s">
        <v>2053</v>
      </c>
      <c r="P178" s="10">
        <v>0.72</v>
      </c>
      <c r="Q178" s="10" t="str">
        <f>_xlfn.IFS(Table1[[#This Row],[Rating]]&gt;=4, "Top Performer", Table1[[#This Row],[Rating]]&gt;=3, "Average", TRUE, "Needs Imporovement")</f>
        <v>Average</v>
      </c>
    </row>
    <row r="179" spans="1:17" x14ac:dyDescent="0.3">
      <c r="A179" s="2" t="s">
        <v>403</v>
      </c>
      <c r="B179" s="2" t="s">
        <v>404</v>
      </c>
      <c r="C179" s="2" t="s">
        <v>68</v>
      </c>
      <c r="D179" s="2">
        <v>47</v>
      </c>
      <c r="E179" s="2" t="str">
        <f>_xlfn.IFS(Table1[[#This Row],[Age]]&lt;30, "18-29", D179&lt;=45,"30-45", D179&lt;=55, "46-55", TRUE, "55+")</f>
        <v>46-55</v>
      </c>
      <c r="F179" s="2" t="s">
        <v>121</v>
      </c>
      <c r="G179" s="2" t="s">
        <v>122</v>
      </c>
      <c r="H179" s="2" t="s">
        <v>24</v>
      </c>
      <c r="I179" s="5">
        <v>14</v>
      </c>
      <c r="J179" s="5" t="str">
        <f>_xlfn.IFS(Table1[[#This Row],[Experience(Years)]]&lt;5, "Junior", I179&lt;=12, "Mid-Level", I179&lt;=20, "Senior", I179&lt;=30, "Super Senior", TRUE, "Expert")</f>
        <v>Senior</v>
      </c>
      <c r="K179" s="7">
        <v>30</v>
      </c>
      <c r="L179" s="7">
        <f>Table1[[#This Row],[Hourly Rate]]*1000</f>
        <v>30000</v>
      </c>
      <c r="M179" s="7" t="str">
        <f t="shared" si="2"/>
        <v>Budget</v>
      </c>
      <c r="N179" s="2">
        <f>IF(ISNUMBER(#REF!),#REF!, _xlfn.IFS( I179&gt;=30, 5, I179&gt;=25, 4.8, I179&gt;=15, 4, I179&gt;=10, 3.8, I179&gt;=5, 3, I179&gt;=2, 2.5, I179&gt;=0, 1.8, TRUE, 1.3))</f>
        <v>3.8</v>
      </c>
      <c r="O179" s="2" t="s">
        <v>2053</v>
      </c>
      <c r="P179" s="10">
        <v>0.86</v>
      </c>
      <c r="Q179" s="10" t="str">
        <f>_xlfn.IFS(Table1[[#This Row],[Rating]]&gt;=4, "Top Performer", Table1[[#This Row],[Rating]]&gt;=3, "Average", TRUE, "Needs Imporovement")</f>
        <v>Average</v>
      </c>
    </row>
    <row r="180" spans="1:17" x14ac:dyDescent="0.3">
      <c r="A180" s="2" t="s">
        <v>405</v>
      </c>
      <c r="B180" s="2" t="s">
        <v>406</v>
      </c>
      <c r="C180" s="2" t="s">
        <v>49</v>
      </c>
      <c r="D180" s="2">
        <v>45</v>
      </c>
      <c r="E180" s="2" t="str">
        <f>_xlfn.IFS(Table1[[#This Row],[Age]]&lt;30, "18-29", D180&lt;=45,"30-45", D180&lt;=55, "46-55", TRUE, "55+")</f>
        <v>30-45</v>
      </c>
      <c r="F180" s="2" t="s">
        <v>103</v>
      </c>
      <c r="G180" s="2" t="s">
        <v>104</v>
      </c>
      <c r="H180" s="2" t="s">
        <v>14</v>
      </c>
      <c r="I180" s="5">
        <v>21</v>
      </c>
      <c r="J180" s="5" t="str">
        <f>_xlfn.IFS(Table1[[#This Row],[Experience(Years)]]&lt;5, "Junior", I180&lt;=12, "Mid-Level", I180&lt;=20, "Senior", I180&lt;=30, "Super Senior", TRUE, "Expert")</f>
        <v>Super Senior</v>
      </c>
      <c r="K180" s="7">
        <v>30</v>
      </c>
      <c r="L180" s="7">
        <f>Table1[[#This Row],[Hourly Rate]]*1000</f>
        <v>30000</v>
      </c>
      <c r="M180" s="7" t="str">
        <f t="shared" si="2"/>
        <v>Budget</v>
      </c>
      <c r="N180" s="2">
        <f>IF(ISNUMBER(#REF!),#REF!, _xlfn.IFS( I180&gt;=30, 5, I180&gt;=25, 4.8, I180&gt;=15, 4, I180&gt;=10, 3.8, I180&gt;=5, 3, I180&gt;=2, 2.5, I180&gt;=0, 1.8, TRUE, 1.3))</f>
        <v>4</v>
      </c>
      <c r="O180" s="2" t="s">
        <v>2053</v>
      </c>
      <c r="P180" s="10">
        <v>0.73</v>
      </c>
      <c r="Q180" s="10" t="str">
        <f>_xlfn.IFS(Table1[[#This Row],[Rating]]&gt;=4, "Top Performer", Table1[[#This Row],[Rating]]&gt;=3, "Average", TRUE, "Needs Imporovement")</f>
        <v>Top Performer</v>
      </c>
    </row>
    <row r="181" spans="1:17" x14ac:dyDescent="0.3">
      <c r="A181" s="2" t="s">
        <v>407</v>
      </c>
      <c r="B181" s="2" t="s">
        <v>408</v>
      </c>
      <c r="C181" s="2" t="s">
        <v>68</v>
      </c>
      <c r="D181" s="2">
        <v>24</v>
      </c>
      <c r="E181" s="2" t="str">
        <f>_xlfn.IFS(Table1[[#This Row],[Age]]&lt;30, "18-29", D181&lt;=45,"30-45", D181&lt;=55, "46-55", TRUE, "55+")</f>
        <v>18-29</v>
      </c>
      <c r="F181" s="2" t="s">
        <v>37</v>
      </c>
      <c r="G181" s="2" t="s">
        <v>38</v>
      </c>
      <c r="H181" s="2" t="s">
        <v>83</v>
      </c>
      <c r="I181" s="5">
        <v>1</v>
      </c>
      <c r="J181" s="5" t="str">
        <f>_xlfn.IFS(Table1[[#This Row],[Experience(Years)]]&lt;5, "Junior", I181&lt;=12, "Mid-Level", I181&lt;=20, "Senior", I181&lt;=30, "Super Senior", TRUE, "Expert")</f>
        <v>Junior</v>
      </c>
      <c r="K181" s="7">
        <v>30</v>
      </c>
      <c r="L181" s="7">
        <f>Table1[[#This Row],[Hourly Rate]]*1000</f>
        <v>30000</v>
      </c>
      <c r="M181" s="7" t="str">
        <f t="shared" si="2"/>
        <v>Budget</v>
      </c>
      <c r="N181" s="2">
        <f>IF(ISNUMBER(#REF!),#REF!, _xlfn.IFS( I181&gt;=30, 5, I181&gt;=25, 4.8, I181&gt;=15, 4, I181&gt;=10, 3.8, I181&gt;=5, 3, I181&gt;=2, 2.5, I181&gt;=0, 1.8, TRUE, 1.3))</f>
        <v>1.8</v>
      </c>
      <c r="O181" s="2" t="s">
        <v>2052</v>
      </c>
      <c r="P181" s="10">
        <v>0.95</v>
      </c>
      <c r="Q181" s="10" t="str">
        <f>_xlfn.IFS(Table1[[#This Row],[Rating]]&gt;=4, "Top Performer", Table1[[#This Row],[Rating]]&gt;=3, "Average", TRUE, "Needs Imporovement")</f>
        <v>Needs Imporovement</v>
      </c>
    </row>
    <row r="182" spans="1:17" x14ac:dyDescent="0.3">
      <c r="A182" s="2" t="s">
        <v>409</v>
      </c>
      <c r="B182" s="2" t="s">
        <v>410</v>
      </c>
      <c r="C182" s="2" t="s">
        <v>49</v>
      </c>
      <c r="D182" s="2">
        <v>31</v>
      </c>
      <c r="E182" s="2" t="str">
        <f>_xlfn.IFS(Table1[[#This Row],[Age]]&lt;30, "18-29", D182&lt;=45,"30-45", D182&lt;=55, "46-55", TRUE, "55+")</f>
        <v>30-45</v>
      </c>
      <c r="F182" s="2" t="s">
        <v>44</v>
      </c>
      <c r="G182" s="2" t="s">
        <v>45</v>
      </c>
      <c r="H182" s="2" t="s">
        <v>9</v>
      </c>
      <c r="I182" s="5">
        <v>12</v>
      </c>
      <c r="J182" s="5" t="str">
        <f>_xlfn.IFS(Table1[[#This Row],[Experience(Years)]]&lt;5, "Junior", I182&lt;=12, "Mid-Level", I182&lt;=20, "Senior", I182&lt;=30, "Super Senior", TRUE, "Expert")</f>
        <v>Mid-Level</v>
      </c>
      <c r="K182" s="7">
        <v>20</v>
      </c>
      <c r="L182" s="7">
        <f>Table1[[#This Row],[Hourly Rate]]*1000</f>
        <v>20000</v>
      </c>
      <c r="M182" s="7" t="str">
        <f t="shared" si="2"/>
        <v>Budget</v>
      </c>
      <c r="N182" s="2">
        <f>IF(ISNUMBER(#REF!),#REF!, _xlfn.IFS( I182&gt;=30, 5, I182&gt;=25, 4.8, I182&gt;=15, 4, I182&gt;=10, 3.8, I182&gt;=5, 3, I182&gt;=2, 2.5, I182&gt;=0, 1.8, TRUE, 1.3))</f>
        <v>3.8</v>
      </c>
      <c r="O182" s="2" t="s">
        <v>2052</v>
      </c>
      <c r="P182" s="10">
        <v>0.9</v>
      </c>
      <c r="Q182" s="10" t="str">
        <f>_xlfn.IFS(Table1[[#This Row],[Rating]]&gt;=4, "Top Performer", Table1[[#This Row],[Rating]]&gt;=3, "Average", TRUE, "Needs Imporovement")</f>
        <v>Average</v>
      </c>
    </row>
    <row r="183" spans="1:17" x14ac:dyDescent="0.3">
      <c r="A183" s="2" t="s">
        <v>411</v>
      </c>
      <c r="B183" s="2" t="s">
        <v>412</v>
      </c>
      <c r="C183" s="2" t="s">
        <v>49</v>
      </c>
      <c r="D183" s="2">
        <v>20</v>
      </c>
      <c r="E183" s="2" t="str">
        <f>_xlfn.IFS(Table1[[#This Row],[Age]]&lt;30, "18-29", D183&lt;=45,"30-45", D183&lt;=55, "46-55", TRUE, "55+")</f>
        <v>18-29</v>
      </c>
      <c r="F183" s="2" t="s">
        <v>145</v>
      </c>
      <c r="G183" s="2" t="s">
        <v>45</v>
      </c>
      <c r="H183" s="2" t="s">
        <v>14</v>
      </c>
      <c r="I183" s="5">
        <v>2</v>
      </c>
      <c r="J183" s="5" t="str">
        <f>_xlfn.IFS(Table1[[#This Row],[Experience(Years)]]&lt;5, "Junior", I183&lt;=12, "Mid-Level", I183&lt;=20, "Senior", I183&lt;=30, "Super Senior", TRUE, "Expert")</f>
        <v>Junior</v>
      </c>
      <c r="K183" s="7">
        <v>20</v>
      </c>
      <c r="L183" s="7">
        <f>Table1[[#This Row],[Hourly Rate]]*1000</f>
        <v>20000</v>
      </c>
      <c r="M183" s="7" t="str">
        <f t="shared" si="2"/>
        <v>Budget</v>
      </c>
      <c r="N183" s="2">
        <f>IF(ISNUMBER(#REF!),#REF!, _xlfn.IFS( I183&gt;=30, 5, I183&gt;=25, 4.8, I183&gt;=15, 4, I183&gt;=10, 3.8, I183&gt;=5, 3, I183&gt;=2, 2.5, I183&gt;=0, 1.8, TRUE, 1.3))</f>
        <v>2.5</v>
      </c>
      <c r="O183" s="2" t="s">
        <v>2052</v>
      </c>
      <c r="P183" s="10">
        <v>0.78</v>
      </c>
      <c r="Q183" s="10" t="str">
        <f>_xlfn.IFS(Table1[[#This Row],[Rating]]&gt;=4, "Top Performer", Table1[[#This Row],[Rating]]&gt;=3, "Average", TRUE, "Needs Imporovement")</f>
        <v>Needs Imporovement</v>
      </c>
    </row>
    <row r="184" spans="1:17" x14ac:dyDescent="0.3">
      <c r="A184" s="2" t="s">
        <v>413</v>
      </c>
      <c r="B184" s="2" t="s">
        <v>414</v>
      </c>
      <c r="C184" s="2" t="s">
        <v>68</v>
      </c>
      <c r="D184" s="2">
        <v>38</v>
      </c>
      <c r="E184" s="2" t="str">
        <f>_xlfn.IFS(Table1[[#This Row],[Age]]&lt;30, "18-29", D184&lt;=45,"30-45", D184&lt;=55, "46-55", TRUE, "55+")</f>
        <v>30-45</v>
      </c>
      <c r="F184" s="2" t="s">
        <v>57</v>
      </c>
      <c r="G184" s="2" t="s">
        <v>58</v>
      </c>
      <c r="H184" s="2" t="s">
        <v>17</v>
      </c>
      <c r="I184" s="5">
        <v>3</v>
      </c>
      <c r="J184" s="5" t="str">
        <f>_xlfn.IFS(Table1[[#This Row],[Experience(Years)]]&lt;5, "Junior", I184&lt;=12, "Mid-Level", I184&lt;=20, "Senior", I184&lt;=30, "Super Senior", TRUE, "Expert")</f>
        <v>Junior</v>
      </c>
      <c r="K184" s="7">
        <v>30</v>
      </c>
      <c r="L184" s="7">
        <f>Table1[[#This Row],[Hourly Rate]]*1000</f>
        <v>30000</v>
      </c>
      <c r="M184" s="7" t="str">
        <f t="shared" si="2"/>
        <v>Budget</v>
      </c>
      <c r="N184" s="2">
        <f>IF(ISNUMBER(#REF!),#REF!, _xlfn.IFS( I184&gt;=30, 5, I184&gt;=25, 4.8, I184&gt;=15, 4, I184&gt;=10, 3.8, I184&gt;=5, 3, I184&gt;=2, 2.5, I184&gt;=0, 1.8, TRUE, 1.3))</f>
        <v>2.5</v>
      </c>
      <c r="O184" s="2" t="s">
        <v>2052</v>
      </c>
      <c r="P184" s="10">
        <v>0.97</v>
      </c>
      <c r="Q184" s="10" t="str">
        <f>_xlfn.IFS(Table1[[#This Row],[Rating]]&gt;=4, "Top Performer", Table1[[#This Row],[Rating]]&gt;=3, "Average", TRUE, "Needs Imporovement")</f>
        <v>Needs Imporovement</v>
      </c>
    </row>
    <row r="185" spans="1:17" x14ac:dyDescent="0.3">
      <c r="A185" s="2" t="s">
        <v>415</v>
      </c>
      <c r="B185" s="2" t="s">
        <v>416</v>
      </c>
      <c r="C185" s="2" t="s">
        <v>49</v>
      </c>
      <c r="D185" s="2">
        <v>33</v>
      </c>
      <c r="E185" s="2" t="str">
        <f>_xlfn.IFS(Table1[[#This Row],[Age]]&lt;30, "18-29", D185&lt;=45,"30-45", D185&lt;=55, "46-55", TRUE, "55+")</f>
        <v>30-45</v>
      </c>
      <c r="F185" s="2" t="s">
        <v>12</v>
      </c>
      <c r="G185" s="2" t="s">
        <v>13</v>
      </c>
      <c r="H185" s="2" t="s">
        <v>46</v>
      </c>
      <c r="I185" s="5">
        <v>11</v>
      </c>
      <c r="J185" s="5" t="str">
        <f>_xlfn.IFS(Table1[[#This Row],[Experience(Years)]]&lt;5, "Junior", I185&lt;=12, "Mid-Level", I185&lt;=20, "Senior", I185&lt;=30, "Super Senior", TRUE, "Expert")</f>
        <v>Mid-Level</v>
      </c>
      <c r="K185" s="7">
        <v>80</v>
      </c>
      <c r="L185" s="7">
        <f>Table1[[#This Row],[Hourly Rate]]*1000</f>
        <v>80000</v>
      </c>
      <c r="M185" s="7" t="str">
        <f t="shared" si="2"/>
        <v>Standard</v>
      </c>
      <c r="N185" s="2">
        <f>IF(ISNUMBER(#REF!),#REF!, _xlfn.IFS( I185&gt;=30, 5, I185&gt;=25, 4.8, I185&gt;=15, 4, I185&gt;=10, 3.8, I185&gt;=5, 3, I185&gt;=2, 2.5, I185&gt;=0, 1.8, TRUE, 1.3))</f>
        <v>3.8</v>
      </c>
      <c r="O185" s="2" t="s">
        <v>2053</v>
      </c>
      <c r="P185" s="10">
        <v>0.65</v>
      </c>
      <c r="Q185" s="10" t="str">
        <f>_xlfn.IFS(Table1[[#This Row],[Rating]]&gt;=4, "Top Performer", Table1[[#This Row],[Rating]]&gt;=3, "Average", TRUE, "Needs Imporovement")</f>
        <v>Average</v>
      </c>
    </row>
    <row r="186" spans="1:17" x14ac:dyDescent="0.3">
      <c r="A186" s="2" t="s">
        <v>417</v>
      </c>
      <c r="B186" s="2" t="s">
        <v>418</v>
      </c>
      <c r="C186" s="2" t="s">
        <v>49</v>
      </c>
      <c r="D186" s="2">
        <v>31</v>
      </c>
      <c r="E186" s="2" t="str">
        <f>_xlfn.IFS(Table1[[#This Row],[Age]]&lt;30, "18-29", D186&lt;=45,"30-45", D186&lt;=55, "46-55", TRUE, "55+")</f>
        <v>30-45</v>
      </c>
      <c r="F186" s="2" t="s">
        <v>7</v>
      </c>
      <c r="G186" s="2" t="s">
        <v>8</v>
      </c>
      <c r="H186" s="2" t="s">
        <v>17</v>
      </c>
      <c r="I186" s="5">
        <v>4</v>
      </c>
      <c r="J186" s="5" t="str">
        <f>_xlfn.IFS(Table1[[#This Row],[Experience(Years)]]&lt;5, "Junior", I186&lt;=12, "Mid-Level", I186&lt;=20, "Senior", I186&lt;=30, "Super Senior", TRUE, "Expert")</f>
        <v>Junior</v>
      </c>
      <c r="K186" s="7">
        <v>40</v>
      </c>
      <c r="L186" s="7">
        <f>Table1[[#This Row],[Hourly Rate]]*1000</f>
        <v>40000</v>
      </c>
      <c r="M186" s="7" t="str">
        <f t="shared" si="2"/>
        <v>Standard</v>
      </c>
      <c r="N186" s="2">
        <f>IF(ISNUMBER(#REF!),#REF!, _xlfn.IFS( I186&gt;=30, 5, I186&gt;=25, 4.8, I186&gt;=15, 4, I186&gt;=10, 3.8, I186&gt;=5, 3, I186&gt;=2, 2.5, I186&gt;=0, 1.8, TRUE, 1.3))</f>
        <v>2.5</v>
      </c>
      <c r="O186" s="2" t="s">
        <v>2053</v>
      </c>
      <c r="P186" s="10">
        <v>0.78</v>
      </c>
      <c r="Q186" s="10" t="str">
        <f>_xlfn.IFS(Table1[[#This Row],[Rating]]&gt;=4, "Top Performer", Table1[[#This Row],[Rating]]&gt;=3, "Average", TRUE, "Needs Imporovement")</f>
        <v>Needs Imporovement</v>
      </c>
    </row>
    <row r="187" spans="1:17" x14ac:dyDescent="0.3">
      <c r="A187" s="2" t="s">
        <v>419</v>
      </c>
      <c r="B187" s="2" t="s">
        <v>420</v>
      </c>
      <c r="C187" s="2" t="s">
        <v>68</v>
      </c>
      <c r="D187" s="2">
        <v>41</v>
      </c>
      <c r="E187" s="2" t="str">
        <f>_xlfn.IFS(Table1[[#This Row],[Age]]&lt;30, "18-29", D187&lt;=45,"30-45", D187&lt;=55, "46-55", TRUE, "55+")</f>
        <v>30-45</v>
      </c>
      <c r="F187" s="2" t="s">
        <v>156</v>
      </c>
      <c r="G187" s="2" t="s">
        <v>45</v>
      </c>
      <c r="H187" s="2" t="s">
        <v>83</v>
      </c>
      <c r="I187" s="5">
        <v>21</v>
      </c>
      <c r="J187" s="5" t="str">
        <f>_xlfn.IFS(Table1[[#This Row],[Experience(Years)]]&lt;5, "Junior", I187&lt;=12, "Mid-Level", I187&lt;=20, "Senior", I187&lt;=30, "Super Senior", TRUE, "Expert")</f>
        <v>Super Senior</v>
      </c>
      <c r="K187" s="7">
        <v>50</v>
      </c>
      <c r="L187" s="7">
        <f>Table1[[#This Row],[Hourly Rate]]*1000</f>
        <v>50000</v>
      </c>
      <c r="M187" s="7" t="str">
        <f t="shared" si="2"/>
        <v>Standard</v>
      </c>
      <c r="N187" s="2">
        <f>IF(ISNUMBER(#REF!),#REF!, _xlfn.IFS( I187&gt;=30, 5, I187&gt;=25, 4.8, I187&gt;=15, 4, I187&gt;=10, 3.8, I187&gt;=5, 3, I187&gt;=2, 2.5, I187&gt;=0, 1.8, TRUE, 1.3))</f>
        <v>4</v>
      </c>
      <c r="O187" s="2" t="s">
        <v>2053</v>
      </c>
      <c r="P187" s="10">
        <v>0.65</v>
      </c>
      <c r="Q187" s="10" t="str">
        <f>_xlfn.IFS(Table1[[#This Row],[Rating]]&gt;=4, "Top Performer", Table1[[#This Row],[Rating]]&gt;=3, "Average", TRUE, "Needs Imporovement")</f>
        <v>Top Performer</v>
      </c>
    </row>
    <row r="188" spans="1:17" x14ac:dyDescent="0.3">
      <c r="A188" s="2" t="s">
        <v>421</v>
      </c>
      <c r="B188" s="2" t="s">
        <v>422</v>
      </c>
      <c r="C188" s="2" t="s">
        <v>68</v>
      </c>
      <c r="D188" s="2">
        <v>54</v>
      </c>
      <c r="E188" s="2" t="str">
        <f>_xlfn.IFS(Table1[[#This Row],[Age]]&lt;30, "18-29", D188&lt;=45,"30-45", D188&lt;=55, "46-55", TRUE, "55+")</f>
        <v>46-55</v>
      </c>
      <c r="F188" s="2" t="s">
        <v>37</v>
      </c>
      <c r="G188" s="2" t="s">
        <v>38</v>
      </c>
      <c r="H188" s="2" t="s">
        <v>17</v>
      </c>
      <c r="I188" s="5">
        <v>0</v>
      </c>
      <c r="J188" s="5" t="str">
        <f>_xlfn.IFS(Table1[[#This Row],[Experience(Years)]]&lt;5, "Junior", I188&lt;=12, "Mid-Level", I188&lt;=20, "Senior", I188&lt;=30, "Super Senior", TRUE, "Expert")</f>
        <v>Junior</v>
      </c>
      <c r="K188" s="7">
        <v>20</v>
      </c>
      <c r="L188" s="7">
        <f>Table1[[#This Row],[Hourly Rate]]*1000</f>
        <v>20000</v>
      </c>
      <c r="M188" s="7" t="str">
        <f t="shared" si="2"/>
        <v>Budget</v>
      </c>
      <c r="N188" s="2">
        <f>IF(ISNUMBER(#REF!),#REF!, _xlfn.IFS( I188&gt;=30, 5, I188&gt;=25, 4.8, I188&gt;=15, 4, I188&gt;=10, 3.8, I188&gt;=5, 3, I188&gt;=2, 2.5, I188&gt;=0, 1.8, TRUE, 1.3))</f>
        <v>1.8</v>
      </c>
      <c r="O188" s="2" t="str">
        <f>IF(AND( Table1[[#This Row],[Rating]]&gt;=3.5, Table1[[#This Row],[Experience(Years)]]&gt;=15), "Active", "Inactive")</f>
        <v>Inactive</v>
      </c>
      <c r="P188" s="10">
        <v>0.3</v>
      </c>
      <c r="Q188" s="10" t="str">
        <f>_xlfn.IFS(Table1[[#This Row],[Rating]]&gt;=4, "Top Performer", Table1[[#This Row],[Rating]]&gt;=3, "Average", TRUE, "Needs Imporovement")</f>
        <v>Needs Imporovement</v>
      </c>
    </row>
    <row r="189" spans="1:17" x14ac:dyDescent="0.3">
      <c r="A189" s="2" t="s">
        <v>423</v>
      </c>
      <c r="B189" s="2" t="s">
        <v>424</v>
      </c>
      <c r="C189" s="2" t="s">
        <v>68</v>
      </c>
      <c r="D189" s="2">
        <v>50</v>
      </c>
      <c r="E189" s="2" t="str">
        <f>_xlfn.IFS(Table1[[#This Row],[Age]]&lt;30, "18-29", D189&lt;=45,"30-45", D189&lt;=55, "46-55", TRUE, "55+")</f>
        <v>46-55</v>
      </c>
      <c r="F189" s="2" t="s">
        <v>145</v>
      </c>
      <c r="G189" s="2" t="s">
        <v>45</v>
      </c>
      <c r="H189" s="2" t="s">
        <v>29</v>
      </c>
      <c r="I189" s="5">
        <v>6</v>
      </c>
      <c r="J189" s="5" t="str">
        <f>_xlfn.IFS(Table1[[#This Row],[Experience(Years)]]&lt;5, "Junior", I189&lt;=12, "Mid-Level", I189&lt;=20, "Senior", I189&lt;=30, "Super Senior", TRUE, "Expert")</f>
        <v>Mid-Level</v>
      </c>
      <c r="K189" s="7">
        <v>30</v>
      </c>
      <c r="L189" s="7">
        <f>Table1[[#This Row],[Hourly Rate]]*1000</f>
        <v>30000</v>
      </c>
      <c r="M189" s="7" t="str">
        <f t="shared" si="2"/>
        <v>Budget</v>
      </c>
      <c r="N189" s="2">
        <f>IF(ISNUMBER(#REF!),#REF!, _xlfn.IFS( I189&gt;=30, 5, I189&gt;=25, 4.8, I189&gt;=15, 4, I189&gt;=10, 3.8, I189&gt;=5, 3, I189&gt;=2, 2.5, I189&gt;=0, 1.8, TRUE, 1.3))</f>
        <v>3</v>
      </c>
      <c r="O189" s="2" t="s">
        <v>2053</v>
      </c>
      <c r="P189" s="10">
        <v>0.95</v>
      </c>
      <c r="Q189" s="10" t="str">
        <f>_xlfn.IFS(Table1[[#This Row],[Rating]]&gt;=4, "Top Performer", Table1[[#This Row],[Rating]]&gt;=3, "Average", TRUE, "Needs Imporovement")</f>
        <v>Average</v>
      </c>
    </row>
    <row r="190" spans="1:17" x14ac:dyDescent="0.3">
      <c r="A190" s="2" t="s">
        <v>425</v>
      </c>
      <c r="B190" s="2" t="s">
        <v>426</v>
      </c>
      <c r="C190" s="2" t="s">
        <v>68</v>
      </c>
      <c r="D190" s="2">
        <v>48</v>
      </c>
      <c r="E190" s="2" t="str">
        <f>_xlfn.IFS(Table1[[#This Row],[Age]]&lt;30, "18-29", D190&lt;=45,"30-45", D190&lt;=55, "46-55", TRUE, "55+")</f>
        <v>46-55</v>
      </c>
      <c r="F190" s="2" t="s">
        <v>77</v>
      </c>
      <c r="G190" s="2" t="s">
        <v>78</v>
      </c>
      <c r="H190" s="2" t="s">
        <v>83</v>
      </c>
      <c r="I190" s="5">
        <v>18</v>
      </c>
      <c r="J190" s="5" t="str">
        <f>_xlfn.IFS(Table1[[#This Row],[Experience(Years)]]&lt;5, "Junior", I190&lt;=12, "Mid-Level", I190&lt;=20, "Senior", I190&lt;=30, "Super Senior", TRUE, "Expert")</f>
        <v>Senior</v>
      </c>
      <c r="K190" s="7">
        <v>40</v>
      </c>
      <c r="L190" s="7">
        <f>Table1[[#This Row],[Hourly Rate]]*1000</f>
        <v>40000</v>
      </c>
      <c r="M190" s="7" t="str">
        <f t="shared" si="2"/>
        <v>Standard</v>
      </c>
      <c r="N190" s="2">
        <f>IF(ISNUMBER(#REF!),#REF!, _xlfn.IFS( I190&gt;=30, 5, I190&gt;=25, 4.8, I190&gt;=15, 4, I190&gt;=10, 3.8, I190&gt;=5, 3, I190&gt;=2, 2.5, I190&gt;=0, 1.8, TRUE, 1.3))</f>
        <v>4</v>
      </c>
      <c r="O190" s="2" t="s">
        <v>2053</v>
      </c>
      <c r="P190" s="10">
        <v>0.88</v>
      </c>
      <c r="Q190" s="10" t="str">
        <f>_xlfn.IFS(Table1[[#This Row],[Rating]]&gt;=4, "Top Performer", Table1[[#This Row],[Rating]]&gt;=3, "Average", TRUE, "Needs Imporovement")</f>
        <v>Top Performer</v>
      </c>
    </row>
    <row r="191" spans="1:17" x14ac:dyDescent="0.3">
      <c r="A191" s="2" t="s">
        <v>427</v>
      </c>
      <c r="B191" s="2" t="s">
        <v>428</v>
      </c>
      <c r="C191" s="2" t="s">
        <v>49</v>
      </c>
      <c r="D191" s="2">
        <v>49</v>
      </c>
      <c r="E191" s="2" t="str">
        <f>_xlfn.IFS(Table1[[#This Row],[Age]]&lt;30, "18-29", D191&lt;=45,"30-45", D191&lt;=55, "46-55", TRUE, "55+")</f>
        <v>46-55</v>
      </c>
      <c r="F191" s="2" t="s">
        <v>145</v>
      </c>
      <c r="G191" s="2" t="s">
        <v>45</v>
      </c>
      <c r="H191" s="2" t="s">
        <v>14</v>
      </c>
      <c r="I191" s="5">
        <v>25</v>
      </c>
      <c r="J191" s="5" t="str">
        <f>_xlfn.IFS(Table1[[#This Row],[Experience(Years)]]&lt;5, "Junior", I191&lt;=12, "Mid-Level", I191&lt;=20, "Senior", I191&lt;=30, "Super Senior", TRUE, "Expert")</f>
        <v>Super Senior</v>
      </c>
      <c r="K191" s="7">
        <v>70</v>
      </c>
      <c r="L191" s="7">
        <f>Table1[[#This Row],[Hourly Rate]]*1000</f>
        <v>70000</v>
      </c>
      <c r="M191" s="7" t="str">
        <f t="shared" si="2"/>
        <v>Standard</v>
      </c>
      <c r="N191" s="2">
        <f>IF(ISNUMBER(#REF!),#REF!, _xlfn.IFS( I191&gt;=30, 5, I191&gt;=25, 4.8, I191&gt;=15, 4, I191&gt;=10, 3.8, I191&gt;=5, 3, I191&gt;=2, 2.5, I191&gt;=0, 1.8, TRUE, 1.3))</f>
        <v>4.8</v>
      </c>
      <c r="O191" s="2" t="s">
        <v>2052</v>
      </c>
      <c r="P191" s="10">
        <v>0.9</v>
      </c>
      <c r="Q191" s="10" t="str">
        <f>_xlfn.IFS(Table1[[#This Row],[Rating]]&gt;=4, "Top Performer", Table1[[#This Row],[Rating]]&gt;=3, "Average", TRUE, "Needs Imporovement")</f>
        <v>Top Performer</v>
      </c>
    </row>
    <row r="192" spans="1:17" x14ac:dyDescent="0.3">
      <c r="A192" s="2" t="s">
        <v>429</v>
      </c>
      <c r="B192" s="2" t="s">
        <v>430</v>
      </c>
      <c r="C192" s="2" t="s">
        <v>68</v>
      </c>
      <c r="D192" s="2">
        <v>21</v>
      </c>
      <c r="E192" s="2" t="str">
        <f>_xlfn.IFS(Table1[[#This Row],[Age]]&lt;30, "18-29", D192&lt;=45,"30-45", D192&lt;=55, "46-55", TRUE, "55+")</f>
        <v>18-29</v>
      </c>
      <c r="F192" s="2" t="s">
        <v>81</v>
      </c>
      <c r="G192" s="2" t="s">
        <v>82</v>
      </c>
      <c r="H192" s="2" t="s">
        <v>14</v>
      </c>
      <c r="I192" s="5">
        <v>1</v>
      </c>
      <c r="J192" s="5" t="str">
        <f>_xlfn.IFS(Table1[[#This Row],[Experience(Years)]]&lt;5, "Junior", I192&lt;=12, "Mid-Level", I192&lt;=20, "Senior", I192&lt;=30, "Super Senior", TRUE, "Expert")</f>
        <v>Junior</v>
      </c>
      <c r="K192" s="7">
        <v>75</v>
      </c>
      <c r="L192" s="7">
        <f>Table1[[#This Row],[Hourly Rate]]*1000</f>
        <v>75000</v>
      </c>
      <c r="M192" s="7" t="str">
        <f t="shared" si="2"/>
        <v>Standard</v>
      </c>
      <c r="N192" s="2">
        <f>IF(ISNUMBER(#REF!),#REF!, _xlfn.IFS( I192&gt;=30, 5, I192&gt;=25, 4.8, I192&gt;=15, 4, I192&gt;=10, 3.8, I192&gt;=5, 3, I192&gt;=2, 2.5, I192&gt;=0, 1.8, TRUE, 1.3))</f>
        <v>1.8</v>
      </c>
      <c r="O192" s="2" t="s">
        <v>2052</v>
      </c>
      <c r="P192" s="10">
        <v>0.92</v>
      </c>
      <c r="Q192" s="10" t="str">
        <f>_xlfn.IFS(Table1[[#This Row],[Rating]]&gt;=4, "Top Performer", Table1[[#This Row],[Rating]]&gt;=3, "Average", TRUE, "Needs Imporovement")</f>
        <v>Needs Imporovement</v>
      </c>
    </row>
    <row r="193" spans="1:17" x14ac:dyDescent="0.3">
      <c r="A193" s="2" t="s">
        <v>431</v>
      </c>
      <c r="B193" s="2" t="s">
        <v>432</v>
      </c>
      <c r="C193" s="2" t="s">
        <v>68</v>
      </c>
      <c r="D193" s="2">
        <v>58</v>
      </c>
      <c r="E193" s="2" t="str">
        <f>_xlfn.IFS(Table1[[#This Row],[Age]]&lt;30, "18-29", D193&lt;=45,"30-45", D193&lt;=55, "46-55", TRUE, "55+")</f>
        <v>55+</v>
      </c>
      <c r="F193" s="2" t="s">
        <v>7</v>
      </c>
      <c r="G193" s="2" t="s">
        <v>8</v>
      </c>
      <c r="H193" s="2" t="s">
        <v>14</v>
      </c>
      <c r="I193" s="5">
        <v>20</v>
      </c>
      <c r="J193" s="5" t="str">
        <f>_xlfn.IFS(Table1[[#This Row],[Experience(Years)]]&lt;5, "Junior", I193&lt;=12, "Mid-Level", I193&lt;=20, "Senior", I193&lt;=30, "Super Senior", TRUE, "Expert")</f>
        <v>Senior</v>
      </c>
      <c r="K193" s="7">
        <v>75</v>
      </c>
      <c r="L193" s="7">
        <f>Table1[[#This Row],[Hourly Rate]]*1000</f>
        <v>75000</v>
      </c>
      <c r="M193" s="7" t="str">
        <f t="shared" si="2"/>
        <v>Standard</v>
      </c>
      <c r="N193" s="2">
        <f>IF(ISNUMBER(#REF!),#REF!, _xlfn.IFS( I193&gt;=30, 5, I193&gt;=25, 4.8, I193&gt;=15, 4, I193&gt;=10, 3.8, I193&gt;=5, 3, I193&gt;=2, 2.5, I193&gt;=0, 1.8, TRUE, 1.3))</f>
        <v>4</v>
      </c>
      <c r="O193" s="2" t="s">
        <v>2052</v>
      </c>
      <c r="P193" s="10">
        <v>0.75</v>
      </c>
      <c r="Q193" s="10" t="str">
        <f>_xlfn.IFS(Table1[[#This Row],[Rating]]&gt;=4, "Top Performer", Table1[[#This Row],[Rating]]&gt;=3, "Average", TRUE, "Needs Imporovement")</f>
        <v>Top Performer</v>
      </c>
    </row>
    <row r="194" spans="1:17" x14ac:dyDescent="0.3">
      <c r="A194" s="2" t="s">
        <v>433</v>
      </c>
      <c r="B194" s="2" t="s">
        <v>228</v>
      </c>
      <c r="C194" s="2" t="s">
        <v>68</v>
      </c>
      <c r="D194" s="2">
        <v>41</v>
      </c>
      <c r="E194" s="2" t="str">
        <f>_xlfn.IFS(Table1[[#This Row],[Age]]&lt;30, "18-29", D194&lt;=45,"30-45", D194&lt;=55, "46-55", TRUE, "55+")</f>
        <v>30-45</v>
      </c>
      <c r="F194" s="2" t="s">
        <v>2</v>
      </c>
      <c r="G194" s="2" t="s">
        <v>3</v>
      </c>
      <c r="H194" s="2" t="s">
        <v>61</v>
      </c>
      <c r="I194" s="5">
        <v>22</v>
      </c>
      <c r="J194" s="5" t="str">
        <f>_xlfn.IFS(Table1[[#This Row],[Experience(Years)]]&lt;5, "Junior", I194&lt;=12, "Mid-Level", I194&lt;=20, "Senior", I194&lt;=30, "Super Senior", TRUE, "Expert")</f>
        <v>Super Senior</v>
      </c>
      <c r="K194" s="7">
        <v>30</v>
      </c>
      <c r="L194" s="7">
        <f>Table1[[#This Row],[Hourly Rate]]*1000</f>
        <v>30000</v>
      </c>
      <c r="M194" s="7" t="str">
        <f t="shared" ref="M194:M257" si="3">_xlfn.IFS(K194&lt;40, "Budget", K194&lt;=80, "Standard", TRUE, "Premium")</f>
        <v>Budget</v>
      </c>
      <c r="N194" s="2">
        <f>IF(ISNUMBER(#REF!),#REF!, _xlfn.IFS( I194&gt;=30, 5, I194&gt;=25, 4.8, I194&gt;=15, 4, I194&gt;=10, 3.8, I194&gt;=5, 3, I194&gt;=2, 2.5, I194&gt;=0, 1.8, TRUE, 1.3))</f>
        <v>4</v>
      </c>
      <c r="O194" s="2" t="s">
        <v>2052</v>
      </c>
      <c r="P194" s="10">
        <v>0.74</v>
      </c>
      <c r="Q194" s="10" t="str">
        <f>_xlfn.IFS(Table1[[#This Row],[Rating]]&gt;=4, "Top Performer", Table1[[#This Row],[Rating]]&gt;=3, "Average", TRUE, "Needs Imporovement")</f>
        <v>Top Performer</v>
      </c>
    </row>
    <row r="195" spans="1:17" x14ac:dyDescent="0.3">
      <c r="A195" s="2" t="s">
        <v>434</v>
      </c>
      <c r="B195" s="2" t="s">
        <v>435</v>
      </c>
      <c r="C195" s="2" t="s">
        <v>49</v>
      </c>
      <c r="D195" s="2">
        <v>58</v>
      </c>
      <c r="E195" s="2" t="str">
        <f>_xlfn.IFS(Table1[[#This Row],[Age]]&lt;30, "18-29", D195&lt;=45,"30-45", D195&lt;=55, "46-55", TRUE, "55+")</f>
        <v>55+</v>
      </c>
      <c r="F195" s="2" t="s">
        <v>92</v>
      </c>
      <c r="G195" s="2" t="s">
        <v>93</v>
      </c>
      <c r="H195" s="2" t="s">
        <v>4</v>
      </c>
      <c r="I195" s="5">
        <v>25</v>
      </c>
      <c r="J195" s="5" t="str">
        <f>_xlfn.IFS(Table1[[#This Row],[Experience(Years)]]&lt;5, "Junior", I195&lt;=12, "Mid-Level", I195&lt;=20, "Senior", I195&lt;=30, "Super Senior", TRUE, "Expert")</f>
        <v>Super Senior</v>
      </c>
      <c r="K195" s="7">
        <v>30</v>
      </c>
      <c r="L195" s="7">
        <f>Table1[[#This Row],[Hourly Rate]]*1000</f>
        <v>30000</v>
      </c>
      <c r="M195" s="7" t="str">
        <f t="shared" si="3"/>
        <v>Budget</v>
      </c>
      <c r="N195" s="2">
        <f>IF(ISNUMBER(#REF!),#REF!, _xlfn.IFS( I195&gt;=30, 5, I195&gt;=25, 4.8, I195&gt;=15, 4, I195&gt;=10, 3.8, I195&gt;=5, 3, I195&gt;=2, 2.5, I195&gt;=0, 1.8, TRUE, 1.3))</f>
        <v>4.8</v>
      </c>
      <c r="O195" s="2" t="s">
        <v>2053</v>
      </c>
      <c r="P195" s="10">
        <v>0.71</v>
      </c>
      <c r="Q195" s="10" t="str">
        <f>_xlfn.IFS(Table1[[#This Row],[Rating]]&gt;=4, "Top Performer", Table1[[#This Row],[Rating]]&gt;=3, "Average", TRUE, "Needs Imporovement")</f>
        <v>Top Performer</v>
      </c>
    </row>
    <row r="196" spans="1:17" x14ac:dyDescent="0.3">
      <c r="A196" s="2" t="s">
        <v>436</v>
      </c>
      <c r="B196" s="2" t="s">
        <v>437</v>
      </c>
      <c r="C196" s="2" t="s">
        <v>49</v>
      </c>
      <c r="D196" s="2">
        <v>50</v>
      </c>
      <c r="E196" s="2" t="str">
        <f>_xlfn.IFS(Table1[[#This Row],[Age]]&lt;30, "18-29", D196&lt;=45,"30-45", D196&lt;=55, "46-55", TRUE, "55+")</f>
        <v>46-55</v>
      </c>
      <c r="F196" s="2" t="s">
        <v>121</v>
      </c>
      <c r="G196" s="2" t="s">
        <v>122</v>
      </c>
      <c r="H196" s="2" t="s">
        <v>14</v>
      </c>
      <c r="I196" s="5">
        <v>20</v>
      </c>
      <c r="J196" s="5" t="str">
        <f>_xlfn.IFS(Table1[[#This Row],[Experience(Years)]]&lt;5, "Junior", I196&lt;=12, "Mid-Level", I196&lt;=20, "Senior", I196&lt;=30, "Super Senior", TRUE, "Expert")</f>
        <v>Senior</v>
      </c>
      <c r="K196" s="7">
        <v>40</v>
      </c>
      <c r="L196" s="7">
        <f>Table1[[#This Row],[Hourly Rate]]*1000</f>
        <v>40000</v>
      </c>
      <c r="M196" s="7" t="str">
        <f t="shared" si="3"/>
        <v>Standard</v>
      </c>
      <c r="N196" s="2">
        <f>IF(ISNUMBER(#REF!),#REF!, _xlfn.IFS( I196&gt;=30, 5, I196&gt;=25, 4.8, I196&gt;=15, 4, I196&gt;=10, 3.8, I196&gt;=5, 3, I196&gt;=2, 2.5, I196&gt;=0, 1.8, TRUE, 1.3))</f>
        <v>4</v>
      </c>
      <c r="O196" s="2" t="s">
        <v>2053</v>
      </c>
      <c r="P196" s="10">
        <v>0.89</v>
      </c>
      <c r="Q196" s="10" t="str">
        <f>_xlfn.IFS(Table1[[#This Row],[Rating]]&gt;=4, "Top Performer", Table1[[#This Row],[Rating]]&gt;=3, "Average", TRUE, "Needs Imporovement")</f>
        <v>Top Performer</v>
      </c>
    </row>
    <row r="197" spans="1:17" x14ac:dyDescent="0.3">
      <c r="A197" s="2" t="s">
        <v>438</v>
      </c>
      <c r="B197" s="2" t="s">
        <v>439</v>
      </c>
      <c r="C197" s="2" t="s">
        <v>68</v>
      </c>
      <c r="D197" s="2">
        <v>52</v>
      </c>
      <c r="E197" s="2" t="str">
        <f>_xlfn.IFS(Table1[[#This Row],[Age]]&lt;30, "18-29", D197&lt;=45,"30-45", D197&lt;=55, "46-55", TRUE, "55+")</f>
        <v>46-55</v>
      </c>
      <c r="F197" s="2" t="s">
        <v>27</v>
      </c>
      <c r="G197" s="2" t="s">
        <v>28</v>
      </c>
      <c r="H197" s="2" t="s">
        <v>17</v>
      </c>
      <c r="I197" s="5">
        <v>33</v>
      </c>
      <c r="J197" s="5" t="str">
        <f>_xlfn.IFS(Table1[[#This Row],[Experience(Years)]]&lt;5, "Junior", I197&lt;=12, "Mid-Level", I197&lt;=20, "Senior", I197&lt;=30, "Super Senior", TRUE, "Expert")</f>
        <v>Expert</v>
      </c>
      <c r="K197" s="7">
        <v>100</v>
      </c>
      <c r="L197" s="7">
        <f>Table1[[#This Row],[Hourly Rate]]*1000</f>
        <v>100000</v>
      </c>
      <c r="M197" s="7" t="str">
        <f t="shared" si="3"/>
        <v>Premium</v>
      </c>
      <c r="N197" s="2">
        <f>IF(ISNUMBER(#REF!),#REF!, _xlfn.IFS( I197&gt;=30, 5, I197&gt;=25, 4.8, I197&gt;=15, 4, I197&gt;=10, 3.8, I197&gt;=5, 3, I197&gt;=2, 2.5, I197&gt;=0, 1.8, TRUE, 1.3))</f>
        <v>5</v>
      </c>
      <c r="O197" s="2" t="str">
        <f>IF(AND( Table1[[#This Row],[Rating]]&gt;=3.5, Table1[[#This Row],[Experience(Years)]]&gt;=15), "Active", "Inactive")</f>
        <v>Active</v>
      </c>
      <c r="P197" s="10">
        <v>0.66</v>
      </c>
      <c r="Q197" s="10" t="str">
        <f>_xlfn.IFS(Table1[[#This Row],[Rating]]&gt;=4, "Top Performer", Table1[[#This Row],[Rating]]&gt;=3, "Average", TRUE, "Needs Imporovement")</f>
        <v>Top Performer</v>
      </c>
    </row>
    <row r="198" spans="1:17" x14ac:dyDescent="0.3">
      <c r="A198" s="2" t="s">
        <v>440</v>
      </c>
      <c r="B198" s="2" t="s">
        <v>441</v>
      </c>
      <c r="C198" s="2" t="s">
        <v>68</v>
      </c>
      <c r="D198" s="2">
        <v>34</v>
      </c>
      <c r="E198" s="2" t="str">
        <f>_xlfn.IFS(Table1[[#This Row],[Age]]&lt;30, "18-29", D198&lt;=45,"30-45", D198&lt;=55, "46-55", TRUE, "55+")</f>
        <v>30-45</v>
      </c>
      <c r="F198" s="2" t="s">
        <v>22</v>
      </c>
      <c r="G198" s="2" t="s">
        <v>23</v>
      </c>
      <c r="H198" s="2" t="s">
        <v>29</v>
      </c>
      <c r="I198" s="5">
        <v>6</v>
      </c>
      <c r="J198" s="5" t="str">
        <f>_xlfn.IFS(Table1[[#This Row],[Experience(Years)]]&lt;5, "Junior", I198&lt;=12, "Mid-Level", I198&lt;=20, "Senior", I198&lt;=30, "Super Senior", TRUE, "Expert")</f>
        <v>Mid-Level</v>
      </c>
      <c r="K198" s="7">
        <v>100</v>
      </c>
      <c r="L198" s="7">
        <f>Table1[[#This Row],[Hourly Rate]]*1000</f>
        <v>100000</v>
      </c>
      <c r="M198" s="7" t="str">
        <f t="shared" si="3"/>
        <v>Premium</v>
      </c>
      <c r="N198" s="2">
        <f>IF(ISNUMBER(#REF!),#REF!, _xlfn.IFS( I198&gt;=30, 5, I198&gt;=25, 4.8, I198&gt;=15, 4, I198&gt;=10, 3.8, I198&gt;=5, 3, I198&gt;=2, 2.5, I198&gt;=0, 1.8, TRUE, 1.3))</f>
        <v>3</v>
      </c>
      <c r="O198" s="2" t="s">
        <v>2052</v>
      </c>
      <c r="P198" s="10">
        <v>0.6</v>
      </c>
      <c r="Q198" s="10" t="str">
        <f>_xlfn.IFS(Table1[[#This Row],[Rating]]&gt;=4, "Top Performer", Table1[[#This Row],[Rating]]&gt;=3, "Average", TRUE, "Needs Imporovement")</f>
        <v>Average</v>
      </c>
    </row>
    <row r="199" spans="1:17" x14ac:dyDescent="0.3">
      <c r="A199" s="2" t="s">
        <v>442</v>
      </c>
      <c r="B199" s="2" t="s">
        <v>443</v>
      </c>
      <c r="C199" s="2" t="s">
        <v>68</v>
      </c>
      <c r="D199" s="2">
        <v>32</v>
      </c>
      <c r="E199" s="2" t="str">
        <f>_xlfn.IFS(Table1[[#This Row],[Age]]&lt;30, "18-29", D199&lt;=45,"30-45", D199&lt;=55, "46-55", TRUE, "55+")</f>
        <v>30-45</v>
      </c>
      <c r="F199" s="2" t="s">
        <v>103</v>
      </c>
      <c r="G199" s="2" t="s">
        <v>104</v>
      </c>
      <c r="H199" s="2" t="s">
        <v>83</v>
      </c>
      <c r="I199" s="5">
        <v>11</v>
      </c>
      <c r="J199" s="5" t="str">
        <f>_xlfn.IFS(Table1[[#This Row],[Experience(Years)]]&lt;5, "Junior", I199&lt;=12, "Mid-Level", I199&lt;=20, "Senior", I199&lt;=30, "Super Senior", TRUE, "Expert")</f>
        <v>Mid-Level</v>
      </c>
      <c r="K199" s="7">
        <v>40</v>
      </c>
      <c r="L199" s="7">
        <f>Table1[[#This Row],[Hourly Rate]]*1000</f>
        <v>40000</v>
      </c>
      <c r="M199" s="7" t="str">
        <f t="shared" si="3"/>
        <v>Standard</v>
      </c>
      <c r="N199" s="2">
        <f>IF(ISNUMBER(#REF!),#REF!, _xlfn.IFS( I199&gt;=30, 5, I199&gt;=25, 4.8, I199&gt;=15, 4, I199&gt;=10, 3.8, I199&gt;=5, 3, I199&gt;=2, 2.5, I199&gt;=0, 1.8, TRUE, 1.3))</f>
        <v>3.8</v>
      </c>
      <c r="O199" s="2" t="s">
        <v>2053</v>
      </c>
      <c r="P199" s="10">
        <v>0.86</v>
      </c>
      <c r="Q199" s="10" t="str">
        <f>_xlfn.IFS(Table1[[#This Row],[Rating]]&gt;=4, "Top Performer", Table1[[#This Row],[Rating]]&gt;=3, "Average", TRUE, "Needs Imporovement")</f>
        <v>Average</v>
      </c>
    </row>
    <row r="200" spans="1:17" x14ac:dyDescent="0.3">
      <c r="A200" s="2" t="s">
        <v>444</v>
      </c>
      <c r="B200" s="2" t="s">
        <v>445</v>
      </c>
      <c r="C200" s="2" t="s">
        <v>49</v>
      </c>
      <c r="D200" s="2">
        <v>50</v>
      </c>
      <c r="E200" s="2" t="str">
        <f>_xlfn.IFS(Table1[[#This Row],[Age]]&lt;30, "18-29", D200&lt;=45,"30-45", D200&lt;=55, "46-55", TRUE, "55+")</f>
        <v>46-55</v>
      </c>
      <c r="F200" s="2" t="s">
        <v>64</v>
      </c>
      <c r="G200" s="2" t="s">
        <v>65</v>
      </c>
      <c r="H200" s="2" t="s">
        <v>14</v>
      </c>
      <c r="I200" s="5">
        <v>28</v>
      </c>
      <c r="J200" s="5" t="str">
        <f>_xlfn.IFS(Table1[[#This Row],[Experience(Years)]]&lt;5, "Junior", I200&lt;=12, "Mid-Level", I200&lt;=20, "Senior", I200&lt;=30, "Super Senior", TRUE, "Expert")</f>
        <v>Super Senior</v>
      </c>
      <c r="K200" s="7">
        <v>100</v>
      </c>
      <c r="L200" s="7">
        <f>Table1[[#This Row],[Hourly Rate]]*1000</f>
        <v>100000</v>
      </c>
      <c r="M200" s="7" t="str">
        <f t="shared" si="3"/>
        <v>Premium</v>
      </c>
      <c r="N200" s="2">
        <f>IF(ISNUMBER(#REF!),#REF!, _xlfn.IFS( I200&gt;=30, 5, I200&gt;=25, 4.8, I200&gt;=15, 4, I200&gt;=10, 3.8, I200&gt;=5, 3, I200&gt;=2, 2.5, I200&gt;=0, 1.8, TRUE, 1.3))</f>
        <v>4.8</v>
      </c>
      <c r="O200" s="2" t="s">
        <v>2053</v>
      </c>
      <c r="P200" s="10">
        <v>0.86</v>
      </c>
      <c r="Q200" s="10" t="str">
        <f>_xlfn.IFS(Table1[[#This Row],[Rating]]&gt;=4, "Top Performer", Table1[[#This Row],[Rating]]&gt;=3, "Average", TRUE, "Needs Imporovement")</f>
        <v>Top Performer</v>
      </c>
    </row>
    <row r="201" spans="1:17" x14ac:dyDescent="0.3">
      <c r="A201" s="2" t="s">
        <v>446</v>
      </c>
      <c r="B201" s="2" t="s">
        <v>447</v>
      </c>
      <c r="C201" s="2" t="s">
        <v>49</v>
      </c>
      <c r="D201" s="2">
        <v>39</v>
      </c>
      <c r="E201" s="2" t="str">
        <f>_xlfn.IFS(Table1[[#This Row],[Age]]&lt;30, "18-29", D201&lt;=45,"30-45", D201&lt;=55, "46-55", TRUE, "55+")</f>
        <v>30-45</v>
      </c>
      <c r="F201" s="2" t="s">
        <v>44</v>
      </c>
      <c r="G201" s="2" t="s">
        <v>45</v>
      </c>
      <c r="H201" s="2" t="s">
        <v>29</v>
      </c>
      <c r="I201" s="5">
        <v>11</v>
      </c>
      <c r="J201" s="5" t="str">
        <f>_xlfn.IFS(Table1[[#This Row],[Experience(Years)]]&lt;5, "Junior", I201&lt;=12, "Mid-Level", I201&lt;=20, "Senior", I201&lt;=30, "Super Senior", TRUE, "Expert")</f>
        <v>Mid-Level</v>
      </c>
      <c r="K201" s="7">
        <v>100</v>
      </c>
      <c r="L201" s="7">
        <f>Table1[[#This Row],[Hourly Rate]]*1000</f>
        <v>100000</v>
      </c>
      <c r="M201" s="7" t="str">
        <f t="shared" si="3"/>
        <v>Premium</v>
      </c>
      <c r="N201" s="2">
        <f>IF(ISNUMBER(#REF!),#REF!, _xlfn.IFS( I201&gt;=30, 5, I201&gt;=25, 4.8, I201&gt;=15, 4, I201&gt;=10, 3.8, I201&gt;=5, 3, I201&gt;=2, 2.5, I201&gt;=0, 1.8, TRUE, 1.3))</f>
        <v>3.8</v>
      </c>
      <c r="O201" s="2" t="s">
        <v>2053</v>
      </c>
      <c r="P201" s="10">
        <v>0.82</v>
      </c>
      <c r="Q201" s="10" t="str">
        <f>_xlfn.IFS(Table1[[#This Row],[Rating]]&gt;=4, "Top Performer", Table1[[#This Row],[Rating]]&gt;=3, "Average", TRUE, "Needs Imporovement")</f>
        <v>Average</v>
      </c>
    </row>
    <row r="202" spans="1:17" x14ac:dyDescent="0.3">
      <c r="A202" s="2" t="s">
        <v>448</v>
      </c>
      <c r="B202" s="2" t="s">
        <v>449</v>
      </c>
      <c r="C202" s="2" t="s">
        <v>49</v>
      </c>
      <c r="D202" s="2">
        <v>25</v>
      </c>
      <c r="E202" s="2" t="str">
        <f>_xlfn.IFS(Table1[[#This Row],[Age]]&lt;30, "18-29", D202&lt;=45,"30-45", D202&lt;=55, "46-55", TRUE, "55+")</f>
        <v>18-29</v>
      </c>
      <c r="F202" s="2" t="s">
        <v>156</v>
      </c>
      <c r="G202" s="2" t="s">
        <v>45</v>
      </c>
      <c r="H202" s="2" t="s">
        <v>24</v>
      </c>
      <c r="I202" s="5">
        <v>2</v>
      </c>
      <c r="J202" s="5" t="str">
        <f>_xlfn.IFS(Table1[[#This Row],[Experience(Years)]]&lt;5, "Junior", I202&lt;=12, "Mid-Level", I202&lt;=20, "Senior", I202&lt;=30, "Super Senior", TRUE, "Expert")</f>
        <v>Junior</v>
      </c>
      <c r="K202" s="7">
        <v>100</v>
      </c>
      <c r="L202" s="7">
        <f>Table1[[#This Row],[Hourly Rate]]*1000</f>
        <v>100000</v>
      </c>
      <c r="M202" s="7" t="str">
        <f t="shared" si="3"/>
        <v>Premium</v>
      </c>
      <c r="N202" s="2">
        <f>IF(ISNUMBER(#REF!),#REF!, _xlfn.IFS( I202&gt;=30, 5, I202&gt;=25, 4.8, I202&gt;=15, 4, I202&gt;=10, 3.8, I202&gt;=5, 3, I202&gt;=2, 2.5, I202&gt;=0, 1.8, TRUE, 1.3))</f>
        <v>2.5</v>
      </c>
      <c r="O202" s="2" t="s">
        <v>2052</v>
      </c>
      <c r="P202" s="10">
        <v>0.87</v>
      </c>
      <c r="Q202" s="10" t="str">
        <f>_xlfn.IFS(Table1[[#This Row],[Rating]]&gt;=4, "Top Performer", Table1[[#This Row],[Rating]]&gt;=3, "Average", TRUE, "Needs Imporovement")</f>
        <v>Needs Imporovement</v>
      </c>
    </row>
    <row r="203" spans="1:17" x14ac:dyDescent="0.3">
      <c r="A203" s="2" t="s">
        <v>450</v>
      </c>
      <c r="B203" s="2" t="s">
        <v>451</v>
      </c>
      <c r="C203" s="2" t="s">
        <v>49</v>
      </c>
      <c r="D203" s="2">
        <v>55</v>
      </c>
      <c r="E203" s="2" t="str">
        <f>_xlfn.IFS(Table1[[#This Row],[Age]]&lt;30, "18-29", D203&lt;=45,"30-45", D203&lt;=55, "46-55", TRUE, "55+")</f>
        <v>46-55</v>
      </c>
      <c r="F203" s="2" t="s">
        <v>141</v>
      </c>
      <c r="G203" s="2" t="s">
        <v>142</v>
      </c>
      <c r="H203" s="2" t="s">
        <v>83</v>
      </c>
      <c r="I203" s="5">
        <v>7</v>
      </c>
      <c r="J203" s="5" t="str">
        <f>_xlfn.IFS(Table1[[#This Row],[Experience(Years)]]&lt;5, "Junior", I203&lt;=12, "Mid-Level", I203&lt;=20, "Senior", I203&lt;=30, "Super Senior", TRUE, "Expert")</f>
        <v>Mid-Level</v>
      </c>
      <c r="K203" s="7">
        <v>100</v>
      </c>
      <c r="L203" s="7">
        <f>Table1[[#This Row],[Hourly Rate]]*1000</f>
        <v>100000</v>
      </c>
      <c r="M203" s="7" t="str">
        <f t="shared" si="3"/>
        <v>Premium</v>
      </c>
      <c r="N203" s="2">
        <f>IF(ISNUMBER(#REF!),#REF!, _xlfn.IFS( I203&gt;=30, 5, I203&gt;=25, 4.8, I203&gt;=15, 4, I203&gt;=10, 3.8, I203&gt;=5, 3, I203&gt;=2, 2.5, I203&gt;=0, 1.8, TRUE, 1.3))</f>
        <v>3</v>
      </c>
      <c r="O203" s="2" t="s">
        <v>2053</v>
      </c>
      <c r="P203" s="10">
        <v>0.8</v>
      </c>
      <c r="Q203" s="10" t="str">
        <f>_xlfn.IFS(Table1[[#This Row],[Rating]]&gt;=4, "Top Performer", Table1[[#This Row],[Rating]]&gt;=3, "Average", TRUE, "Needs Imporovement")</f>
        <v>Average</v>
      </c>
    </row>
    <row r="204" spans="1:17" x14ac:dyDescent="0.3">
      <c r="A204" s="2" t="s">
        <v>452</v>
      </c>
      <c r="B204" s="2" t="s">
        <v>453</v>
      </c>
      <c r="C204" s="2" t="s">
        <v>68</v>
      </c>
      <c r="D204" s="2">
        <v>42</v>
      </c>
      <c r="E204" s="2" t="str">
        <f>_xlfn.IFS(Table1[[#This Row],[Age]]&lt;30, "18-29", D204&lt;=45,"30-45", D204&lt;=55, "46-55", TRUE, "55+")</f>
        <v>30-45</v>
      </c>
      <c r="F204" s="2" t="s">
        <v>2</v>
      </c>
      <c r="G204" s="2" t="s">
        <v>3</v>
      </c>
      <c r="H204" s="2" t="s">
        <v>61</v>
      </c>
      <c r="I204" s="5">
        <v>10</v>
      </c>
      <c r="J204" s="5" t="str">
        <f>_xlfn.IFS(Table1[[#This Row],[Experience(Years)]]&lt;5, "Junior", I204&lt;=12, "Mid-Level", I204&lt;=20, "Senior", I204&lt;=30, "Super Senior", TRUE, "Expert")</f>
        <v>Mid-Level</v>
      </c>
      <c r="K204" s="7">
        <v>100</v>
      </c>
      <c r="L204" s="7">
        <f>Table1[[#This Row],[Hourly Rate]]*1000</f>
        <v>100000</v>
      </c>
      <c r="M204" s="7" t="str">
        <f t="shared" si="3"/>
        <v>Premium</v>
      </c>
      <c r="N204" s="2">
        <f>IF(ISNUMBER(#REF!),#REF!, _xlfn.IFS( I204&gt;=30, 5, I204&gt;=25, 4.8, I204&gt;=15, 4, I204&gt;=10, 3.8, I204&gt;=5, 3, I204&gt;=2, 2.5, I204&gt;=0, 1.8, TRUE, 1.3))</f>
        <v>3.8</v>
      </c>
      <c r="O204" s="2" t="s">
        <v>2053</v>
      </c>
      <c r="P204" s="10">
        <v>0.71</v>
      </c>
      <c r="Q204" s="10" t="str">
        <f>_xlfn.IFS(Table1[[#This Row],[Rating]]&gt;=4, "Top Performer", Table1[[#This Row],[Rating]]&gt;=3, "Average", TRUE, "Needs Imporovement")</f>
        <v>Average</v>
      </c>
    </row>
    <row r="205" spans="1:17" x14ac:dyDescent="0.3">
      <c r="A205" s="2" t="s">
        <v>454</v>
      </c>
      <c r="B205" s="2" t="s">
        <v>455</v>
      </c>
      <c r="C205" s="2" t="s">
        <v>68</v>
      </c>
      <c r="D205" s="2">
        <v>43</v>
      </c>
      <c r="E205" s="2" t="str">
        <f>_xlfn.IFS(Table1[[#This Row],[Age]]&lt;30, "18-29", D205&lt;=45,"30-45", D205&lt;=55, "46-55", TRUE, "55+")</f>
        <v>30-45</v>
      </c>
      <c r="F205" s="2" t="s">
        <v>92</v>
      </c>
      <c r="G205" s="2" t="s">
        <v>93</v>
      </c>
      <c r="H205" s="2" t="s">
        <v>9</v>
      </c>
      <c r="I205" s="5">
        <v>6</v>
      </c>
      <c r="J205" s="5" t="str">
        <f>_xlfn.IFS(Table1[[#This Row],[Experience(Years)]]&lt;5, "Junior", I205&lt;=12, "Mid-Level", I205&lt;=20, "Senior", I205&lt;=30, "Super Senior", TRUE, "Expert")</f>
        <v>Mid-Level</v>
      </c>
      <c r="K205" s="7">
        <v>50</v>
      </c>
      <c r="L205" s="7">
        <f>Table1[[#This Row],[Hourly Rate]]*1000</f>
        <v>50000</v>
      </c>
      <c r="M205" s="7" t="str">
        <f t="shared" si="3"/>
        <v>Standard</v>
      </c>
      <c r="N205" s="2">
        <f>IF(ISNUMBER(#REF!),#REF!, _xlfn.IFS( I205&gt;=30, 5, I205&gt;=25, 4.8, I205&gt;=15, 4, I205&gt;=10, 3.8, I205&gt;=5, 3, I205&gt;=2, 2.5, I205&gt;=0, 1.8, TRUE, 1.3))</f>
        <v>3</v>
      </c>
      <c r="O205" s="2" t="s">
        <v>2052</v>
      </c>
      <c r="P205" s="10">
        <v>0.77</v>
      </c>
      <c r="Q205" s="10" t="str">
        <f>_xlfn.IFS(Table1[[#This Row],[Rating]]&gt;=4, "Top Performer", Table1[[#This Row],[Rating]]&gt;=3, "Average", TRUE, "Needs Imporovement")</f>
        <v>Average</v>
      </c>
    </row>
    <row r="206" spans="1:17" x14ac:dyDescent="0.3">
      <c r="A206" s="2" t="s">
        <v>456</v>
      </c>
      <c r="B206" s="2" t="s">
        <v>457</v>
      </c>
      <c r="C206" s="2" t="s">
        <v>68</v>
      </c>
      <c r="D206" s="2">
        <v>54</v>
      </c>
      <c r="E206" s="2" t="str">
        <f>_xlfn.IFS(Table1[[#This Row],[Age]]&lt;30, "18-29", D206&lt;=45,"30-45", D206&lt;=55, "46-55", TRUE, "55+")</f>
        <v>46-55</v>
      </c>
      <c r="F206" s="2" t="s">
        <v>2</v>
      </c>
      <c r="G206" s="2" t="s">
        <v>3</v>
      </c>
      <c r="H206" s="2" t="s">
        <v>61</v>
      </c>
      <c r="I206" s="5">
        <v>29</v>
      </c>
      <c r="J206" s="5" t="str">
        <f>_xlfn.IFS(Table1[[#This Row],[Experience(Years)]]&lt;5, "Junior", I206&lt;=12, "Mid-Level", I206&lt;=20, "Senior", I206&lt;=30, "Super Senior", TRUE, "Expert")</f>
        <v>Super Senior</v>
      </c>
      <c r="K206" s="7">
        <v>30</v>
      </c>
      <c r="L206" s="7">
        <f>Table1[[#This Row],[Hourly Rate]]*1000</f>
        <v>30000</v>
      </c>
      <c r="M206" s="7" t="str">
        <f t="shared" si="3"/>
        <v>Budget</v>
      </c>
      <c r="N206" s="2">
        <f>IF(ISNUMBER(#REF!),#REF!, _xlfn.IFS( I206&gt;=30, 5, I206&gt;=25, 4.8, I206&gt;=15, 4, I206&gt;=10, 3.8, I206&gt;=5, 3, I206&gt;=2, 2.5, I206&gt;=0, 1.8, TRUE, 1.3))</f>
        <v>4.8</v>
      </c>
      <c r="O206" s="2" t="s">
        <v>2052</v>
      </c>
      <c r="P206" s="10">
        <v>0.68</v>
      </c>
      <c r="Q206" s="10" t="str">
        <f>_xlfn.IFS(Table1[[#This Row],[Rating]]&gt;=4, "Top Performer", Table1[[#This Row],[Rating]]&gt;=3, "Average", TRUE, "Needs Imporovement")</f>
        <v>Top Performer</v>
      </c>
    </row>
    <row r="207" spans="1:17" x14ac:dyDescent="0.3">
      <c r="A207" s="2" t="s">
        <v>458</v>
      </c>
      <c r="B207" s="2" t="s">
        <v>459</v>
      </c>
      <c r="C207" s="2" t="s">
        <v>49</v>
      </c>
      <c r="D207" s="2">
        <v>21</v>
      </c>
      <c r="E207" s="2" t="str">
        <f>_xlfn.IFS(Table1[[#This Row],[Age]]&lt;30, "18-29", D207&lt;=45,"30-45", D207&lt;=55, "46-55", TRUE, "55+")</f>
        <v>18-29</v>
      </c>
      <c r="F207" s="2" t="s">
        <v>107</v>
      </c>
      <c r="G207" s="2" t="s">
        <v>108</v>
      </c>
      <c r="H207" s="2" t="s">
        <v>14</v>
      </c>
      <c r="I207" s="5">
        <v>0</v>
      </c>
      <c r="J207" s="5" t="str">
        <f>_xlfn.IFS(Table1[[#This Row],[Experience(Years)]]&lt;5, "Junior", I207&lt;=12, "Mid-Level", I207&lt;=20, "Senior", I207&lt;=30, "Super Senior", TRUE, "Expert")</f>
        <v>Junior</v>
      </c>
      <c r="K207" s="7">
        <v>20</v>
      </c>
      <c r="L207" s="7">
        <f>Table1[[#This Row],[Hourly Rate]]*1000</f>
        <v>20000</v>
      </c>
      <c r="M207" s="7" t="str">
        <f t="shared" si="3"/>
        <v>Budget</v>
      </c>
      <c r="N207" s="2">
        <f>IF(ISNUMBER(#REF!),#REF!, _xlfn.IFS( I207&gt;=30, 5, I207&gt;=25, 4.8, I207&gt;=15, 4, I207&gt;=10, 3.8, I207&gt;=5, 3, I207&gt;=2, 2.5, I207&gt;=0, 1.8, TRUE, 1.3))</f>
        <v>1.8</v>
      </c>
      <c r="O207" s="2" t="s">
        <v>2052</v>
      </c>
      <c r="P207" s="10">
        <v>0.91</v>
      </c>
      <c r="Q207" s="10" t="str">
        <f>_xlfn.IFS(Table1[[#This Row],[Rating]]&gt;=4, "Top Performer", Table1[[#This Row],[Rating]]&gt;=3, "Average", TRUE, "Needs Imporovement")</f>
        <v>Needs Imporovement</v>
      </c>
    </row>
    <row r="208" spans="1:17" x14ac:dyDescent="0.3">
      <c r="A208" s="2" t="s">
        <v>460</v>
      </c>
      <c r="B208" s="2" t="s">
        <v>461</v>
      </c>
      <c r="C208" s="2" t="s">
        <v>68</v>
      </c>
      <c r="D208" s="2">
        <v>46</v>
      </c>
      <c r="E208" s="2" t="str">
        <f>_xlfn.IFS(Table1[[#This Row],[Age]]&lt;30, "18-29", D208&lt;=45,"30-45", D208&lt;=55, "46-55", TRUE, "55+")</f>
        <v>46-55</v>
      </c>
      <c r="F208" s="2" t="s">
        <v>96</v>
      </c>
      <c r="G208" s="2" t="s">
        <v>8</v>
      </c>
      <c r="H208" s="2" t="s">
        <v>46</v>
      </c>
      <c r="I208" s="5">
        <v>5</v>
      </c>
      <c r="J208" s="5" t="str">
        <f>_xlfn.IFS(Table1[[#This Row],[Experience(Years)]]&lt;5, "Junior", I208&lt;=12, "Mid-Level", I208&lt;=20, "Senior", I208&lt;=30, "Super Senior", TRUE, "Expert")</f>
        <v>Mid-Level</v>
      </c>
      <c r="K208" s="7">
        <v>20</v>
      </c>
      <c r="L208" s="7">
        <f>Table1[[#This Row],[Hourly Rate]]*1000</f>
        <v>20000</v>
      </c>
      <c r="M208" s="7" t="str">
        <f t="shared" si="3"/>
        <v>Budget</v>
      </c>
      <c r="N208" s="2">
        <f>IF(ISNUMBER(#REF!),#REF!, _xlfn.IFS( I208&gt;=30, 5, I208&gt;=25, 4.8, I208&gt;=15, 4, I208&gt;=10, 3.8, I208&gt;=5, 3, I208&gt;=2, 2.5, I208&gt;=0, 1.8, TRUE, 1.3))</f>
        <v>3</v>
      </c>
      <c r="O208" s="2" t="s">
        <v>2052</v>
      </c>
      <c r="P208" s="10">
        <v>0.75</v>
      </c>
      <c r="Q208" s="10" t="str">
        <f>_xlfn.IFS(Table1[[#This Row],[Rating]]&gt;=4, "Top Performer", Table1[[#This Row],[Rating]]&gt;=3, "Average", TRUE, "Needs Imporovement")</f>
        <v>Average</v>
      </c>
    </row>
    <row r="209" spans="1:17" x14ac:dyDescent="0.3">
      <c r="A209" s="2" t="s">
        <v>462</v>
      </c>
      <c r="B209" s="2" t="s">
        <v>463</v>
      </c>
      <c r="C209" s="2" t="s">
        <v>49</v>
      </c>
      <c r="D209" s="2">
        <v>30</v>
      </c>
      <c r="E209" s="2" t="str">
        <f>_xlfn.IFS(Table1[[#This Row],[Age]]&lt;30, "18-29", D209&lt;=45,"30-45", D209&lt;=55, "46-55", TRUE, "55+")</f>
        <v>30-45</v>
      </c>
      <c r="F209" s="2" t="s">
        <v>156</v>
      </c>
      <c r="G209" s="2" t="s">
        <v>45</v>
      </c>
      <c r="H209" s="2" t="s">
        <v>4</v>
      </c>
      <c r="I209" s="5">
        <v>11</v>
      </c>
      <c r="J209" s="5" t="str">
        <f>_xlfn.IFS(Table1[[#This Row],[Experience(Years)]]&lt;5, "Junior", I209&lt;=12, "Mid-Level", I209&lt;=20, "Senior", I209&lt;=30, "Super Senior", TRUE, "Expert")</f>
        <v>Mid-Level</v>
      </c>
      <c r="K209" s="7">
        <v>40</v>
      </c>
      <c r="L209" s="7">
        <f>Table1[[#This Row],[Hourly Rate]]*1000</f>
        <v>40000</v>
      </c>
      <c r="M209" s="7" t="str">
        <f t="shared" si="3"/>
        <v>Standard</v>
      </c>
      <c r="N209" s="2">
        <f>IF(ISNUMBER(#REF!),#REF!, _xlfn.IFS( I209&gt;=30, 5, I209&gt;=25, 4.8, I209&gt;=15, 4, I209&gt;=10, 3.8, I209&gt;=5, 3, I209&gt;=2, 2.5, I209&gt;=0, 1.8, TRUE, 1.3))</f>
        <v>3.8</v>
      </c>
      <c r="O209" s="2" t="s">
        <v>2052</v>
      </c>
      <c r="P209" s="10">
        <v>0.9</v>
      </c>
      <c r="Q209" s="10" t="str">
        <f>_xlfn.IFS(Table1[[#This Row],[Rating]]&gt;=4, "Top Performer", Table1[[#This Row],[Rating]]&gt;=3, "Average", TRUE, "Needs Imporovement")</f>
        <v>Average</v>
      </c>
    </row>
    <row r="210" spans="1:17" x14ac:dyDescent="0.3">
      <c r="A210" s="2" t="s">
        <v>464</v>
      </c>
      <c r="B210" s="2" t="s">
        <v>465</v>
      </c>
      <c r="C210" s="2" t="s">
        <v>68</v>
      </c>
      <c r="D210" s="2">
        <v>36</v>
      </c>
      <c r="E210" s="2" t="str">
        <f>_xlfn.IFS(Table1[[#This Row],[Age]]&lt;30, "18-29", D210&lt;=45,"30-45", D210&lt;=55, "46-55", TRUE, "55+")</f>
        <v>30-45</v>
      </c>
      <c r="F210" s="2" t="s">
        <v>141</v>
      </c>
      <c r="G210" s="2" t="s">
        <v>142</v>
      </c>
      <c r="H210" s="2" t="s">
        <v>83</v>
      </c>
      <c r="I210" s="5">
        <v>11</v>
      </c>
      <c r="J210" s="5" t="str">
        <f>_xlfn.IFS(Table1[[#This Row],[Experience(Years)]]&lt;5, "Junior", I210&lt;=12, "Mid-Level", I210&lt;=20, "Senior", I210&lt;=30, "Super Senior", TRUE, "Expert")</f>
        <v>Mid-Level</v>
      </c>
      <c r="K210" s="7">
        <v>75</v>
      </c>
      <c r="L210" s="7">
        <f>Table1[[#This Row],[Hourly Rate]]*1000</f>
        <v>75000</v>
      </c>
      <c r="M210" s="7" t="str">
        <f t="shared" si="3"/>
        <v>Standard</v>
      </c>
      <c r="N210" s="2">
        <f>IF(ISNUMBER(#REF!),#REF!, _xlfn.IFS( I210&gt;=30, 5, I210&gt;=25, 4.8, I210&gt;=15, 4, I210&gt;=10, 3.8, I210&gt;=5, 3, I210&gt;=2, 2.5, I210&gt;=0, 1.8, TRUE, 1.3))</f>
        <v>3.8</v>
      </c>
      <c r="O210" s="2" t="s">
        <v>2052</v>
      </c>
      <c r="P210" s="10">
        <v>0.93</v>
      </c>
      <c r="Q210" s="10" t="str">
        <f>_xlfn.IFS(Table1[[#This Row],[Rating]]&gt;=4, "Top Performer", Table1[[#This Row],[Rating]]&gt;=3, "Average", TRUE, "Needs Imporovement")</f>
        <v>Average</v>
      </c>
    </row>
    <row r="211" spans="1:17" x14ac:dyDescent="0.3">
      <c r="A211" s="2" t="s">
        <v>466</v>
      </c>
      <c r="B211" s="2" t="s">
        <v>467</v>
      </c>
      <c r="C211" s="2" t="s">
        <v>49</v>
      </c>
      <c r="D211" s="2">
        <v>47</v>
      </c>
      <c r="E211" s="2" t="str">
        <f>_xlfn.IFS(Table1[[#This Row],[Age]]&lt;30, "18-29", D211&lt;=45,"30-45", D211&lt;=55, "46-55", TRUE, "55+")</f>
        <v>46-55</v>
      </c>
      <c r="F211" s="2" t="s">
        <v>12</v>
      </c>
      <c r="G211" s="2" t="s">
        <v>13</v>
      </c>
      <c r="H211" s="2" t="s">
        <v>29</v>
      </c>
      <c r="I211" s="5">
        <v>15</v>
      </c>
      <c r="J211" s="5" t="str">
        <f>_xlfn.IFS(Table1[[#This Row],[Experience(Years)]]&lt;5, "Junior", I211&lt;=12, "Mid-Level", I211&lt;=20, "Senior", I211&lt;=30, "Super Senior", TRUE, "Expert")</f>
        <v>Senior</v>
      </c>
      <c r="K211" s="7">
        <v>40</v>
      </c>
      <c r="L211" s="7">
        <f>Table1[[#This Row],[Hourly Rate]]*1000</f>
        <v>40000</v>
      </c>
      <c r="M211" s="7" t="str">
        <f t="shared" si="3"/>
        <v>Standard</v>
      </c>
      <c r="N211" s="2">
        <f>IF(ISNUMBER(#REF!),#REF!, _xlfn.IFS( I211&gt;=30, 5, I211&gt;=25, 4.8, I211&gt;=15, 4, I211&gt;=10, 3.8, I211&gt;=5, 3, I211&gt;=2, 2.5, I211&gt;=0, 1.8, TRUE, 1.3))</f>
        <v>4</v>
      </c>
      <c r="O211" s="2" t="s">
        <v>2053</v>
      </c>
      <c r="P211" s="10">
        <v>0.94</v>
      </c>
      <c r="Q211" s="10" t="str">
        <f>_xlfn.IFS(Table1[[#This Row],[Rating]]&gt;=4, "Top Performer", Table1[[#This Row],[Rating]]&gt;=3, "Average", TRUE, "Needs Imporovement")</f>
        <v>Top Performer</v>
      </c>
    </row>
    <row r="212" spans="1:17" x14ac:dyDescent="0.3">
      <c r="A212" s="2" t="s">
        <v>468</v>
      </c>
      <c r="B212" s="2" t="s">
        <v>469</v>
      </c>
      <c r="C212" s="2" t="s">
        <v>49</v>
      </c>
      <c r="D212" s="2">
        <v>43</v>
      </c>
      <c r="E212" s="2" t="str">
        <f>_xlfn.IFS(Table1[[#This Row],[Age]]&lt;30, "18-29", D212&lt;=45,"30-45", D212&lt;=55, "46-55", TRUE, "55+")</f>
        <v>30-45</v>
      </c>
      <c r="F212" s="2" t="s">
        <v>96</v>
      </c>
      <c r="G212" s="2" t="s">
        <v>8</v>
      </c>
      <c r="H212" s="2" t="s">
        <v>9</v>
      </c>
      <c r="I212" s="5">
        <v>1</v>
      </c>
      <c r="J212" s="5" t="str">
        <f>_xlfn.IFS(Table1[[#This Row],[Experience(Years)]]&lt;5, "Junior", I212&lt;=12, "Mid-Level", I212&lt;=20, "Senior", I212&lt;=30, "Super Senior", TRUE, "Expert")</f>
        <v>Junior</v>
      </c>
      <c r="K212" s="7">
        <v>50</v>
      </c>
      <c r="L212" s="7">
        <f>Table1[[#This Row],[Hourly Rate]]*1000</f>
        <v>50000</v>
      </c>
      <c r="M212" s="7" t="str">
        <f t="shared" si="3"/>
        <v>Standard</v>
      </c>
      <c r="N212" s="2">
        <f>IF(ISNUMBER(#REF!),#REF!, _xlfn.IFS( I212&gt;=30, 5, I212&gt;=25, 4.8, I212&gt;=15, 4, I212&gt;=10, 3.8, I212&gt;=5, 3, I212&gt;=2, 2.5, I212&gt;=0, 1.8, TRUE, 1.3))</f>
        <v>1.8</v>
      </c>
      <c r="O212" s="2" t="s">
        <v>2053</v>
      </c>
      <c r="P212" s="10">
        <v>0.64</v>
      </c>
      <c r="Q212" s="10" t="str">
        <f>_xlfn.IFS(Table1[[#This Row],[Rating]]&gt;=4, "Top Performer", Table1[[#This Row],[Rating]]&gt;=3, "Average", TRUE, "Needs Imporovement")</f>
        <v>Needs Imporovement</v>
      </c>
    </row>
    <row r="213" spans="1:17" x14ac:dyDescent="0.3">
      <c r="A213" s="2" t="s">
        <v>470</v>
      </c>
      <c r="B213" s="2" t="s">
        <v>471</v>
      </c>
      <c r="C213" s="2" t="s">
        <v>68</v>
      </c>
      <c r="D213" s="2">
        <v>57</v>
      </c>
      <c r="E213" s="2" t="str">
        <f>_xlfn.IFS(Table1[[#This Row],[Age]]&lt;30, "18-29", D213&lt;=45,"30-45", D213&lt;=55, "46-55", TRUE, "55+")</f>
        <v>55+</v>
      </c>
      <c r="F213" s="2" t="s">
        <v>81</v>
      </c>
      <c r="G213" s="2" t="s">
        <v>82</v>
      </c>
      <c r="H213" s="2" t="s">
        <v>50</v>
      </c>
      <c r="I213" s="5">
        <v>8</v>
      </c>
      <c r="J213" s="5" t="str">
        <f>_xlfn.IFS(Table1[[#This Row],[Experience(Years)]]&lt;5, "Junior", I213&lt;=12, "Mid-Level", I213&lt;=20, "Senior", I213&lt;=30, "Super Senior", TRUE, "Expert")</f>
        <v>Mid-Level</v>
      </c>
      <c r="K213" s="7">
        <v>20</v>
      </c>
      <c r="L213" s="7">
        <f>Table1[[#This Row],[Hourly Rate]]*1000</f>
        <v>20000</v>
      </c>
      <c r="M213" s="7" t="str">
        <f t="shared" si="3"/>
        <v>Budget</v>
      </c>
      <c r="N213" s="2">
        <f>IF(ISNUMBER(#REF!),#REF!, _xlfn.IFS( I213&gt;=30, 5, I213&gt;=25, 4.8, I213&gt;=15, 4, I213&gt;=10, 3.8, I213&gt;=5, 3, I213&gt;=2, 2.5, I213&gt;=0, 1.8, TRUE, 1.3))</f>
        <v>3</v>
      </c>
      <c r="O213" s="2" t="s">
        <v>2053</v>
      </c>
      <c r="P213" s="10">
        <v>0.84</v>
      </c>
      <c r="Q213" s="10" t="str">
        <f>_xlfn.IFS(Table1[[#This Row],[Rating]]&gt;=4, "Top Performer", Table1[[#This Row],[Rating]]&gt;=3, "Average", TRUE, "Needs Imporovement")</f>
        <v>Average</v>
      </c>
    </row>
    <row r="214" spans="1:17" x14ac:dyDescent="0.3">
      <c r="A214" s="2" t="s">
        <v>472</v>
      </c>
      <c r="B214" s="2" t="s">
        <v>473</v>
      </c>
      <c r="C214" s="2" t="s">
        <v>68</v>
      </c>
      <c r="D214" s="2">
        <v>52</v>
      </c>
      <c r="E214" s="2" t="str">
        <f>_xlfn.IFS(Table1[[#This Row],[Age]]&lt;30, "18-29", D214&lt;=45,"30-45", D214&lt;=55, "46-55", TRUE, "55+")</f>
        <v>46-55</v>
      </c>
      <c r="F214" s="2" t="s">
        <v>2</v>
      </c>
      <c r="G214" s="2" t="s">
        <v>3</v>
      </c>
      <c r="H214" s="2" t="s">
        <v>83</v>
      </c>
      <c r="I214" s="5">
        <v>30</v>
      </c>
      <c r="J214" s="5" t="str">
        <f>_xlfn.IFS(Table1[[#This Row],[Experience(Years)]]&lt;5, "Junior", I214&lt;=12, "Mid-Level", I214&lt;=20, "Senior", I214&lt;=30, "Super Senior", TRUE, "Expert")</f>
        <v>Super Senior</v>
      </c>
      <c r="K214" s="7">
        <v>20</v>
      </c>
      <c r="L214" s="7">
        <f>Table1[[#This Row],[Hourly Rate]]*1000</f>
        <v>20000</v>
      </c>
      <c r="M214" s="7" t="str">
        <f t="shared" si="3"/>
        <v>Budget</v>
      </c>
      <c r="N214" s="2">
        <f>IF(ISNUMBER(#REF!),#REF!, _xlfn.IFS( I214&gt;=30, 5, I214&gt;=25, 4.8, I214&gt;=15, 4, I214&gt;=10, 3.8, I214&gt;=5, 3, I214&gt;=2, 2.5, I214&gt;=0, 1.8, TRUE, 1.3))</f>
        <v>5</v>
      </c>
      <c r="O214" s="2" t="s">
        <v>2052</v>
      </c>
      <c r="P214" s="10">
        <v>0.87</v>
      </c>
      <c r="Q214" s="10" t="str">
        <f>_xlfn.IFS(Table1[[#This Row],[Rating]]&gt;=4, "Top Performer", Table1[[#This Row],[Rating]]&gt;=3, "Average", TRUE, "Needs Imporovement")</f>
        <v>Top Performer</v>
      </c>
    </row>
    <row r="215" spans="1:17" x14ac:dyDescent="0.3">
      <c r="A215" s="2" t="s">
        <v>474</v>
      </c>
      <c r="B215" s="2" t="s">
        <v>475</v>
      </c>
      <c r="C215" s="2" t="s">
        <v>68</v>
      </c>
      <c r="D215" s="2">
        <v>48</v>
      </c>
      <c r="E215" s="2" t="str">
        <f>_xlfn.IFS(Table1[[#This Row],[Age]]&lt;30, "18-29", D215&lt;=45,"30-45", D215&lt;=55, "46-55", TRUE, "55+")</f>
        <v>46-55</v>
      </c>
      <c r="F215" s="2" t="s">
        <v>12</v>
      </c>
      <c r="G215" s="2" t="s">
        <v>13</v>
      </c>
      <c r="H215" s="2" t="s">
        <v>4</v>
      </c>
      <c r="I215" s="5">
        <v>8</v>
      </c>
      <c r="J215" s="5" t="str">
        <f>_xlfn.IFS(Table1[[#This Row],[Experience(Years)]]&lt;5, "Junior", I215&lt;=12, "Mid-Level", I215&lt;=20, "Senior", I215&lt;=30, "Super Senior", TRUE, "Expert")</f>
        <v>Mid-Level</v>
      </c>
      <c r="K215" s="7">
        <v>40</v>
      </c>
      <c r="L215" s="7">
        <f>Table1[[#This Row],[Hourly Rate]]*1000</f>
        <v>40000</v>
      </c>
      <c r="M215" s="7" t="str">
        <f t="shared" si="3"/>
        <v>Standard</v>
      </c>
      <c r="N215" s="2">
        <f>IF(ISNUMBER(#REF!),#REF!, _xlfn.IFS( I215&gt;=30, 5, I215&gt;=25, 4.8, I215&gt;=15, 4, I215&gt;=10, 3.8, I215&gt;=5, 3, I215&gt;=2, 2.5, I215&gt;=0, 1.8, TRUE, 1.3))</f>
        <v>3</v>
      </c>
      <c r="O215" s="2" t="s">
        <v>2052</v>
      </c>
      <c r="P215" s="10">
        <v>0.64</v>
      </c>
      <c r="Q215" s="10" t="str">
        <f>_xlfn.IFS(Table1[[#This Row],[Rating]]&gt;=4, "Top Performer", Table1[[#This Row],[Rating]]&gt;=3, "Average", TRUE, "Needs Imporovement")</f>
        <v>Average</v>
      </c>
    </row>
    <row r="216" spans="1:17" x14ac:dyDescent="0.3">
      <c r="A216" s="2" t="s">
        <v>476</v>
      </c>
      <c r="B216" s="2" t="s">
        <v>477</v>
      </c>
      <c r="C216" s="2" t="s">
        <v>49</v>
      </c>
      <c r="D216" s="2">
        <v>22</v>
      </c>
      <c r="E216" s="2" t="str">
        <f>_xlfn.IFS(Table1[[#This Row],[Age]]&lt;30, "18-29", D216&lt;=45,"30-45", D216&lt;=55, "46-55", TRUE, "55+")</f>
        <v>18-29</v>
      </c>
      <c r="F216" s="2" t="s">
        <v>27</v>
      </c>
      <c r="G216" s="2" t="s">
        <v>28</v>
      </c>
      <c r="H216" s="2" t="s">
        <v>83</v>
      </c>
      <c r="I216" s="5">
        <v>0</v>
      </c>
      <c r="J216" s="5" t="str">
        <f>_xlfn.IFS(Table1[[#This Row],[Experience(Years)]]&lt;5, "Junior", I216&lt;=12, "Mid-Level", I216&lt;=20, "Senior", I216&lt;=30, "Super Senior", TRUE, "Expert")</f>
        <v>Junior</v>
      </c>
      <c r="K216" s="7">
        <v>100</v>
      </c>
      <c r="L216" s="7">
        <f>Table1[[#This Row],[Hourly Rate]]*1000</f>
        <v>100000</v>
      </c>
      <c r="M216" s="7" t="str">
        <f t="shared" si="3"/>
        <v>Premium</v>
      </c>
      <c r="N216" s="2">
        <f>IF(ISNUMBER(#REF!),#REF!, _xlfn.IFS( I216&gt;=30, 5, I216&gt;=25, 4.8, I216&gt;=15, 4, I216&gt;=10, 3.8, I216&gt;=5, 3, I216&gt;=2, 2.5, I216&gt;=0, 1.8, TRUE, 1.3))</f>
        <v>1.8</v>
      </c>
      <c r="O216" s="2" t="s">
        <v>2053</v>
      </c>
      <c r="P216" s="10">
        <v>0.64</v>
      </c>
      <c r="Q216" s="10" t="str">
        <f>_xlfn.IFS(Table1[[#This Row],[Rating]]&gt;=4, "Top Performer", Table1[[#This Row],[Rating]]&gt;=3, "Average", TRUE, "Needs Imporovement")</f>
        <v>Needs Imporovement</v>
      </c>
    </row>
    <row r="217" spans="1:17" x14ac:dyDescent="0.3">
      <c r="A217" s="2" t="s">
        <v>478</v>
      </c>
      <c r="B217" s="2" t="s">
        <v>479</v>
      </c>
      <c r="C217" s="2" t="s">
        <v>68</v>
      </c>
      <c r="D217" s="2">
        <v>35</v>
      </c>
      <c r="E217" s="2" t="str">
        <f>_xlfn.IFS(Table1[[#This Row],[Age]]&lt;30, "18-29", D217&lt;=45,"30-45", D217&lt;=55, "46-55", TRUE, "55+")</f>
        <v>30-45</v>
      </c>
      <c r="F217" s="2" t="s">
        <v>64</v>
      </c>
      <c r="G217" s="2" t="s">
        <v>65</v>
      </c>
      <c r="H217" s="2" t="s">
        <v>83</v>
      </c>
      <c r="I217" s="5">
        <v>12</v>
      </c>
      <c r="J217" s="5" t="str">
        <f>_xlfn.IFS(Table1[[#This Row],[Experience(Years)]]&lt;5, "Junior", I217&lt;=12, "Mid-Level", I217&lt;=20, "Senior", I217&lt;=30, "Super Senior", TRUE, "Expert")</f>
        <v>Mid-Level</v>
      </c>
      <c r="K217" s="7">
        <v>20</v>
      </c>
      <c r="L217" s="7">
        <f>Table1[[#This Row],[Hourly Rate]]*1000</f>
        <v>20000</v>
      </c>
      <c r="M217" s="7" t="str">
        <f t="shared" si="3"/>
        <v>Budget</v>
      </c>
      <c r="N217" s="2">
        <f>IF(ISNUMBER(#REF!),#REF!, _xlfn.IFS( I217&gt;=30, 5, I217&gt;=25, 4.8, I217&gt;=15, 4, I217&gt;=10, 3.8, I217&gt;=5, 3, I217&gt;=2, 2.5, I217&gt;=0, 1.8, TRUE, 1.3))</f>
        <v>3.8</v>
      </c>
      <c r="O217" s="2" t="s">
        <v>2053</v>
      </c>
      <c r="P217" s="10">
        <v>0.8</v>
      </c>
      <c r="Q217" s="10" t="str">
        <f>_xlfn.IFS(Table1[[#This Row],[Rating]]&gt;=4, "Top Performer", Table1[[#This Row],[Rating]]&gt;=3, "Average", TRUE, "Needs Imporovement")</f>
        <v>Average</v>
      </c>
    </row>
    <row r="218" spans="1:17" x14ac:dyDescent="0.3">
      <c r="A218" s="2" t="s">
        <v>480</v>
      </c>
      <c r="B218" s="2" t="s">
        <v>481</v>
      </c>
      <c r="C218" s="2" t="s">
        <v>49</v>
      </c>
      <c r="D218" s="2">
        <v>58</v>
      </c>
      <c r="E218" s="2" t="str">
        <f>_xlfn.IFS(Table1[[#This Row],[Age]]&lt;30, "18-29", D218&lt;=45,"30-45", D218&lt;=55, "46-55", TRUE, "55+")</f>
        <v>55+</v>
      </c>
      <c r="F218" s="2" t="s">
        <v>156</v>
      </c>
      <c r="G218" s="2" t="s">
        <v>45</v>
      </c>
      <c r="H218" s="2" t="s">
        <v>9</v>
      </c>
      <c r="I218" s="5">
        <v>4</v>
      </c>
      <c r="J218" s="5" t="str">
        <f>_xlfn.IFS(Table1[[#This Row],[Experience(Years)]]&lt;5, "Junior", I218&lt;=12, "Mid-Level", I218&lt;=20, "Senior", I218&lt;=30, "Super Senior", TRUE, "Expert")</f>
        <v>Junior</v>
      </c>
      <c r="K218" s="7">
        <v>50</v>
      </c>
      <c r="L218" s="7">
        <f>Table1[[#This Row],[Hourly Rate]]*1000</f>
        <v>50000</v>
      </c>
      <c r="M218" s="7" t="str">
        <f t="shared" si="3"/>
        <v>Standard</v>
      </c>
      <c r="N218" s="2">
        <f>IF(ISNUMBER(#REF!),#REF!, _xlfn.IFS( I218&gt;=30, 5, I218&gt;=25, 4.8, I218&gt;=15, 4, I218&gt;=10, 3.8, I218&gt;=5, 3, I218&gt;=2, 2.5, I218&gt;=0, 1.8, TRUE, 1.3))</f>
        <v>2.5</v>
      </c>
      <c r="O218" s="2" t="s">
        <v>2052</v>
      </c>
      <c r="P218" s="10">
        <v>0.9</v>
      </c>
      <c r="Q218" s="10" t="str">
        <f>_xlfn.IFS(Table1[[#This Row],[Rating]]&gt;=4, "Top Performer", Table1[[#This Row],[Rating]]&gt;=3, "Average", TRUE, "Needs Imporovement")</f>
        <v>Needs Imporovement</v>
      </c>
    </row>
    <row r="219" spans="1:17" x14ac:dyDescent="0.3">
      <c r="A219" s="2" t="s">
        <v>482</v>
      </c>
      <c r="B219" s="2" t="s">
        <v>483</v>
      </c>
      <c r="C219" s="2" t="s">
        <v>68</v>
      </c>
      <c r="D219" s="2">
        <v>39</v>
      </c>
      <c r="E219" s="2" t="str">
        <f>_xlfn.IFS(Table1[[#This Row],[Age]]&lt;30, "18-29", D219&lt;=45,"30-45", D219&lt;=55, "46-55", TRUE, "55+")</f>
        <v>30-45</v>
      </c>
      <c r="F219" s="2" t="s">
        <v>81</v>
      </c>
      <c r="G219" s="2" t="s">
        <v>82</v>
      </c>
      <c r="H219" s="2" t="s">
        <v>17</v>
      </c>
      <c r="I219" s="5">
        <v>14</v>
      </c>
      <c r="J219" s="5" t="str">
        <f>_xlfn.IFS(Table1[[#This Row],[Experience(Years)]]&lt;5, "Junior", I219&lt;=12, "Mid-Level", I219&lt;=20, "Senior", I219&lt;=30, "Super Senior", TRUE, "Expert")</f>
        <v>Senior</v>
      </c>
      <c r="K219" s="7">
        <v>100</v>
      </c>
      <c r="L219" s="7">
        <f>Table1[[#This Row],[Hourly Rate]]*1000</f>
        <v>100000</v>
      </c>
      <c r="M219" s="7" t="str">
        <f t="shared" si="3"/>
        <v>Premium</v>
      </c>
      <c r="N219" s="2">
        <f>IF(ISNUMBER(#REF!),#REF!, _xlfn.IFS( I219&gt;=30, 5, I219&gt;=25, 4.8, I219&gt;=15, 4, I219&gt;=10, 3.8, I219&gt;=5, 3, I219&gt;=2, 2.5, I219&gt;=0, 1.8, TRUE, 1.3))</f>
        <v>3.8</v>
      </c>
      <c r="O219" s="2" t="s">
        <v>2053</v>
      </c>
      <c r="P219" s="10">
        <v>0.92</v>
      </c>
      <c r="Q219" s="10" t="str">
        <f>_xlfn.IFS(Table1[[#This Row],[Rating]]&gt;=4, "Top Performer", Table1[[#This Row],[Rating]]&gt;=3, "Average", TRUE, "Needs Imporovement")</f>
        <v>Average</v>
      </c>
    </row>
    <row r="220" spans="1:17" x14ac:dyDescent="0.3">
      <c r="A220" s="2" t="s">
        <v>484</v>
      </c>
      <c r="B220" s="2" t="s">
        <v>485</v>
      </c>
      <c r="C220" s="2" t="s">
        <v>68</v>
      </c>
      <c r="D220" s="2">
        <v>32</v>
      </c>
      <c r="E220" s="2" t="str">
        <f>_xlfn.IFS(Table1[[#This Row],[Age]]&lt;30, "18-29", D220&lt;=45,"30-45", D220&lt;=55, "46-55", TRUE, "55+")</f>
        <v>30-45</v>
      </c>
      <c r="F220" s="2" t="s">
        <v>27</v>
      </c>
      <c r="G220" s="2" t="s">
        <v>28</v>
      </c>
      <c r="H220" s="2" t="s">
        <v>14</v>
      </c>
      <c r="I220" s="5">
        <v>14</v>
      </c>
      <c r="J220" s="5" t="str">
        <f>_xlfn.IFS(Table1[[#This Row],[Experience(Years)]]&lt;5, "Junior", I220&lt;=12, "Mid-Level", I220&lt;=20, "Senior", I220&lt;=30, "Super Senior", TRUE, "Expert")</f>
        <v>Senior</v>
      </c>
      <c r="K220" s="7">
        <v>50</v>
      </c>
      <c r="L220" s="7">
        <f>Table1[[#This Row],[Hourly Rate]]*1000</f>
        <v>50000</v>
      </c>
      <c r="M220" s="7" t="str">
        <f t="shared" si="3"/>
        <v>Standard</v>
      </c>
      <c r="N220" s="2">
        <f>IF(ISNUMBER(#REF!),#REF!, _xlfn.IFS( I220&gt;=30, 5, I220&gt;=25, 4.8, I220&gt;=15, 4, I220&gt;=10, 3.8, I220&gt;=5, 3, I220&gt;=2, 2.5, I220&gt;=0, 1.8, TRUE, 1.3))</f>
        <v>3.8</v>
      </c>
      <c r="O220" s="2" t="s">
        <v>2052</v>
      </c>
      <c r="P220" s="10">
        <v>0.96</v>
      </c>
      <c r="Q220" s="10" t="str">
        <f>_xlfn.IFS(Table1[[#This Row],[Rating]]&gt;=4, "Top Performer", Table1[[#This Row],[Rating]]&gt;=3, "Average", TRUE, "Needs Imporovement")</f>
        <v>Average</v>
      </c>
    </row>
    <row r="221" spans="1:17" x14ac:dyDescent="0.3">
      <c r="A221" s="2" t="s">
        <v>486</v>
      </c>
      <c r="B221" s="2" t="s">
        <v>487</v>
      </c>
      <c r="C221" s="2" t="s">
        <v>68</v>
      </c>
      <c r="D221" s="2">
        <v>37</v>
      </c>
      <c r="E221" s="2" t="str">
        <f>_xlfn.IFS(Table1[[#This Row],[Age]]&lt;30, "18-29", D221&lt;=45,"30-45", D221&lt;=55, "46-55", TRUE, "55+")</f>
        <v>30-45</v>
      </c>
      <c r="F221" s="2" t="s">
        <v>96</v>
      </c>
      <c r="G221" s="2" t="s">
        <v>8</v>
      </c>
      <c r="H221" s="2" t="s">
        <v>46</v>
      </c>
      <c r="I221" s="5">
        <v>2</v>
      </c>
      <c r="J221" s="5" t="str">
        <f>_xlfn.IFS(Table1[[#This Row],[Experience(Years)]]&lt;5, "Junior", I221&lt;=12, "Mid-Level", I221&lt;=20, "Senior", I221&lt;=30, "Super Senior", TRUE, "Expert")</f>
        <v>Junior</v>
      </c>
      <c r="K221" s="7">
        <v>30</v>
      </c>
      <c r="L221" s="7">
        <f>Table1[[#This Row],[Hourly Rate]]*1000</f>
        <v>30000</v>
      </c>
      <c r="M221" s="7" t="str">
        <f t="shared" si="3"/>
        <v>Budget</v>
      </c>
      <c r="N221" s="2">
        <f>IF(ISNUMBER(#REF!),#REF!, _xlfn.IFS( I221&gt;=30, 5, I221&gt;=25, 4.8, I221&gt;=15, 4, I221&gt;=10, 3.8, I221&gt;=5, 3, I221&gt;=2, 2.5, I221&gt;=0, 1.8, TRUE, 1.3))</f>
        <v>2.5</v>
      </c>
      <c r="O221" s="2" t="s">
        <v>2053</v>
      </c>
      <c r="P221" s="10">
        <v>0.35</v>
      </c>
      <c r="Q221" s="10" t="str">
        <f>_xlfn.IFS(Table1[[#This Row],[Rating]]&gt;=4, "Top Performer", Table1[[#This Row],[Rating]]&gt;=3, "Average", TRUE, "Needs Imporovement")</f>
        <v>Needs Imporovement</v>
      </c>
    </row>
    <row r="222" spans="1:17" x14ac:dyDescent="0.3">
      <c r="A222" s="2" t="s">
        <v>488</v>
      </c>
      <c r="B222" s="2" t="s">
        <v>489</v>
      </c>
      <c r="C222" s="2" t="s">
        <v>49</v>
      </c>
      <c r="D222" s="2">
        <v>21</v>
      </c>
      <c r="E222" s="2" t="str">
        <f>_xlfn.IFS(Table1[[#This Row],[Age]]&lt;30, "18-29", D222&lt;=45,"30-45", D222&lt;=55, "46-55", TRUE, "55+")</f>
        <v>18-29</v>
      </c>
      <c r="F222" s="2" t="s">
        <v>141</v>
      </c>
      <c r="G222" s="2" t="s">
        <v>142</v>
      </c>
      <c r="H222" s="2" t="s">
        <v>50</v>
      </c>
      <c r="I222" s="5">
        <v>2</v>
      </c>
      <c r="J222" s="5" t="str">
        <f>_xlfn.IFS(Table1[[#This Row],[Experience(Years)]]&lt;5, "Junior", I222&lt;=12, "Mid-Level", I222&lt;=20, "Senior", I222&lt;=30, "Super Senior", TRUE, "Expert")</f>
        <v>Junior</v>
      </c>
      <c r="K222" s="7">
        <v>100</v>
      </c>
      <c r="L222" s="7">
        <f>Table1[[#This Row],[Hourly Rate]]*1000</f>
        <v>100000</v>
      </c>
      <c r="M222" s="7" t="str">
        <f t="shared" si="3"/>
        <v>Premium</v>
      </c>
      <c r="N222" s="2">
        <f>IF(ISNUMBER(#REF!),#REF!, _xlfn.IFS( I222&gt;=30, 5, I222&gt;=25, 4.8, I222&gt;=15, 4, I222&gt;=10, 3.8, I222&gt;=5, 3, I222&gt;=2, 2.5, I222&gt;=0, 1.8, TRUE, 1.3))</f>
        <v>2.5</v>
      </c>
      <c r="O222" s="2" t="s">
        <v>2053</v>
      </c>
      <c r="P222" s="10">
        <v>0.35</v>
      </c>
      <c r="Q222" s="10" t="str">
        <f>_xlfn.IFS(Table1[[#This Row],[Rating]]&gt;=4, "Top Performer", Table1[[#This Row],[Rating]]&gt;=3, "Average", TRUE, "Needs Imporovement")</f>
        <v>Needs Imporovement</v>
      </c>
    </row>
    <row r="223" spans="1:17" x14ac:dyDescent="0.3">
      <c r="A223" s="2" t="s">
        <v>490</v>
      </c>
      <c r="B223" s="2" t="s">
        <v>491</v>
      </c>
      <c r="C223" s="2" t="s">
        <v>68</v>
      </c>
      <c r="D223" s="2">
        <v>41</v>
      </c>
      <c r="E223" s="2" t="str">
        <f>_xlfn.IFS(Table1[[#This Row],[Age]]&lt;30, "18-29", D223&lt;=45,"30-45", D223&lt;=55, "46-55", TRUE, "55+")</f>
        <v>30-45</v>
      </c>
      <c r="F223" s="2" t="s">
        <v>81</v>
      </c>
      <c r="G223" s="2" t="s">
        <v>82</v>
      </c>
      <c r="H223" s="2" t="s">
        <v>83</v>
      </c>
      <c r="I223" s="5">
        <v>4</v>
      </c>
      <c r="J223" s="5" t="str">
        <f>_xlfn.IFS(Table1[[#This Row],[Experience(Years)]]&lt;5, "Junior", I223&lt;=12, "Mid-Level", I223&lt;=20, "Senior", I223&lt;=30, "Super Senior", TRUE, "Expert")</f>
        <v>Junior</v>
      </c>
      <c r="K223" s="7">
        <v>75</v>
      </c>
      <c r="L223" s="7">
        <f>Table1[[#This Row],[Hourly Rate]]*1000</f>
        <v>75000</v>
      </c>
      <c r="M223" s="7" t="str">
        <f t="shared" si="3"/>
        <v>Standard</v>
      </c>
      <c r="N223" s="2">
        <f>IF(ISNUMBER(#REF!),#REF!, _xlfn.IFS( I223&gt;=30, 5, I223&gt;=25, 4.8, I223&gt;=15, 4, I223&gt;=10, 3.8, I223&gt;=5, 3, I223&gt;=2, 2.5, I223&gt;=0, 1.8, TRUE, 1.3))</f>
        <v>2.5</v>
      </c>
      <c r="O223" s="2" t="str">
        <f>IF(AND( Table1[[#This Row],[Rating]]&gt;=3.5, Table1[[#This Row],[Experience(Years)]]&gt;=15), "Active", "Inactive")</f>
        <v>Inactive</v>
      </c>
      <c r="P223" s="10">
        <v>0.85</v>
      </c>
      <c r="Q223" s="10" t="str">
        <f>_xlfn.IFS(Table1[[#This Row],[Rating]]&gt;=4, "Top Performer", Table1[[#This Row],[Rating]]&gt;=3, "Average", TRUE, "Needs Imporovement")</f>
        <v>Needs Imporovement</v>
      </c>
    </row>
    <row r="224" spans="1:17" x14ac:dyDescent="0.3">
      <c r="A224" s="2" t="s">
        <v>492</v>
      </c>
      <c r="B224" s="2" t="s">
        <v>493</v>
      </c>
      <c r="C224" s="2" t="s">
        <v>49</v>
      </c>
      <c r="D224" s="2">
        <v>21</v>
      </c>
      <c r="E224" s="2" t="str">
        <f>_xlfn.IFS(Table1[[#This Row],[Age]]&lt;30, "18-29", D224&lt;=45,"30-45", D224&lt;=55, "46-55", TRUE, "55+")</f>
        <v>18-29</v>
      </c>
      <c r="F224" s="2" t="s">
        <v>96</v>
      </c>
      <c r="G224" s="2" t="s">
        <v>8</v>
      </c>
      <c r="H224" s="2" t="s">
        <v>24</v>
      </c>
      <c r="I224" s="5">
        <v>0</v>
      </c>
      <c r="J224" s="5" t="str">
        <f>_xlfn.IFS(Table1[[#This Row],[Experience(Years)]]&lt;5, "Junior", I224&lt;=12, "Mid-Level", I224&lt;=20, "Senior", I224&lt;=30, "Super Senior", TRUE, "Expert")</f>
        <v>Junior</v>
      </c>
      <c r="K224" s="7">
        <v>40</v>
      </c>
      <c r="L224" s="7">
        <f>Table1[[#This Row],[Hourly Rate]]*1000</f>
        <v>40000</v>
      </c>
      <c r="M224" s="7" t="str">
        <f t="shared" si="3"/>
        <v>Standard</v>
      </c>
      <c r="N224" s="2">
        <f>IF(ISNUMBER(#REF!),#REF!, _xlfn.IFS( I224&gt;=30, 5, I224&gt;=25, 4.8, I224&gt;=15, 4, I224&gt;=10, 3.8, I224&gt;=5, 3, I224&gt;=2, 2.5, I224&gt;=0, 1.8, TRUE, 1.3))</f>
        <v>1.8</v>
      </c>
      <c r="O224" s="2" t="s">
        <v>2052</v>
      </c>
      <c r="P224" s="10">
        <v>0.79</v>
      </c>
      <c r="Q224" s="10" t="str">
        <f>_xlfn.IFS(Table1[[#This Row],[Rating]]&gt;=4, "Top Performer", Table1[[#This Row],[Rating]]&gt;=3, "Average", TRUE, "Needs Imporovement")</f>
        <v>Needs Imporovement</v>
      </c>
    </row>
    <row r="225" spans="1:17" x14ac:dyDescent="0.3">
      <c r="A225" s="2" t="s">
        <v>494</v>
      </c>
      <c r="B225" s="2" t="s">
        <v>495</v>
      </c>
      <c r="C225" s="2" t="s">
        <v>49</v>
      </c>
      <c r="D225" s="2">
        <v>58</v>
      </c>
      <c r="E225" s="2" t="str">
        <f>_xlfn.IFS(Table1[[#This Row],[Age]]&lt;30, "18-29", D225&lt;=45,"30-45", D225&lt;=55, "46-55", TRUE, "55+")</f>
        <v>55+</v>
      </c>
      <c r="F225" s="2" t="s">
        <v>141</v>
      </c>
      <c r="G225" s="2" t="s">
        <v>142</v>
      </c>
      <c r="H225" s="2" t="s">
        <v>83</v>
      </c>
      <c r="I225" s="5">
        <v>9</v>
      </c>
      <c r="J225" s="5" t="str">
        <f>_xlfn.IFS(Table1[[#This Row],[Experience(Years)]]&lt;5, "Junior", I225&lt;=12, "Mid-Level", I225&lt;=20, "Senior", I225&lt;=30, "Super Senior", TRUE, "Expert")</f>
        <v>Mid-Level</v>
      </c>
      <c r="K225" s="7">
        <v>30</v>
      </c>
      <c r="L225" s="7">
        <f>Table1[[#This Row],[Hourly Rate]]*1000</f>
        <v>30000</v>
      </c>
      <c r="M225" s="7" t="str">
        <f t="shared" si="3"/>
        <v>Budget</v>
      </c>
      <c r="N225" s="2">
        <f>IF(ISNUMBER(#REF!),#REF!, _xlfn.IFS( I225&gt;=30, 5, I225&gt;=25, 4.8, I225&gt;=15, 4, I225&gt;=10, 3.8, I225&gt;=5, 3, I225&gt;=2, 2.5, I225&gt;=0, 1.8, TRUE, 1.3))</f>
        <v>3</v>
      </c>
      <c r="O225" s="2" t="s">
        <v>2053</v>
      </c>
      <c r="P225" s="10">
        <v>0.65</v>
      </c>
      <c r="Q225" s="10" t="str">
        <f>_xlfn.IFS(Table1[[#This Row],[Rating]]&gt;=4, "Top Performer", Table1[[#This Row],[Rating]]&gt;=3, "Average", TRUE, "Needs Imporovement")</f>
        <v>Average</v>
      </c>
    </row>
    <row r="226" spans="1:17" x14ac:dyDescent="0.3">
      <c r="A226" s="2" t="s">
        <v>496</v>
      </c>
      <c r="B226" s="2" t="s">
        <v>497</v>
      </c>
      <c r="C226" s="2" t="s">
        <v>68</v>
      </c>
      <c r="D226" s="2">
        <v>60</v>
      </c>
      <c r="E226" s="2" t="str">
        <f>_xlfn.IFS(Table1[[#This Row],[Age]]&lt;30, "18-29", D226&lt;=45,"30-45", D226&lt;=55, "46-55", TRUE, "55+")</f>
        <v>55+</v>
      </c>
      <c r="F226" s="2" t="s">
        <v>96</v>
      </c>
      <c r="G226" s="2" t="s">
        <v>8</v>
      </c>
      <c r="H226" s="2" t="s">
        <v>83</v>
      </c>
      <c r="I226" s="5">
        <v>3</v>
      </c>
      <c r="J226" s="5" t="str">
        <f>_xlfn.IFS(Table1[[#This Row],[Experience(Years)]]&lt;5, "Junior", I226&lt;=12, "Mid-Level", I226&lt;=20, "Senior", I226&lt;=30, "Super Senior", TRUE, "Expert")</f>
        <v>Junior</v>
      </c>
      <c r="K226" s="7">
        <v>40</v>
      </c>
      <c r="L226" s="7">
        <f>Table1[[#This Row],[Hourly Rate]]*1000</f>
        <v>40000</v>
      </c>
      <c r="M226" s="7" t="str">
        <f t="shared" si="3"/>
        <v>Standard</v>
      </c>
      <c r="N226" s="2">
        <f>IF(ISNUMBER(#REF!),#REF!, _xlfn.IFS( I226&gt;=30, 5, I226&gt;=25, 4.8, I226&gt;=15, 4, I226&gt;=10, 3.8, I226&gt;=5, 3, I226&gt;=2, 2.5, I226&gt;=0, 1.8, TRUE, 1.3))</f>
        <v>2.5</v>
      </c>
      <c r="O226" s="2" t="s">
        <v>2052</v>
      </c>
      <c r="P226" s="10">
        <v>0.63</v>
      </c>
      <c r="Q226" s="10" t="str">
        <f>_xlfn.IFS(Table1[[#This Row],[Rating]]&gt;=4, "Top Performer", Table1[[#This Row],[Rating]]&gt;=3, "Average", TRUE, "Needs Imporovement")</f>
        <v>Needs Imporovement</v>
      </c>
    </row>
    <row r="227" spans="1:17" x14ac:dyDescent="0.3">
      <c r="A227" s="2" t="s">
        <v>498</v>
      </c>
      <c r="B227" s="2" t="s">
        <v>499</v>
      </c>
      <c r="C227" s="2" t="s">
        <v>68</v>
      </c>
      <c r="D227" s="2">
        <v>27</v>
      </c>
      <c r="E227" s="2" t="str">
        <f>_xlfn.IFS(Table1[[#This Row],[Age]]&lt;30, "18-29", D227&lt;=45,"30-45", D227&lt;=55, "46-55", TRUE, "55+")</f>
        <v>18-29</v>
      </c>
      <c r="F227" s="2" t="s">
        <v>121</v>
      </c>
      <c r="G227" s="2" t="s">
        <v>122</v>
      </c>
      <c r="H227" s="2" t="s">
        <v>17</v>
      </c>
      <c r="I227" s="5">
        <v>2</v>
      </c>
      <c r="J227" s="5" t="str">
        <f>_xlfn.IFS(Table1[[#This Row],[Experience(Years)]]&lt;5, "Junior", I227&lt;=12, "Mid-Level", I227&lt;=20, "Senior", I227&lt;=30, "Super Senior", TRUE, "Expert")</f>
        <v>Junior</v>
      </c>
      <c r="K227" s="7">
        <v>40</v>
      </c>
      <c r="L227" s="7">
        <f>Table1[[#This Row],[Hourly Rate]]*1000</f>
        <v>40000</v>
      </c>
      <c r="M227" s="7" t="str">
        <f t="shared" si="3"/>
        <v>Standard</v>
      </c>
      <c r="N227" s="2">
        <f>IF(ISNUMBER(#REF!),#REF!, _xlfn.IFS( I227&gt;=30, 5, I227&gt;=25, 4.8, I227&gt;=15, 4, I227&gt;=10, 3.8, I227&gt;=5, 3, I227&gt;=2, 2.5, I227&gt;=0, 1.8, TRUE, 1.3))</f>
        <v>2.5</v>
      </c>
      <c r="O227" s="2" t="s">
        <v>2052</v>
      </c>
      <c r="P227" s="10">
        <v>0.35</v>
      </c>
      <c r="Q227" s="10" t="str">
        <f>_xlfn.IFS(Table1[[#This Row],[Rating]]&gt;=4, "Top Performer", Table1[[#This Row],[Rating]]&gt;=3, "Average", TRUE, "Needs Imporovement")</f>
        <v>Needs Imporovement</v>
      </c>
    </row>
    <row r="228" spans="1:17" x14ac:dyDescent="0.3">
      <c r="A228" s="2" t="s">
        <v>500</v>
      </c>
      <c r="B228" s="2" t="s">
        <v>501</v>
      </c>
      <c r="C228" s="2" t="s">
        <v>49</v>
      </c>
      <c r="D228" s="2">
        <v>29</v>
      </c>
      <c r="E228" s="2" t="str">
        <f>_xlfn.IFS(Table1[[#This Row],[Age]]&lt;30, "18-29", D228&lt;=45,"30-45", D228&lt;=55, "46-55", TRUE, "55+")</f>
        <v>18-29</v>
      </c>
      <c r="F228" s="2" t="s">
        <v>12</v>
      </c>
      <c r="G228" s="2" t="s">
        <v>13</v>
      </c>
      <c r="H228" s="2" t="s">
        <v>83</v>
      </c>
      <c r="I228" s="5">
        <v>10</v>
      </c>
      <c r="J228" s="5" t="str">
        <f>_xlfn.IFS(Table1[[#This Row],[Experience(Years)]]&lt;5, "Junior", I228&lt;=12, "Mid-Level", I228&lt;=20, "Senior", I228&lt;=30, "Super Senior", TRUE, "Expert")</f>
        <v>Mid-Level</v>
      </c>
      <c r="K228" s="7">
        <v>40</v>
      </c>
      <c r="L228" s="7">
        <f>Table1[[#This Row],[Hourly Rate]]*1000</f>
        <v>40000</v>
      </c>
      <c r="M228" s="7" t="str">
        <f t="shared" si="3"/>
        <v>Standard</v>
      </c>
      <c r="N228" s="2">
        <f>IF(ISNUMBER(#REF!),#REF!, _xlfn.IFS( I228&gt;=30, 5, I228&gt;=25, 4.8, I228&gt;=15, 4, I228&gt;=10, 3.8, I228&gt;=5, 3, I228&gt;=2, 2.5, I228&gt;=0, 1.8, TRUE, 1.3))</f>
        <v>3.8</v>
      </c>
      <c r="O228" s="2" t="s">
        <v>2052</v>
      </c>
      <c r="P228" s="10">
        <v>0.78</v>
      </c>
      <c r="Q228" s="10" t="str">
        <f>_xlfn.IFS(Table1[[#This Row],[Rating]]&gt;=4, "Top Performer", Table1[[#This Row],[Rating]]&gt;=3, "Average", TRUE, "Needs Imporovement")</f>
        <v>Average</v>
      </c>
    </row>
    <row r="229" spans="1:17" x14ac:dyDescent="0.3">
      <c r="A229" s="2" t="s">
        <v>502</v>
      </c>
      <c r="B229" s="2" t="s">
        <v>503</v>
      </c>
      <c r="C229" s="2" t="s">
        <v>49</v>
      </c>
      <c r="D229" s="2">
        <v>54</v>
      </c>
      <c r="E229" s="2" t="str">
        <f>_xlfn.IFS(Table1[[#This Row],[Age]]&lt;30, "18-29", D229&lt;=45,"30-45", D229&lt;=55, "46-55", TRUE, "55+")</f>
        <v>46-55</v>
      </c>
      <c r="F229" s="2" t="s">
        <v>96</v>
      </c>
      <c r="G229" s="2" t="s">
        <v>8</v>
      </c>
      <c r="H229" s="2" t="s">
        <v>14</v>
      </c>
      <c r="I229" s="5">
        <v>33</v>
      </c>
      <c r="J229" s="5" t="str">
        <f>_xlfn.IFS(Table1[[#This Row],[Experience(Years)]]&lt;5, "Junior", I229&lt;=12, "Mid-Level", I229&lt;=20, "Senior", I229&lt;=30, "Super Senior", TRUE, "Expert")</f>
        <v>Expert</v>
      </c>
      <c r="K229" s="7">
        <v>75</v>
      </c>
      <c r="L229" s="7">
        <f>Table1[[#This Row],[Hourly Rate]]*1000</f>
        <v>75000</v>
      </c>
      <c r="M229" s="7" t="str">
        <f t="shared" si="3"/>
        <v>Standard</v>
      </c>
      <c r="N229" s="2">
        <f>IF(ISNUMBER(#REF!),#REF!, _xlfn.IFS( I229&gt;=30, 5, I229&gt;=25, 4.8, I229&gt;=15, 4, I229&gt;=10, 3.8, I229&gt;=5, 3, I229&gt;=2, 2.5, I229&gt;=0, 1.8, TRUE, 1.3))</f>
        <v>5</v>
      </c>
      <c r="O229" s="2" t="s">
        <v>2053</v>
      </c>
      <c r="P229" s="10">
        <v>0.62</v>
      </c>
      <c r="Q229" s="10" t="str">
        <f>_xlfn.IFS(Table1[[#This Row],[Rating]]&gt;=4, "Top Performer", Table1[[#This Row],[Rating]]&gt;=3, "Average", TRUE, "Needs Imporovement")</f>
        <v>Top Performer</v>
      </c>
    </row>
    <row r="230" spans="1:17" x14ac:dyDescent="0.3">
      <c r="A230" s="2" t="s">
        <v>504</v>
      </c>
      <c r="B230" s="2" t="s">
        <v>505</v>
      </c>
      <c r="C230" s="2" t="s">
        <v>68</v>
      </c>
      <c r="D230" s="2">
        <v>52</v>
      </c>
      <c r="E230" s="2" t="str">
        <f>_xlfn.IFS(Table1[[#This Row],[Age]]&lt;30, "18-29", D230&lt;=45,"30-45", D230&lt;=55, "46-55", TRUE, "55+")</f>
        <v>46-55</v>
      </c>
      <c r="F230" s="2" t="s">
        <v>145</v>
      </c>
      <c r="G230" s="2" t="s">
        <v>45</v>
      </c>
      <c r="H230" s="2" t="s">
        <v>83</v>
      </c>
      <c r="I230" s="5">
        <v>12</v>
      </c>
      <c r="J230" s="5" t="str">
        <f>_xlfn.IFS(Table1[[#This Row],[Experience(Years)]]&lt;5, "Junior", I230&lt;=12, "Mid-Level", I230&lt;=20, "Senior", I230&lt;=30, "Super Senior", TRUE, "Expert")</f>
        <v>Mid-Level</v>
      </c>
      <c r="K230" s="7">
        <v>40</v>
      </c>
      <c r="L230" s="7">
        <f>Table1[[#This Row],[Hourly Rate]]*1000</f>
        <v>40000</v>
      </c>
      <c r="M230" s="7" t="str">
        <f t="shared" si="3"/>
        <v>Standard</v>
      </c>
      <c r="N230" s="2">
        <f>IF(ISNUMBER(#REF!),#REF!, _xlfn.IFS( I230&gt;=30, 5, I230&gt;=25, 4.8, I230&gt;=15, 4, I230&gt;=10, 3.8, I230&gt;=5, 3, I230&gt;=2, 2.5, I230&gt;=0, 1.8, TRUE, 1.3))</f>
        <v>3.8</v>
      </c>
      <c r="O230" s="2" t="s">
        <v>2052</v>
      </c>
      <c r="P230" s="10">
        <v>0.76</v>
      </c>
      <c r="Q230" s="10" t="str">
        <f>_xlfn.IFS(Table1[[#This Row],[Rating]]&gt;=4, "Top Performer", Table1[[#This Row],[Rating]]&gt;=3, "Average", TRUE, "Needs Imporovement")</f>
        <v>Average</v>
      </c>
    </row>
    <row r="231" spans="1:17" x14ac:dyDescent="0.3">
      <c r="A231" s="2" t="s">
        <v>506</v>
      </c>
      <c r="B231" s="2" t="s">
        <v>507</v>
      </c>
      <c r="C231" s="2" t="s">
        <v>49</v>
      </c>
      <c r="D231" s="2">
        <v>55</v>
      </c>
      <c r="E231" s="2" t="str">
        <f>_xlfn.IFS(Table1[[#This Row],[Age]]&lt;30, "18-29", D231&lt;=45,"30-45", D231&lt;=55, "46-55", TRUE, "55+")</f>
        <v>46-55</v>
      </c>
      <c r="F231" s="2" t="s">
        <v>27</v>
      </c>
      <c r="G231" s="2" t="s">
        <v>28</v>
      </c>
      <c r="H231" s="2" t="s">
        <v>4</v>
      </c>
      <c r="I231" s="5">
        <v>18</v>
      </c>
      <c r="J231" s="5" t="str">
        <f>_xlfn.IFS(Table1[[#This Row],[Experience(Years)]]&lt;5, "Junior", I231&lt;=12, "Mid-Level", I231&lt;=20, "Senior", I231&lt;=30, "Super Senior", TRUE, "Expert")</f>
        <v>Senior</v>
      </c>
      <c r="K231" s="7">
        <v>100</v>
      </c>
      <c r="L231" s="7">
        <f>Table1[[#This Row],[Hourly Rate]]*1000</f>
        <v>100000</v>
      </c>
      <c r="M231" s="7" t="str">
        <f t="shared" si="3"/>
        <v>Premium</v>
      </c>
      <c r="N231" s="2">
        <f>IF(ISNUMBER(#REF!),#REF!, _xlfn.IFS( I231&gt;=30, 5, I231&gt;=25, 4.8, I231&gt;=15, 4, I231&gt;=10, 3.8, I231&gt;=5, 3, I231&gt;=2, 2.5, I231&gt;=0, 1.8, TRUE, 1.3))</f>
        <v>4</v>
      </c>
      <c r="O231" s="2" t="s">
        <v>2052</v>
      </c>
      <c r="P231" s="10">
        <v>0.97</v>
      </c>
      <c r="Q231" s="10" t="str">
        <f>_xlfn.IFS(Table1[[#This Row],[Rating]]&gt;=4, "Top Performer", Table1[[#This Row],[Rating]]&gt;=3, "Average", TRUE, "Needs Imporovement")</f>
        <v>Top Performer</v>
      </c>
    </row>
    <row r="232" spans="1:17" x14ac:dyDescent="0.3">
      <c r="A232" s="2" t="s">
        <v>508</v>
      </c>
      <c r="B232" s="2" t="s">
        <v>509</v>
      </c>
      <c r="C232" s="2" t="s">
        <v>68</v>
      </c>
      <c r="D232" s="2">
        <v>37</v>
      </c>
      <c r="E232" s="2" t="str">
        <f>_xlfn.IFS(Table1[[#This Row],[Age]]&lt;30, "18-29", D232&lt;=45,"30-45", D232&lt;=55, "46-55", TRUE, "55+")</f>
        <v>30-45</v>
      </c>
      <c r="F232" s="2" t="s">
        <v>77</v>
      </c>
      <c r="G232" s="2" t="s">
        <v>78</v>
      </c>
      <c r="H232" s="2" t="s">
        <v>4</v>
      </c>
      <c r="I232" s="5">
        <v>4</v>
      </c>
      <c r="J232" s="5" t="str">
        <f>_xlfn.IFS(Table1[[#This Row],[Experience(Years)]]&lt;5, "Junior", I232&lt;=12, "Mid-Level", I232&lt;=20, "Senior", I232&lt;=30, "Super Senior", TRUE, "Expert")</f>
        <v>Junior</v>
      </c>
      <c r="K232" s="7">
        <v>45</v>
      </c>
      <c r="L232" s="7">
        <f>Table1[[#This Row],[Hourly Rate]]*1000</f>
        <v>45000</v>
      </c>
      <c r="M232" s="7" t="str">
        <f t="shared" si="3"/>
        <v>Standard</v>
      </c>
      <c r="N232" s="2">
        <f>IF(ISNUMBER(#REF!),#REF!, _xlfn.IFS( I232&gt;=30, 5, I232&gt;=25, 4.8, I232&gt;=15, 4, I232&gt;=10, 3.8, I232&gt;=5, 3, I232&gt;=2, 2.5, I232&gt;=0, 1.8, TRUE, 1.3))</f>
        <v>2.5</v>
      </c>
      <c r="O232" s="2" t="s">
        <v>2052</v>
      </c>
      <c r="P232" s="10">
        <v>0.35</v>
      </c>
      <c r="Q232" s="10" t="str">
        <f>_xlfn.IFS(Table1[[#This Row],[Rating]]&gt;=4, "Top Performer", Table1[[#This Row],[Rating]]&gt;=3, "Average", TRUE, "Needs Imporovement")</f>
        <v>Needs Imporovement</v>
      </c>
    </row>
    <row r="233" spans="1:17" x14ac:dyDescent="0.3">
      <c r="A233" s="2" t="s">
        <v>510</v>
      </c>
      <c r="B233" s="2" t="s">
        <v>511</v>
      </c>
      <c r="C233" s="2" t="s">
        <v>49</v>
      </c>
      <c r="D233" s="2">
        <v>34</v>
      </c>
      <c r="E233" s="2" t="str">
        <f>_xlfn.IFS(Table1[[#This Row],[Age]]&lt;30, "18-29", D233&lt;=45,"30-45", D233&lt;=55, "46-55", TRUE, "55+")</f>
        <v>30-45</v>
      </c>
      <c r="F233" s="2" t="s">
        <v>107</v>
      </c>
      <c r="G233" s="2" t="s">
        <v>108</v>
      </c>
      <c r="H233" s="2" t="s">
        <v>29</v>
      </c>
      <c r="I233" s="5">
        <v>11</v>
      </c>
      <c r="J233" s="5" t="str">
        <f>_xlfn.IFS(Table1[[#This Row],[Experience(Years)]]&lt;5, "Junior", I233&lt;=12, "Mid-Level", I233&lt;=20, "Senior", I233&lt;=30, "Super Senior", TRUE, "Expert")</f>
        <v>Mid-Level</v>
      </c>
      <c r="K233" s="7">
        <v>50</v>
      </c>
      <c r="L233" s="7">
        <f>Table1[[#This Row],[Hourly Rate]]*1000</f>
        <v>50000</v>
      </c>
      <c r="M233" s="7" t="str">
        <f t="shared" si="3"/>
        <v>Standard</v>
      </c>
      <c r="N233" s="2">
        <f>IF(ISNUMBER(#REF!),#REF!, _xlfn.IFS( I233&gt;=30, 5, I233&gt;=25, 4.8, I233&gt;=15, 4, I233&gt;=10, 3.8, I233&gt;=5, 3, I233&gt;=2, 2.5, I233&gt;=0, 1.8, TRUE, 1.3))</f>
        <v>3.8</v>
      </c>
      <c r="O233" s="2" t="s">
        <v>2053</v>
      </c>
      <c r="P233" s="10">
        <v>0.82</v>
      </c>
      <c r="Q233" s="10" t="str">
        <f>_xlfn.IFS(Table1[[#This Row],[Rating]]&gt;=4, "Top Performer", Table1[[#This Row],[Rating]]&gt;=3, "Average", TRUE, "Needs Imporovement")</f>
        <v>Average</v>
      </c>
    </row>
    <row r="234" spans="1:17" x14ac:dyDescent="0.3">
      <c r="A234" s="2" t="s">
        <v>512</v>
      </c>
      <c r="B234" s="2" t="s">
        <v>513</v>
      </c>
      <c r="C234" s="2" t="s">
        <v>68</v>
      </c>
      <c r="D234" s="2">
        <v>20</v>
      </c>
      <c r="E234" s="2" t="str">
        <f>_xlfn.IFS(Table1[[#This Row],[Age]]&lt;30, "18-29", D234&lt;=45,"30-45", D234&lt;=55, "46-55", TRUE, "55+")</f>
        <v>18-29</v>
      </c>
      <c r="F234" s="2" t="s">
        <v>103</v>
      </c>
      <c r="G234" s="2" t="s">
        <v>104</v>
      </c>
      <c r="H234" s="2" t="s">
        <v>29</v>
      </c>
      <c r="I234" s="5">
        <v>1</v>
      </c>
      <c r="J234" s="5" t="str">
        <f>_xlfn.IFS(Table1[[#This Row],[Experience(Years)]]&lt;5, "Junior", I234&lt;=12, "Mid-Level", I234&lt;=20, "Senior", I234&lt;=30, "Super Senior", TRUE, "Expert")</f>
        <v>Junior</v>
      </c>
      <c r="K234" s="7">
        <v>50</v>
      </c>
      <c r="L234" s="7">
        <f>Table1[[#This Row],[Hourly Rate]]*1000</f>
        <v>50000</v>
      </c>
      <c r="M234" s="7" t="str">
        <f t="shared" si="3"/>
        <v>Standard</v>
      </c>
      <c r="N234" s="2">
        <f>IF(ISNUMBER(#REF!),#REF!, _xlfn.IFS( I234&gt;=30, 5, I234&gt;=25, 4.8, I234&gt;=15, 4, I234&gt;=10, 3.8, I234&gt;=5, 3, I234&gt;=2, 2.5, I234&gt;=0, 1.8, TRUE, 1.3))</f>
        <v>1.8</v>
      </c>
      <c r="O234" s="2" t="str">
        <f>IF(AND( Table1[[#This Row],[Rating]]&gt;=3.5, Table1[[#This Row],[Experience(Years)]]&gt;=15), "Active", "Inactive")</f>
        <v>Inactive</v>
      </c>
      <c r="P234" s="10">
        <v>0.71</v>
      </c>
      <c r="Q234" s="10" t="str">
        <f>_xlfn.IFS(Table1[[#This Row],[Rating]]&gt;=4, "Top Performer", Table1[[#This Row],[Rating]]&gt;=3, "Average", TRUE, "Needs Imporovement")</f>
        <v>Needs Imporovement</v>
      </c>
    </row>
    <row r="235" spans="1:17" x14ac:dyDescent="0.3">
      <c r="A235" s="2" t="s">
        <v>514</v>
      </c>
      <c r="B235" s="2" t="s">
        <v>515</v>
      </c>
      <c r="C235" s="2" t="s">
        <v>68</v>
      </c>
      <c r="D235" s="2">
        <v>22</v>
      </c>
      <c r="E235" s="2" t="str">
        <f>_xlfn.IFS(Table1[[#This Row],[Age]]&lt;30, "18-29", D235&lt;=45,"30-45", D235&lt;=55, "46-55", TRUE, "55+")</f>
        <v>18-29</v>
      </c>
      <c r="F235" s="2" t="s">
        <v>145</v>
      </c>
      <c r="G235" s="2" t="s">
        <v>45</v>
      </c>
      <c r="H235" s="2" t="s">
        <v>46</v>
      </c>
      <c r="I235" s="5">
        <v>2</v>
      </c>
      <c r="J235" s="5" t="str">
        <f>_xlfn.IFS(Table1[[#This Row],[Experience(Years)]]&lt;5, "Junior", I235&lt;=12, "Mid-Level", I235&lt;=20, "Senior", I235&lt;=30, "Super Senior", TRUE, "Expert")</f>
        <v>Junior</v>
      </c>
      <c r="K235" s="7">
        <v>40</v>
      </c>
      <c r="L235" s="7">
        <f>Table1[[#This Row],[Hourly Rate]]*1000</f>
        <v>40000</v>
      </c>
      <c r="M235" s="7" t="str">
        <f t="shared" si="3"/>
        <v>Standard</v>
      </c>
      <c r="N235" s="2">
        <f>IF(ISNUMBER(#REF!),#REF!, _xlfn.IFS( I235&gt;=30, 5, I235&gt;=25, 4.8, I235&gt;=15, 4, I235&gt;=10, 3.8, I235&gt;=5, 3, I235&gt;=2, 2.5, I235&gt;=0, 1.8, TRUE, 1.3))</f>
        <v>2.5</v>
      </c>
      <c r="O235" s="2" t="s">
        <v>2053</v>
      </c>
      <c r="P235" s="10">
        <v>0.35</v>
      </c>
      <c r="Q235" s="10" t="str">
        <f>_xlfn.IFS(Table1[[#This Row],[Rating]]&gt;=4, "Top Performer", Table1[[#This Row],[Rating]]&gt;=3, "Average", TRUE, "Needs Imporovement")</f>
        <v>Needs Imporovement</v>
      </c>
    </row>
    <row r="236" spans="1:17" x14ac:dyDescent="0.3">
      <c r="A236" s="2" t="s">
        <v>516</v>
      </c>
      <c r="B236" s="2" t="s">
        <v>517</v>
      </c>
      <c r="C236" s="2" t="s">
        <v>49</v>
      </c>
      <c r="D236" s="2">
        <v>23</v>
      </c>
      <c r="E236" s="2" t="str">
        <f>_xlfn.IFS(Table1[[#This Row],[Age]]&lt;30, "18-29", D236&lt;=45,"30-45", D236&lt;=55, "46-55", TRUE, "55+")</f>
        <v>18-29</v>
      </c>
      <c r="F236" s="2" t="s">
        <v>81</v>
      </c>
      <c r="G236" s="2" t="s">
        <v>82</v>
      </c>
      <c r="H236" s="2" t="s">
        <v>14</v>
      </c>
      <c r="I236" s="5">
        <v>2</v>
      </c>
      <c r="J236" s="5" t="str">
        <f>_xlfn.IFS(Table1[[#This Row],[Experience(Years)]]&lt;5, "Junior", I236&lt;=12, "Mid-Level", I236&lt;=20, "Senior", I236&lt;=30, "Super Senior", TRUE, "Expert")</f>
        <v>Junior</v>
      </c>
      <c r="K236" s="7">
        <v>50</v>
      </c>
      <c r="L236" s="7">
        <f>Table1[[#This Row],[Hourly Rate]]*1000</f>
        <v>50000</v>
      </c>
      <c r="M236" s="7" t="str">
        <f t="shared" si="3"/>
        <v>Standard</v>
      </c>
      <c r="N236" s="2">
        <f>IF(ISNUMBER(#REF!),#REF!, _xlfn.IFS( I236&gt;=30, 5, I236&gt;=25, 4.8, I236&gt;=15, 4, I236&gt;=10, 3.8, I236&gt;=5, 3, I236&gt;=2, 2.5, I236&gt;=0, 1.8, TRUE, 1.3))</f>
        <v>2.5</v>
      </c>
      <c r="O236" s="2" t="s">
        <v>2053</v>
      </c>
      <c r="P236" s="10">
        <v>0.35</v>
      </c>
      <c r="Q236" s="10" t="str">
        <f>_xlfn.IFS(Table1[[#This Row],[Rating]]&gt;=4, "Top Performer", Table1[[#This Row],[Rating]]&gt;=3, "Average", TRUE, "Needs Imporovement")</f>
        <v>Needs Imporovement</v>
      </c>
    </row>
    <row r="237" spans="1:17" x14ac:dyDescent="0.3">
      <c r="A237" s="2" t="s">
        <v>518</v>
      </c>
      <c r="B237" s="2" t="s">
        <v>519</v>
      </c>
      <c r="C237" s="2" t="s">
        <v>49</v>
      </c>
      <c r="D237" s="2">
        <v>53</v>
      </c>
      <c r="E237" s="2" t="str">
        <f>_xlfn.IFS(Table1[[#This Row],[Age]]&lt;30, "18-29", D237&lt;=45,"30-45", D237&lt;=55, "46-55", TRUE, "55+")</f>
        <v>46-55</v>
      </c>
      <c r="F237" s="2" t="s">
        <v>81</v>
      </c>
      <c r="G237" s="2" t="s">
        <v>82</v>
      </c>
      <c r="H237" s="2" t="s">
        <v>4</v>
      </c>
      <c r="I237" s="5">
        <v>34</v>
      </c>
      <c r="J237" s="5" t="str">
        <f>_xlfn.IFS(Table1[[#This Row],[Experience(Years)]]&lt;5, "Junior", I237&lt;=12, "Mid-Level", I237&lt;=20, "Senior", I237&lt;=30, "Super Senior", TRUE, "Expert")</f>
        <v>Expert</v>
      </c>
      <c r="K237" s="7">
        <v>30</v>
      </c>
      <c r="L237" s="7">
        <f>Table1[[#This Row],[Hourly Rate]]*1000</f>
        <v>30000</v>
      </c>
      <c r="M237" s="7" t="str">
        <f t="shared" si="3"/>
        <v>Budget</v>
      </c>
      <c r="N237" s="2">
        <f>IF(ISNUMBER(#REF!),#REF!, _xlfn.IFS( I237&gt;=30, 5, I237&gt;=25, 4.8, I237&gt;=15, 4, I237&gt;=10, 3.8, I237&gt;=5, 3, I237&gt;=2, 2.5, I237&gt;=0, 1.8, TRUE, 1.3))</f>
        <v>5</v>
      </c>
      <c r="O237" s="2" t="s">
        <v>2053</v>
      </c>
      <c r="P237" s="10">
        <v>1</v>
      </c>
      <c r="Q237" s="10" t="str">
        <f>_xlfn.IFS(Table1[[#This Row],[Rating]]&gt;=4, "Top Performer", Table1[[#This Row],[Rating]]&gt;=3, "Average", TRUE, "Needs Imporovement")</f>
        <v>Top Performer</v>
      </c>
    </row>
    <row r="238" spans="1:17" x14ac:dyDescent="0.3">
      <c r="A238" s="2" t="s">
        <v>520</v>
      </c>
      <c r="B238" s="2" t="s">
        <v>521</v>
      </c>
      <c r="C238" s="2" t="s">
        <v>49</v>
      </c>
      <c r="D238" s="2">
        <v>56</v>
      </c>
      <c r="E238" s="2" t="str">
        <f>_xlfn.IFS(Table1[[#This Row],[Age]]&lt;30, "18-29", D238&lt;=45,"30-45", D238&lt;=55, "46-55", TRUE, "55+")</f>
        <v>55+</v>
      </c>
      <c r="F238" s="2" t="s">
        <v>81</v>
      </c>
      <c r="G238" s="2" t="s">
        <v>82</v>
      </c>
      <c r="H238" s="2" t="s">
        <v>14</v>
      </c>
      <c r="I238" s="5">
        <v>27</v>
      </c>
      <c r="J238" s="5" t="str">
        <f>_xlfn.IFS(Table1[[#This Row],[Experience(Years)]]&lt;5, "Junior", I238&lt;=12, "Mid-Level", I238&lt;=20, "Senior", I238&lt;=30, "Super Senior", TRUE, "Expert")</f>
        <v>Super Senior</v>
      </c>
      <c r="K238" s="7">
        <v>100</v>
      </c>
      <c r="L238" s="7">
        <f>Table1[[#This Row],[Hourly Rate]]*1000</f>
        <v>100000</v>
      </c>
      <c r="M238" s="7" t="str">
        <f t="shared" si="3"/>
        <v>Premium</v>
      </c>
      <c r="N238" s="2">
        <f>IF(ISNUMBER(#REF!),#REF!, _xlfn.IFS( I238&gt;=30, 5, I238&gt;=25, 4.8, I238&gt;=15, 4, I238&gt;=10, 3.8, I238&gt;=5, 3, I238&gt;=2, 2.5, I238&gt;=0, 1.8, TRUE, 1.3))</f>
        <v>4.8</v>
      </c>
      <c r="O238" s="2" t="s">
        <v>2053</v>
      </c>
      <c r="P238" s="10">
        <v>0.69</v>
      </c>
      <c r="Q238" s="10" t="str">
        <f>_xlfn.IFS(Table1[[#This Row],[Rating]]&gt;=4, "Top Performer", Table1[[#This Row],[Rating]]&gt;=3, "Average", TRUE, "Needs Imporovement")</f>
        <v>Top Performer</v>
      </c>
    </row>
    <row r="239" spans="1:17" x14ac:dyDescent="0.3">
      <c r="A239" s="2" t="s">
        <v>522</v>
      </c>
      <c r="B239" s="2" t="s">
        <v>523</v>
      </c>
      <c r="C239" s="2" t="s">
        <v>68</v>
      </c>
      <c r="D239" s="2">
        <v>27</v>
      </c>
      <c r="E239" s="2" t="str">
        <f>_xlfn.IFS(Table1[[#This Row],[Age]]&lt;30, "18-29", D239&lt;=45,"30-45", D239&lt;=55, "46-55", TRUE, "55+")</f>
        <v>18-29</v>
      </c>
      <c r="F239" s="2" t="s">
        <v>96</v>
      </c>
      <c r="G239" s="2" t="s">
        <v>8</v>
      </c>
      <c r="H239" s="2" t="s">
        <v>24</v>
      </c>
      <c r="I239" s="5">
        <v>4</v>
      </c>
      <c r="J239" s="5" t="str">
        <f>_xlfn.IFS(Table1[[#This Row],[Experience(Years)]]&lt;5, "Junior", I239&lt;=12, "Mid-Level", I239&lt;=20, "Senior", I239&lt;=30, "Super Senior", TRUE, "Expert")</f>
        <v>Junior</v>
      </c>
      <c r="K239" s="7">
        <v>75</v>
      </c>
      <c r="L239" s="7">
        <f>Table1[[#This Row],[Hourly Rate]]*1000</f>
        <v>75000</v>
      </c>
      <c r="M239" s="7" t="str">
        <f t="shared" si="3"/>
        <v>Standard</v>
      </c>
      <c r="N239" s="2">
        <f>IF(ISNUMBER(#REF!),#REF!, _xlfn.IFS( I239&gt;=30, 5, I239&gt;=25, 4.8, I239&gt;=15, 4, I239&gt;=10, 3.8, I239&gt;=5, 3, I239&gt;=2, 2.5, I239&gt;=0, 1.8, TRUE, 1.3))</f>
        <v>2.5</v>
      </c>
      <c r="O239" s="2" t="s">
        <v>2052</v>
      </c>
      <c r="P239" s="10">
        <v>0.88</v>
      </c>
      <c r="Q239" s="10" t="str">
        <f>_xlfn.IFS(Table1[[#This Row],[Rating]]&gt;=4, "Top Performer", Table1[[#This Row],[Rating]]&gt;=3, "Average", TRUE, "Needs Imporovement")</f>
        <v>Needs Imporovement</v>
      </c>
    </row>
    <row r="240" spans="1:17" x14ac:dyDescent="0.3">
      <c r="A240" s="2" t="s">
        <v>524</v>
      </c>
      <c r="B240" s="2" t="s">
        <v>525</v>
      </c>
      <c r="C240" s="2" t="s">
        <v>68</v>
      </c>
      <c r="D240" s="2">
        <v>34</v>
      </c>
      <c r="E240" s="2" t="str">
        <f>_xlfn.IFS(Table1[[#This Row],[Age]]&lt;30, "18-29", D240&lt;=45,"30-45", D240&lt;=55, "46-55", TRUE, "55+")</f>
        <v>30-45</v>
      </c>
      <c r="F240" s="2" t="s">
        <v>2</v>
      </c>
      <c r="G240" s="2" t="s">
        <v>3</v>
      </c>
      <c r="H240" s="2" t="s">
        <v>9</v>
      </c>
      <c r="I240" s="5">
        <v>11</v>
      </c>
      <c r="J240" s="5" t="str">
        <f>_xlfn.IFS(Table1[[#This Row],[Experience(Years)]]&lt;5, "Junior", I240&lt;=12, "Mid-Level", I240&lt;=20, "Senior", I240&lt;=30, "Super Senior", TRUE, "Expert")</f>
        <v>Mid-Level</v>
      </c>
      <c r="K240" s="7">
        <v>40</v>
      </c>
      <c r="L240" s="7">
        <f>Table1[[#This Row],[Hourly Rate]]*1000</f>
        <v>40000</v>
      </c>
      <c r="M240" s="7" t="str">
        <f t="shared" si="3"/>
        <v>Standard</v>
      </c>
      <c r="N240" s="2">
        <f>IF(ISNUMBER(#REF!),#REF!, _xlfn.IFS( I240&gt;=30, 5, I240&gt;=25, 4.8, I240&gt;=15, 4, I240&gt;=10, 3.8, I240&gt;=5, 3, I240&gt;=2, 2.5, I240&gt;=0, 1.8, TRUE, 1.3))</f>
        <v>3.8</v>
      </c>
      <c r="O240" s="2" t="s">
        <v>2052</v>
      </c>
      <c r="P240" s="10">
        <v>0.67</v>
      </c>
      <c r="Q240" s="10" t="str">
        <f>_xlfn.IFS(Table1[[#This Row],[Rating]]&gt;=4, "Top Performer", Table1[[#This Row],[Rating]]&gt;=3, "Average", TRUE, "Needs Imporovement")</f>
        <v>Average</v>
      </c>
    </row>
    <row r="241" spans="1:17" x14ac:dyDescent="0.3">
      <c r="A241" s="2" t="s">
        <v>526</v>
      </c>
      <c r="B241" s="2" t="s">
        <v>527</v>
      </c>
      <c r="C241" s="2" t="s">
        <v>68</v>
      </c>
      <c r="D241" s="2">
        <v>29</v>
      </c>
      <c r="E241" s="2" t="str">
        <f>_xlfn.IFS(Table1[[#This Row],[Age]]&lt;30, "18-29", D241&lt;=45,"30-45", D241&lt;=55, "46-55", TRUE, "55+")</f>
        <v>18-29</v>
      </c>
      <c r="F241" s="2" t="s">
        <v>34</v>
      </c>
      <c r="G241" s="2" t="s">
        <v>8</v>
      </c>
      <c r="H241" s="2" t="s">
        <v>17</v>
      </c>
      <c r="I241" s="5">
        <v>4</v>
      </c>
      <c r="J241" s="5" t="str">
        <f>_xlfn.IFS(Table1[[#This Row],[Experience(Years)]]&lt;5, "Junior", I241&lt;=12, "Mid-Level", I241&lt;=20, "Senior", I241&lt;=30, "Super Senior", TRUE, "Expert")</f>
        <v>Junior</v>
      </c>
      <c r="K241" s="7">
        <v>50</v>
      </c>
      <c r="L241" s="7">
        <f>Table1[[#This Row],[Hourly Rate]]*1000</f>
        <v>50000</v>
      </c>
      <c r="M241" s="7" t="str">
        <f t="shared" si="3"/>
        <v>Standard</v>
      </c>
      <c r="N241" s="2">
        <f>IF(ISNUMBER(#REF!),#REF!, _xlfn.IFS( I241&gt;=30, 5, I241&gt;=25, 4.8, I241&gt;=15, 4, I241&gt;=10, 3.8, I241&gt;=5, 3, I241&gt;=2, 2.5, I241&gt;=0, 1.8, TRUE, 1.3))</f>
        <v>2.5</v>
      </c>
      <c r="O241" s="2" t="s">
        <v>2052</v>
      </c>
      <c r="P241" s="10">
        <v>0.35</v>
      </c>
      <c r="Q241" s="10" t="str">
        <f>_xlfn.IFS(Table1[[#This Row],[Rating]]&gt;=4, "Top Performer", Table1[[#This Row],[Rating]]&gt;=3, "Average", TRUE, "Needs Imporovement")</f>
        <v>Needs Imporovement</v>
      </c>
    </row>
    <row r="242" spans="1:17" x14ac:dyDescent="0.3">
      <c r="A242" s="2" t="s">
        <v>528</v>
      </c>
      <c r="B242" s="2" t="s">
        <v>529</v>
      </c>
      <c r="C242" s="2" t="s">
        <v>68</v>
      </c>
      <c r="D242" s="2">
        <v>34</v>
      </c>
      <c r="E242" s="2" t="str">
        <f>_xlfn.IFS(Table1[[#This Row],[Age]]&lt;30, "18-29", D242&lt;=45,"30-45", D242&lt;=55, "46-55", TRUE, "55+")</f>
        <v>30-45</v>
      </c>
      <c r="F242" s="2" t="s">
        <v>64</v>
      </c>
      <c r="G242" s="2" t="s">
        <v>65</v>
      </c>
      <c r="H242" s="2" t="s">
        <v>24</v>
      </c>
      <c r="I242" s="5">
        <v>11</v>
      </c>
      <c r="J242" s="5" t="str">
        <f>_xlfn.IFS(Table1[[#This Row],[Experience(Years)]]&lt;5, "Junior", I242&lt;=12, "Mid-Level", I242&lt;=20, "Senior", I242&lt;=30, "Super Senior", TRUE, "Expert")</f>
        <v>Mid-Level</v>
      </c>
      <c r="K242" s="7">
        <v>60</v>
      </c>
      <c r="L242" s="7">
        <f>Table1[[#This Row],[Hourly Rate]]*1000</f>
        <v>60000</v>
      </c>
      <c r="M242" s="7" t="str">
        <f t="shared" si="3"/>
        <v>Standard</v>
      </c>
      <c r="N242" s="2">
        <f>IF(ISNUMBER(#REF!),#REF!, _xlfn.IFS( I242&gt;=30, 5, I242&gt;=25, 4.8, I242&gt;=15, 4, I242&gt;=10, 3.8, I242&gt;=5, 3, I242&gt;=2, 2.5, I242&gt;=0, 1.8, TRUE, 1.3))</f>
        <v>3.8</v>
      </c>
      <c r="O242" s="2" t="s">
        <v>2053</v>
      </c>
      <c r="P242" s="10">
        <v>0.75</v>
      </c>
      <c r="Q242" s="10" t="str">
        <f>_xlfn.IFS(Table1[[#This Row],[Rating]]&gt;=4, "Top Performer", Table1[[#This Row],[Rating]]&gt;=3, "Average", TRUE, "Needs Imporovement")</f>
        <v>Average</v>
      </c>
    </row>
    <row r="243" spans="1:17" x14ac:dyDescent="0.3">
      <c r="A243" s="2" t="s">
        <v>530</v>
      </c>
      <c r="B243" s="2" t="s">
        <v>531</v>
      </c>
      <c r="C243" s="2" t="s">
        <v>49</v>
      </c>
      <c r="D243" s="2">
        <v>32</v>
      </c>
      <c r="E243" s="2" t="str">
        <f>_xlfn.IFS(Table1[[#This Row],[Age]]&lt;30, "18-29", D243&lt;=45,"30-45", D243&lt;=55, "46-55", TRUE, "55+")</f>
        <v>30-45</v>
      </c>
      <c r="F243" s="2" t="s">
        <v>145</v>
      </c>
      <c r="G243" s="2" t="s">
        <v>45</v>
      </c>
      <c r="H243" s="2" t="s">
        <v>24</v>
      </c>
      <c r="I243" s="5">
        <v>1</v>
      </c>
      <c r="J243" s="5" t="str">
        <f>_xlfn.IFS(Table1[[#This Row],[Experience(Years)]]&lt;5, "Junior", I243&lt;=12, "Mid-Level", I243&lt;=20, "Senior", I243&lt;=30, "Super Senior", TRUE, "Expert")</f>
        <v>Junior</v>
      </c>
      <c r="K243" s="7">
        <v>100</v>
      </c>
      <c r="L243" s="7">
        <f>Table1[[#This Row],[Hourly Rate]]*1000</f>
        <v>100000</v>
      </c>
      <c r="M243" s="7" t="str">
        <f t="shared" si="3"/>
        <v>Premium</v>
      </c>
      <c r="N243" s="2">
        <f>IF(ISNUMBER(#REF!),#REF!, _xlfn.IFS( I243&gt;=30, 5, I243&gt;=25, 4.8, I243&gt;=15, 4, I243&gt;=10, 3.8, I243&gt;=5, 3, I243&gt;=2, 2.5, I243&gt;=0, 1.8, TRUE, 1.3))</f>
        <v>1.8</v>
      </c>
      <c r="O243" s="2" t="s">
        <v>2052</v>
      </c>
      <c r="P243" s="10">
        <v>0.67</v>
      </c>
      <c r="Q243" s="10" t="str">
        <f>_xlfn.IFS(Table1[[#This Row],[Rating]]&gt;=4, "Top Performer", Table1[[#This Row],[Rating]]&gt;=3, "Average", TRUE, "Needs Imporovement")</f>
        <v>Needs Imporovement</v>
      </c>
    </row>
    <row r="244" spans="1:17" x14ac:dyDescent="0.3">
      <c r="A244" s="2" t="s">
        <v>532</v>
      </c>
      <c r="B244" s="2" t="s">
        <v>533</v>
      </c>
      <c r="C244" s="2" t="s">
        <v>49</v>
      </c>
      <c r="D244" s="2">
        <v>21</v>
      </c>
      <c r="E244" s="2" t="str">
        <f>_xlfn.IFS(Table1[[#This Row],[Age]]&lt;30, "18-29", D244&lt;=45,"30-45", D244&lt;=55, "46-55", TRUE, "55+")</f>
        <v>18-29</v>
      </c>
      <c r="F244" s="2" t="s">
        <v>121</v>
      </c>
      <c r="G244" s="2" t="s">
        <v>122</v>
      </c>
      <c r="H244" s="2" t="s">
        <v>83</v>
      </c>
      <c r="I244" s="5">
        <v>2</v>
      </c>
      <c r="J244" s="5" t="str">
        <f>_xlfn.IFS(Table1[[#This Row],[Experience(Years)]]&lt;5, "Junior", I244&lt;=12, "Mid-Level", I244&lt;=20, "Senior", I244&lt;=30, "Super Senior", TRUE, "Expert")</f>
        <v>Junior</v>
      </c>
      <c r="K244" s="7">
        <v>20</v>
      </c>
      <c r="L244" s="7">
        <f>Table1[[#This Row],[Hourly Rate]]*1000</f>
        <v>20000</v>
      </c>
      <c r="M244" s="7" t="str">
        <f t="shared" si="3"/>
        <v>Budget</v>
      </c>
      <c r="N244" s="2">
        <f>IF(ISNUMBER(#REF!),#REF!, _xlfn.IFS( I244&gt;=30, 5, I244&gt;=25, 4.8, I244&gt;=15, 4, I244&gt;=10, 3.8, I244&gt;=5, 3, I244&gt;=2, 2.5, I244&gt;=0, 1.8, TRUE, 1.3))</f>
        <v>2.5</v>
      </c>
      <c r="O244" s="2" t="str">
        <f>IF(AND( Table1[[#This Row],[Rating]]&gt;=3.5, Table1[[#This Row],[Experience(Years)]]&gt;=15), "Active", "Inactive")</f>
        <v>Inactive</v>
      </c>
      <c r="P244" s="10">
        <v>0.86</v>
      </c>
      <c r="Q244" s="10" t="str">
        <f>_xlfn.IFS(Table1[[#This Row],[Rating]]&gt;=4, "Top Performer", Table1[[#This Row],[Rating]]&gt;=3, "Average", TRUE, "Needs Imporovement")</f>
        <v>Needs Imporovement</v>
      </c>
    </row>
    <row r="245" spans="1:17" x14ac:dyDescent="0.3">
      <c r="A245" s="2" t="s">
        <v>534</v>
      </c>
      <c r="B245" s="2" t="s">
        <v>535</v>
      </c>
      <c r="C245" s="2" t="s">
        <v>68</v>
      </c>
      <c r="D245" s="2">
        <v>20</v>
      </c>
      <c r="E245" s="2" t="str">
        <f>_xlfn.IFS(Table1[[#This Row],[Age]]&lt;30, "18-29", D245&lt;=45,"30-45", D245&lt;=55, "46-55", TRUE, "55+")</f>
        <v>18-29</v>
      </c>
      <c r="F245" s="2" t="s">
        <v>145</v>
      </c>
      <c r="G245" s="2" t="s">
        <v>45</v>
      </c>
      <c r="H245" s="2" t="s">
        <v>14</v>
      </c>
      <c r="I245" s="5">
        <v>2</v>
      </c>
      <c r="J245" s="5" t="str">
        <f>_xlfn.IFS(Table1[[#This Row],[Experience(Years)]]&lt;5, "Junior", I245&lt;=12, "Mid-Level", I245&lt;=20, "Senior", I245&lt;=30, "Super Senior", TRUE, "Expert")</f>
        <v>Junior</v>
      </c>
      <c r="K245" s="7">
        <v>20</v>
      </c>
      <c r="L245" s="7">
        <f>Table1[[#This Row],[Hourly Rate]]*1000</f>
        <v>20000</v>
      </c>
      <c r="M245" s="7" t="str">
        <f t="shared" si="3"/>
        <v>Budget</v>
      </c>
      <c r="N245" s="2">
        <f>IF(ISNUMBER(#REF!),#REF!, _xlfn.IFS( I245&gt;=30, 5, I245&gt;=25, 4.8, I245&gt;=15, 4, I245&gt;=10, 3.8, I245&gt;=5, 3, I245&gt;=2, 2.5, I245&gt;=0, 1.8, TRUE, 1.3))</f>
        <v>2.5</v>
      </c>
      <c r="O245" s="2" t="s">
        <v>2052</v>
      </c>
      <c r="P245" s="10">
        <v>0.69</v>
      </c>
      <c r="Q245" s="10" t="str">
        <f>_xlfn.IFS(Table1[[#This Row],[Rating]]&gt;=4, "Top Performer", Table1[[#This Row],[Rating]]&gt;=3, "Average", TRUE, "Needs Imporovement")</f>
        <v>Needs Imporovement</v>
      </c>
    </row>
    <row r="246" spans="1:17" x14ac:dyDescent="0.3">
      <c r="A246" s="2" t="s">
        <v>536</v>
      </c>
      <c r="B246" s="2" t="s">
        <v>537</v>
      </c>
      <c r="C246" s="2" t="s">
        <v>49</v>
      </c>
      <c r="D246" s="2">
        <v>35</v>
      </c>
      <c r="E246" s="2" t="str">
        <f>_xlfn.IFS(Table1[[#This Row],[Age]]&lt;30, "18-29", D246&lt;=45,"30-45", D246&lt;=55, "46-55", TRUE, "55+")</f>
        <v>30-45</v>
      </c>
      <c r="F246" s="2" t="s">
        <v>34</v>
      </c>
      <c r="G246" s="2" t="s">
        <v>8</v>
      </c>
      <c r="H246" s="2" t="s">
        <v>9</v>
      </c>
      <c r="I246" s="5">
        <v>10</v>
      </c>
      <c r="J246" s="5" t="str">
        <f>_xlfn.IFS(Table1[[#This Row],[Experience(Years)]]&lt;5, "Junior", I246&lt;=12, "Mid-Level", I246&lt;=20, "Senior", I246&lt;=30, "Super Senior", TRUE, "Expert")</f>
        <v>Mid-Level</v>
      </c>
      <c r="K246" s="7">
        <v>50</v>
      </c>
      <c r="L246" s="7">
        <f>Table1[[#This Row],[Hourly Rate]]*1000</f>
        <v>50000</v>
      </c>
      <c r="M246" s="7" t="str">
        <f t="shared" si="3"/>
        <v>Standard</v>
      </c>
      <c r="N246" s="2">
        <f>IF(ISNUMBER(#REF!),#REF!, _xlfn.IFS( I246&gt;=30, 5, I246&gt;=25, 4.8, I246&gt;=15, 4, I246&gt;=10, 3.8, I246&gt;=5, 3, I246&gt;=2, 2.5, I246&gt;=0, 1.8, TRUE, 1.3))</f>
        <v>3.8</v>
      </c>
      <c r="O246" s="2" t="s">
        <v>2053</v>
      </c>
      <c r="P246" s="10">
        <v>0.85</v>
      </c>
      <c r="Q246" s="10" t="str">
        <f>_xlfn.IFS(Table1[[#This Row],[Rating]]&gt;=4, "Top Performer", Table1[[#This Row],[Rating]]&gt;=3, "Average", TRUE, "Needs Imporovement")</f>
        <v>Average</v>
      </c>
    </row>
    <row r="247" spans="1:17" x14ac:dyDescent="0.3">
      <c r="A247" s="2" t="s">
        <v>538</v>
      </c>
      <c r="B247" s="2" t="s">
        <v>539</v>
      </c>
      <c r="C247" s="2" t="s">
        <v>49</v>
      </c>
      <c r="D247" s="2">
        <v>47</v>
      </c>
      <c r="E247" s="2" t="str">
        <f>_xlfn.IFS(Table1[[#This Row],[Age]]&lt;30, "18-29", D247&lt;=45,"30-45", D247&lt;=55, "46-55", TRUE, "55+")</f>
        <v>46-55</v>
      </c>
      <c r="F247" s="2" t="s">
        <v>34</v>
      </c>
      <c r="G247" s="2" t="s">
        <v>8</v>
      </c>
      <c r="H247" s="2" t="s">
        <v>46</v>
      </c>
      <c r="I247" s="5">
        <v>18</v>
      </c>
      <c r="J247" s="5" t="str">
        <f>_xlfn.IFS(Table1[[#This Row],[Experience(Years)]]&lt;5, "Junior", I247&lt;=12, "Mid-Level", I247&lt;=20, "Senior", I247&lt;=30, "Super Senior", TRUE, "Expert")</f>
        <v>Senior</v>
      </c>
      <c r="K247" s="7">
        <v>40</v>
      </c>
      <c r="L247" s="7">
        <f>Table1[[#This Row],[Hourly Rate]]*1000</f>
        <v>40000</v>
      </c>
      <c r="M247" s="7" t="str">
        <f t="shared" si="3"/>
        <v>Standard</v>
      </c>
      <c r="N247" s="2">
        <f>IF(ISNUMBER(#REF!),#REF!, _xlfn.IFS( I247&gt;=30, 5, I247&gt;=25, 4.8, I247&gt;=15, 4, I247&gt;=10, 3.8, I247&gt;=5, 3, I247&gt;=2, 2.5, I247&gt;=0, 1.8, TRUE, 1.3))</f>
        <v>4</v>
      </c>
      <c r="O247" s="2" t="s">
        <v>2052</v>
      </c>
      <c r="P247" s="10">
        <v>0.6</v>
      </c>
      <c r="Q247" s="10" t="str">
        <f>_xlfn.IFS(Table1[[#This Row],[Rating]]&gt;=4, "Top Performer", Table1[[#This Row],[Rating]]&gt;=3, "Average", TRUE, "Needs Imporovement")</f>
        <v>Top Performer</v>
      </c>
    </row>
    <row r="248" spans="1:17" x14ac:dyDescent="0.3">
      <c r="A248" s="2" t="s">
        <v>540</v>
      </c>
      <c r="B248" s="2" t="s">
        <v>541</v>
      </c>
      <c r="C248" s="2" t="s">
        <v>49</v>
      </c>
      <c r="D248" s="2">
        <v>41</v>
      </c>
      <c r="E248" s="2" t="str">
        <f>_xlfn.IFS(Table1[[#This Row],[Age]]&lt;30, "18-29", D248&lt;=45,"30-45", D248&lt;=55, "46-55", TRUE, "55+")</f>
        <v>30-45</v>
      </c>
      <c r="F248" s="2" t="s">
        <v>37</v>
      </c>
      <c r="G248" s="2" t="s">
        <v>38</v>
      </c>
      <c r="H248" s="2" t="s">
        <v>4</v>
      </c>
      <c r="I248" s="5">
        <v>4</v>
      </c>
      <c r="J248" s="5" t="str">
        <f>_xlfn.IFS(Table1[[#This Row],[Experience(Years)]]&lt;5, "Junior", I248&lt;=12, "Mid-Level", I248&lt;=20, "Senior", I248&lt;=30, "Super Senior", TRUE, "Expert")</f>
        <v>Junior</v>
      </c>
      <c r="K248" s="7">
        <v>40</v>
      </c>
      <c r="L248" s="7">
        <f>Table1[[#This Row],[Hourly Rate]]*1000</f>
        <v>40000</v>
      </c>
      <c r="M248" s="7" t="str">
        <f t="shared" si="3"/>
        <v>Standard</v>
      </c>
      <c r="N248" s="2">
        <f>IF(ISNUMBER(#REF!),#REF!, _xlfn.IFS( I248&gt;=30, 5, I248&gt;=25, 4.8, I248&gt;=15, 4, I248&gt;=10, 3.8, I248&gt;=5, 3, I248&gt;=2, 2.5, I248&gt;=0, 1.8, TRUE, 1.3))</f>
        <v>2.5</v>
      </c>
      <c r="O248" s="2" t="s">
        <v>2053</v>
      </c>
      <c r="P248" s="10">
        <v>0.7</v>
      </c>
      <c r="Q248" s="10" t="str">
        <f>_xlfn.IFS(Table1[[#This Row],[Rating]]&gt;=4, "Top Performer", Table1[[#This Row],[Rating]]&gt;=3, "Average", TRUE, "Needs Imporovement")</f>
        <v>Needs Imporovement</v>
      </c>
    </row>
    <row r="249" spans="1:17" x14ac:dyDescent="0.3">
      <c r="A249" s="2" t="s">
        <v>542</v>
      </c>
      <c r="B249" s="2" t="s">
        <v>543</v>
      </c>
      <c r="C249" s="2" t="s">
        <v>68</v>
      </c>
      <c r="D249" s="2">
        <v>58</v>
      </c>
      <c r="E249" s="2" t="str">
        <f>_xlfn.IFS(Table1[[#This Row],[Age]]&lt;30, "18-29", D249&lt;=45,"30-45", D249&lt;=55, "46-55", TRUE, "55+")</f>
        <v>55+</v>
      </c>
      <c r="F249" s="2" t="s">
        <v>44</v>
      </c>
      <c r="G249" s="2" t="s">
        <v>45</v>
      </c>
      <c r="H249" s="2" t="s">
        <v>17</v>
      </c>
      <c r="I249" s="5">
        <v>23</v>
      </c>
      <c r="J249" s="5" t="str">
        <f>_xlfn.IFS(Table1[[#This Row],[Experience(Years)]]&lt;5, "Junior", I249&lt;=12, "Mid-Level", I249&lt;=20, "Senior", I249&lt;=30, "Super Senior", TRUE, "Expert")</f>
        <v>Super Senior</v>
      </c>
      <c r="K249" s="7">
        <v>75</v>
      </c>
      <c r="L249" s="7">
        <f>Table1[[#This Row],[Hourly Rate]]*1000</f>
        <v>75000</v>
      </c>
      <c r="M249" s="7" t="str">
        <f t="shared" si="3"/>
        <v>Standard</v>
      </c>
      <c r="N249" s="2">
        <f>IF(ISNUMBER(#REF!),#REF!, _xlfn.IFS( I249&gt;=30, 5, I249&gt;=25, 4.8, I249&gt;=15, 4, I249&gt;=10, 3.8, I249&gt;=5, 3, I249&gt;=2, 2.5, I249&gt;=0, 1.8, TRUE, 1.3))</f>
        <v>4</v>
      </c>
      <c r="O249" s="2" t="s">
        <v>2052</v>
      </c>
      <c r="P249" s="10">
        <v>0.85</v>
      </c>
      <c r="Q249" s="10" t="str">
        <f>_xlfn.IFS(Table1[[#This Row],[Rating]]&gt;=4, "Top Performer", Table1[[#This Row],[Rating]]&gt;=3, "Average", TRUE, "Needs Imporovement")</f>
        <v>Top Performer</v>
      </c>
    </row>
    <row r="250" spans="1:17" x14ac:dyDescent="0.3">
      <c r="A250" s="2" t="s">
        <v>544</v>
      </c>
      <c r="B250" s="2" t="s">
        <v>545</v>
      </c>
      <c r="C250" s="2" t="s">
        <v>68</v>
      </c>
      <c r="D250" s="2">
        <v>34</v>
      </c>
      <c r="E250" s="2" t="str">
        <f>_xlfn.IFS(Table1[[#This Row],[Age]]&lt;30, "18-29", D250&lt;=45,"30-45", D250&lt;=55, "46-55", TRUE, "55+")</f>
        <v>30-45</v>
      </c>
      <c r="F250" s="2" t="s">
        <v>141</v>
      </c>
      <c r="G250" s="2" t="s">
        <v>142</v>
      </c>
      <c r="H250" s="2" t="s">
        <v>29</v>
      </c>
      <c r="I250" s="5">
        <v>6</v>
      </c>
      <c r="J250" s="5" t="str">
        <f>_xlfn.IFS(Table1[[#This Row],[Experience(Years)]]&lt;5, "Junior", I250&lt;=12, "Mid-Level", I250&lt;=20, "Senior", I250&lt;=30, "Super Senior", TRUE, "Expert")</f>
        <v>Mid-Level</v>
      </c>
      <c r="K250" s="7">
        <v>75</v>
      </c>
      <c r="L250" s="7">
        <f>Table1[[#This Row],[Hourly Rate]]*1000</f>
        <v>75000</v>
      </c>
      <c r="M250" s="7" t="str">
        <f t="shared" si="3"/>
        <v>Standard</v>
      </c>
      <c r="N250" s="2">
        <f>IF(ISNUMBER(#REF!),#REF!, _xlfn.IFS( I250&gt;=30, 5, I250&gt;=25, 4.8, I250&gt;=15, 4, I250&gt;=10, 3.8, I250&gt;=5, 3, I250&gt;=2, 2.5, I250&gt;=0, 1.8, TRUE, 1.3))</f>
        <v>3</v>
      </c>
      <c r="O250" s="2" t="s">
        <v>2053</v>
      </c>
      <c r="P250" s="10">
        <v>0.81</v>
      </c>
      <c r="Q250" s="10" t="str">
        <f>_xlfn.IFS(Table1[[#This Row],[Rating]]&gt;=4, "Top Performer", Table1[[#This Row],[Rating]]&gt;=3, "Average", TRUE, "Needs Imporovement")</f>
        <v>Average</v>
      </c>
    </row>
    <row r="251" spans="1:17" x14ac:dyDescent="0.3">
      <c r="A251" s="2" t="s">
        <v>546</v>
      </c>
      <c r="B251" s="2" t="s">
        <v>547</v>
      </c>
      <c r="C251" s="2" t="s">
        <v>49</v>
      </c>
      <c r="D251" s="2">
        <v>50</v>
      </c>
      <c r="E251" s="2" t="str">
        <f>_xlfn.IFS(Table1[[#This Row],[Age]]&lt;30, "18-29", D251&lt;=45,"30-45", D251&lt;=55, "46-55", TRUE, "55+")</f>
        <v>46-55</v>
      </c>
      <c r="F251" s="2" t="s">
        <v>64</v>
      </c>
      <c r="G251" s="2" t="s">
        <v>65</v>
      </c>
      <c r="H251" s="2" t="s">
        <v>9</v>
      </c>
      <c r="I251" s="5">
        <v>5</v>
      </c>
      <c r="J251" s="5" t="str">
        <f>_xlfn.IFS(Table1[[#This Row],[Experience(Years)]]&lt;5, "Junior", I251&lt;=12, "Mid-Level", I251&lt;=20, "Senior", I251&lt;=30, "Super Senior", TRUE, "Expert")</f>
        <v>Mid-Level</v>
      </c>
      <c r="K251" s="7">
        <v>100</v>
      </c>
      <c r="L251" s="7">
        <f>Table1[[#This Row],[Hourly Rate]]*1000</f>
        <v>100000</v>
      </c>
      <c r="M251" s="7" t="str">
        <f t="shared" si="3"/>
        <v>Premium</v>
      </c>
      <c r="N251" s="2">
        <f>IF(ISNUMBER(#REF!),#REF!, _xlfn.IFS( I251&gt;=30, 5, I251&gt;=25, 4.8, I251&gt;=15, 4, I251&gt;=10, 3.8, I251&gt;=5, 3, I251&gt;=2, 2.5, I251&gt;=0, 1.8, TRUE, 1.3))</f>
        <v>3</v>
      </c>
      <c r="O251" s="2" t="s">
        <v>2053</v>
      </c>
      <c r="P251" s="10">
        <v>0.6</v>
      </c>
      <c r="Q251" s="10" t="str">
        <f>_xlfn.IFS(Table1[[#This Row],[Rating]]&gt;=4, "Top Performer", Table1[[#This Row],[Rating]]&gt;=3, "Average", TRUE, "Needs Imporovement")</f>
        <v>Average</v>
      </c>
    </row>
    <row r="252" spans="1:17" x14ac:dyDescent="0.3">
      <c r="A252" s="2" t="s">
        <v>548</v>
      </c>
      <c r="B252" s="2" t="s">
        <v>549</v>
      </c>
      <c r="C252" s="2" t="s">
        <v>49</v>
      </c>
      <c r="D252" s="2">
        <v>42</v>
      </c>
      <c r="E252" s="2" t="str">
        <f>_xlfn.IFS(Table1[[#This Row],[Age]]&lt;30, "18-29", D252&lt;=45,"30-45", D252&lt;=55, "46-55", TRUE, "55+")</f>
        <v>30-45</v>
      </c>
      <c r="F252" s="2" t="s">
        <v>145</v>
      </c>
      <c r="G252" s="2" t="s">
        <v>45</v>
      </c>
      <c r="H252" s="2" t="s">
        <v>61</v>
      </c>
      <c r="I252" s="5">
        <v>19</v>
      </c>
      <c r="J252" s="5" t="str">
        <f>_xlfn.IFS(Table1[[#This Row],[Experience(Years)]]&lt;5, "Junior", I252&lt;=12, "Mid-Level", I252&lt;=20, "Senior", I252&lt;=30, "Super Senior", TRUE, "Expert")</f>
        <v>Senior</v>
      </c>
      <c r="K252" s="7">
        <v>75</v>
      </c>
      <c r="L252" s="7">
        <f>Table1[[#This Row],[Hourly Rate]]*1000</f>
        <v>75000</v>
      </c>
      <c r="M252" s="7" t="str">
        <f t="shared" si="3"/>
        <v>Standard</v>
      </c>
      <c r="N252" s="2">
        <f>IF(ISNUMBER(#REF!),#REF!, _xlfn.IFS( I252&gt;=30, 5, I252&gt;=25, 4.8, I252&gt;=15, 4, I252&gt;=10, 3.8, I252&gt;=5, 3, I252&gt;=2, 2.5, I252&gt;=0, 1.8, TRUE, 1.3))</f>
        <v>4</v>
      </c>
      <c r="O252" s="2" t="s">
        <v>2052</v>
      </c>
      <c r="P252" s="10">
        <v>0.78</v>
      </c>
      <c r="Q252" s="10" t="str">
        <f>_xlfn.IFS(Table1[[#This Row],[Rating]]&gt;=4, "Top Performer", Table1[[#This Row],[Rating]]&gt;=3, "Average", TRUE, "Needs Imporovement")</f>
        <v>Top Performer</v>
      </c>
    </row>
    <row r="253" spans="1:17" x14ac:dyDescent="0.3">
      <c r="A253" s="2" t="s">
        <v>550</v>
      </c>
      <c r="B253" s="2" t="s">
        <v>551</v>
      </c>
      <c r="C253" s="2" t="s">
        <v>68</v>
      </c>
      <c r="D253" s="2">
        <v>43</v>
      </c>
      <c r="E253" s="2" t="str">
        <f>_xlfn.IFS(Table1[[#This Row],[Age]]&lt;30, "18-29", D253&lt;=45,"30-45", D253&lt;=55, "46-55", TRUE, "55+")</f>
        <v>30-45</v>
      </c>
      <c r="F253" s="2" t="s">
        <v>12</v>
      </c>
      <c r="G253" s="2" t="s">
        <v>13</v>
      </c>
      <c r="H253" s="2" t="s">
        <v>46</v>
      </c>
      <c r="I253" s="5">
        <v>6</v>
      </c>
      <c r="J253" s="5" t="str">
        <f>_xlfn.IFS(Table1[[#This Row],[Experience(Years)]]&lt;5, "Junior", I253&lt;=12, "Mid-Level", I253&lt;=20, "Senior", I253&lt;=30, "Super Senior", TRUE, "Expert")</f>
        <v>Mid-Level</v>
      </c>
      <c r="K253" s="7">
        <v>50</v>
      </c>
      <c r="L253" s="7">
        <f>Table1[[#This Row],[Hourly Rate]]*1000</f>
        <v>50000</v>
      </c>
      <c r="M253" s="7" t="str">
        <f t="shared" si="3"/>
        <v>Standard</v>
      </c>
      <c r="N253" s="2">
        <f>IF(ISNUMBER(#REF!),#REF!, _xlfn.IFS( I253&gt;=30, 5, I253&gt;=25, 4.8, I253&gt;=15, 4, I253&gt;=10, 3.8, I253&gt;=5, 3, I253&gt;=2, 2.5, I253&gt;=0, 1.8, TRUE, 1.3))</f>
        <v>3</v>
      </c>
      <c r="O253" s="2" t="s">
        <v>2052</v>
      </c>
      <c r="P253" s="10">
        <v>0.81</v>
      </c>
      <c r="Q253" s="10" t="str">
        <f>_xlfn.IFS(Table1[[#This Row],[Rating]]&gt;=4, "Top Performer", Table1[[#This Row],[Rating]]&gt;=3, "Average", TRUE, "Needs Imporovement")</f>
        <v>Average</v>
      </c>
    </row>
    <row r="254" spans="1:17" x14ac:dyDescent="0.3">
      <c r="A254" s="2" t="s">
        <v>552</v>
      </c>
      <c r="B254" s="2" t="s">
        <v>553</v>
      </c>
      <c r="C254" s="2" t="s">
        <v>68</v>
      </c>
      <c r="D254" s="2">
        <v>34</v>
      </c>
      <c r="E254" s="2" t="str">
        <f>_xlfn.IFS(Table1[[#This Row],[Age]]&lt;30, "18-29", D254&lt;=45,"30-45", D254&lt;=55, "46-55", TRUE, "55+")</f>
        <v>30-45</v>
      </c>
      <c r="F254" s="2" t="s">
        <v>12</v>
      </c>
      <c r="G254" s="2" t="s">
        <v>13</v>
      </c>
      <c r="H254" s="2" t="s">
        <v>29</v>
      </c>
      <c r="I254" s="5">
        <v>8</v>
      </c>
      <c r="J254" s="5" t="str">
        <f>_xlfn.IFS(Table1[[#This Row],[Experience(Years)]]&lt;5, "Junior", I254&lt;=12, "Mid-Level", I254&lt;=20, "Senior", I254&lt;=30, "Super Senior", TRUE, "Expert")</f>
        <v>Mid-Level</v>
      </c>
      <c r="K254" s="7">
        <v>75</v>
      </c>
      <c r="L254" s="7">
        <f>Table1[[#This Row],[Hourly Rate]]*1000</f>
        <v>75000</v>
      </c>
      <c r="M254" s="7" t="str">
        <f t="shared" si="3"/>
        <v>Standard</v>
      </c>
      <c r="N254" s="2">
        <f>IF(ISNUMBER(#REF!),#REF!, _xlfn.IFS( I254&gt;=30, 5, I254&gt;=25, 4.8, I254&gt;=15, 4, I254&gt;=10, 3.8, I254&gt;=5, 3, I254&gt;=2, 2.5, I254&gt;=0, 1.8, TRUE, 1.3))</f>
        <v>3</v>
      </c>
      <c r="O254" s="2" t="s">
        <v>2053</v>
      </c>
      <c r="P254" s="10">
        <v>0.71</v>
      </c>
      <c r="Q254" s="10" t="str">
        <f>_xlfn.IFS(Table1[[#This Row],[Rating]]&gt;=4, "Top Performer", Table1[[#This Row],[Rating]]&gt;=3, "Average", TRUE, "Needs Imporovement")</f>
        <v>Average</v>
      </c>
    </row>
    <row r="255" spans="1:17" x14ac:dyDescent="0.3">
      <c r="A255" s="2" t="s">
        <v>554</v>
      </c>
      <c r="B255" s="2" t="s">
        <v>555</v>
      </c>
      <c r="C255" s="2" t="s">
        <v>68</v>
      </c>
      <c r="D255" s="2">
        <v>24</v>
      </c>
      <c r="E255" s="2" t="str">
        <f>_xlfn.IFS(Table1[[#This Row],[Age]]&lt;30, "18-29", D255&lt;=45,"30-45", D255&lt;=55, "46-55", TRUE, "55+")</f>
        <v>18-29</v>
      </c>
      <c r="F255" s="2" t="s">
        <v>156</v>
      </c>
      <c r="G255" s="2" t="s">
        <v>45</v>
      </c>
      <c r="H255" s="2" t="s">
        <v>9</v>
      </c>
      <c r="I255" s="5">
        <v>3</v>
      </c>
      <c r="J255" s="5" t="str">
        <f>_xlfn.IFS(Table1[[#This Row],[Experience(Years)]]&lt;5, "Junior", I255&lt;=12, "Mid-Level", I255&lt;=20, "Senior", I255&lt;=30, "Super Senior", TRUE, "Expert")</f>
        <v>Junior</v>
      </c>
      <c r="K255" s="7">
        <v>75</v>
      </c>
      <c r="L255" s="7">
        <f>Table1[[#This Row],[Hourly Rate]]*1000</f>
        <v>75000</v>
      </c>
      <c r="M255" s="7" t="str">
        <f t="shared" si="3"/>
        <v>Standard</v>
      </c>
      <c r="N255" s="2">
        <f>IF(ISNUMBER(#REF!),#REF!, _xlfn.IFS( I255&gt;=30, 5, I255&gt;=25, 4.8, I255&gt;=15, 4, I255&gt;=10, 3.8, I255&gt;=5, 3, I255&gt;=2, 2.5, I255&gt;=0, 1.8, TRUE, 1.3))</f>
        <v>2.5</v>
      </c>
      <c r="O255" s="2" t="s">
        <v>2052</v>
      </c>
      <c r="P255" s="10">
        <v>0.35</v>
      </c>
      <c r="Q255" s="10" t="str">
        <f>_xlfn.IFS(Table1[[#This Row],[Rating]]&gt;=4, "Top Performer", Table1[[#This Row],[Rating]]&gt;=3, "Average", TRUE, "Needs Imporovement")</f>
        <v>Needs Imporovement</v>
      </c>
    </row>
    <row r="256" spans="1:17" x14ac:dyDescent="0.3">
      <c r="A256" s="2" t="s">
        <v>556</v>
      </c>
      <c r="B256" s="2" t="s">
        <v>557</v>
      </c>
      <c r="C256" s="2" t="s">
        <v>68</v>
      </c>
      <c r="D256" s="2">
        <v>48</v>
      </c>
      <c r="E256" s="2" t="str">
        <f>_xlfn.IFS(Table1[[#This Row],[Age]]&lt;30, "18-29", D256&lt;=45,"30-45", D256&lt;=55, "46-55", TRUE, "55+")</f>
        <v>46-55</v>
      </c>
      <c r="F256" s="2" t="s">
        <v>121</v>
      </c>
      <c r="G256" s="2" t="s">
        <v>122</v>
      </c>
      <c r="H256" s="2" t="s">
        <v>46</v>
      </c>
      <c r="I256" s="5">
        <v>8</v>
      </c>
      <c r="J256" s="5" t="str">
        <f>_xlfn.IFS(Table1[[#This Row],[Experience(Years)]]&lt;5, "Junior", I256&lt;=12, "Mid-Level", I256&lt;=20, "Senior", I256&lt;=30, "Super Senior", TRUE, "Expert")</f>
        <v>Mid-Level</v>
      </c>
      <c r="K256" s="7">
        <v>30</v>
      </c>
      <c r="L256" s="7">
        <f>Table1[[#This Row],[Hourly Rate]]*1000</f>
        <v>30000</v>
      </c>
      <c r="M256" s="7" t="str">
        <f t="shared" si="3"/>
        <v>Budget</v>
      </c>
      <c r="N256" s="2">
        <f>IF(ISNUMBER(#REF!),#REF!, _xlfn.IFS( I256&gt;=30, 5, I256&gt;=25, 4.8, I256&gt;=15, 4, I256&gt;=10, 3.8, I256&gt;=5, 3, I256&gt;=2, 2.5, I256&gt;=0, 1.8, TRUE, 1.3))</f>
        <v>3</v>
      </c>
      <c r="O256" s="2" t="s">
        <v>2053</v>
      </c>
      <c r="P256" s="10">
        <v>0.99</v>
      </c>
      <c r="Q256" s="10" t="str">
        <f>_xlfn.IFS(Table1[[#This Row],[Rating]]&gt;=4, "Top Performer", Table1[[#This Row],[Rating]]&gt;=3, "Average", TRUE, "Needs Imporovement")</f>
        <v>Average</v>
      </c>
    </row>
    <row r="257" spans="1:17" x14ac:dyDescent="0.3">
      <c r="A257" s="2" t="s">
        <v>558</v>
      </c>
      <c r="B257" s="2" t="s">
        <v>559</v>
      </c>
      <c r="C257" s="2" t="s">
        <v>49</v>
      </c>
      <c r="D257" s="2">
        <v>39</v>
      </c>
      <c r="E257" s="2" t="str">
        <f>_xlfn.IFS(Table1[[#This Row],[Age]]&lt;30, "18-29", D257&lt;=45,"30-45", D257&lt;=55, "46-55", TRUE, "55+")</f>
        <v>30-45</v>
      </c>
      <c r="F257" s="2" t="s">
        <v>81</v>
      </c>
      <c r="G257" s="2" t="s">
        <v>82</v>
      </c>
      <c r="H257" s="2" t="s">
        <v>29</v>
      </c>
      <c r="I257" s="5">
        <v>12</v>
      </c>
      <c r="J257" s="5" t="str">
        <f>_xlfn.IFS(Table1[[#This Row],[Experience(Years)]]&lt;5, "Junior", I257&lt;=12, "Mid-Level", I257&lt;=20, "Senior", I257&lt;=30, "Super Senior", TRUE, "Expert")</f>
        <v>Mid-Level</v>
      </c>
      <c r="K257" s="7">
        <v>20</v>
      </c>
      <c r="L257" s="7">
        <f>Table1[[#This Row],[Hourly Rate]]*1000</f>
        <v>20000</v>
      </c>
      <c r="M257" s="7" t="str">
        <f t="shared" si="3"/>
        <v>Budget</v>
      </c>
      <c r="N257" s="2">
        <f>IF(ISNUMBER(#REF!),#REF!, _xlfn.IFS( I257&gt;=30, 5, I257&gt;=25, 4.8, I257&gt;=15, 4, I257&gt;=10, 3.8, I257&gt;=5, 3, I257&gt;=2, 2.5, I257&gt;=0, 1.8, TRUE, 1.3))</f>
        <v>3.8</v>
      </c>
      <c r="O257" s="2" t="s">
        <v>2053</v>
      </c>
      <c r="P257" s="10">
        <v>0.66</v>
      </c>
      <c r="Q257" s="10" t="str">
        <f>_xlfn.IFS(Table1[[#This Row],[Rating]]&gt;=4, "Top Performer", Table1[[#This Row],[Rating]]&gt;=3, "Average", TRUE, "Needs Imporovement")</f>
        <v>Average</v>
      </c>
    </row>
    <row r="258" spans="1:17" x14ac:dyDescent="0.3">
      <c r="A258" s="2" t="s">
        <v>560</v>
      </c>
      <c r="B258" s="2" t="s">
        <v>561</v>
      </c>
      <c r="C258" s="2" t="s">
        <v>49</v>
      </c>
      <c r="D258" s="2">
        <v>57</v>
      </c>
      <c r="E258" s="2" t="str">
        <f>_xlfn.IFS(Table1[[#This Row],[Age]]&lt;30, "18-29", D258&lt;=45,"30-45", D258&lt;=55, "46-55", TRUE, "55+")</f>
        <v>55+</v>
      </c>
      <c r="F258" s="2" t="s">
        <v>7</v>
      </c>
      <c r="G258" s="2" t="s">
        <v>8</v>
      </c>
      <c r="H258" s="2" t="s">
        <v>4</v>
      </c>
      <c r="I258" s="5">
        <v>30</v>
      </c>
      <c r="J258" s="5" t="str">
        <f>_xlfn.IFS(Table1[[#This Row],[Experience(Years)]]&lt;5, "Junior", I258&lt;=12, "Mid-Level", I258&lt;=20, "Senior", I258&lt;=30, "Super Senior", TRUE, "Expert")</f>
        <v>Super Senior</v>
      </c>
      <c r="K258" s="7">
        <v>30</v>
      </c>
      <c r="L258" s="7">
        <f>Table1[[#This Row],[Hourly Rate]]*1000</f>
        <v>30000</v>
      </c>
      <c r="M258" s="7" t="str">
        <f t="shared" ref="M258:M321" si="4">_xlfn.IFS(K258&lt;40, "Budget", K258&lt;=80, "Standard", TRUE, "Premium")</f>
        <v>Budget</v>
      </c>
      <c r="N258" s="2">
        <f>IF(ISNUMBER(#REF!),#REF!, _xlfn.IFS( I258&gt;=30, 5, I258&gt;=25, 4.8, I258&gt;=15, 4, I258&gt;=10, 3.8, I258&gt;=5, 3, I258&gt;=2, 2.5, I258&gt;=0, 1.8, TRUE, 1.3))</f>
        <v>5</v>
      </c>
      <c r="O258" s="2" t="str">
        <f>IF(AND( Table1[[#This Row],[Rating]]&gt;=3.5, Table1[[#This Row],[Experience(Years)]]&gt;=15), "Active", "Inactive")</f>
        <v>Active</v>
      </c>
      <c r="P258" s="10">
        <v>0.8</v>
      </c>
      <c r="Q258" s="10" t="str">
        <f>_xlfn.IFS(Table1[[#This Row],[Rating]]&gt;=4, "Top Performer", Table1[[#This Row],[Rating]]&gt;=3, "Average", TRUE, "Needs Imporovement")</f>
        <v>Top Performer</v>
      </c>
    </row>
    <row r="259" spans="1:17" x14ac:dyDescent="0.3">
      <c r="A259" s="2" t="s">
        <v>562</v>
      </c>
      <c r="B259" s="2" t="s">
        <v>563</v>
      </c>
      <c r="C259" s="2" t="s">
        <v>49</v>
      </c>
      <c r="D259" s="2">
        <v>44</v>
      </c>
      <c r="E259" s="2" t="str">
        <f>_xlfn.IFS(Table1[[#This Row],[Age]]&lt;30, "18-29", D259&lt;=45,"30-45", D259&lt;=55, "46-55", TRUE, "55+")</f>
        <v>30-45</v>
      </c>
      <c r="F259" s="2" t="s">
        <v>96</v>
      </c>
      <c r="G259" s="2" t="s">
        <v>8</v>
      </c>
      <c r="H259" s="2" t="s">
        <v>17</v>
      </c>
      <c r="I259" s="5">
        <v>21</v>
      </c>
      <c r="J259" s="5" t="str">
        <f>_xlfn.IFS(Table1[[#This Row],[Experience(Years)]]&lt;5, "Junior", I259&lt;=12, "Mid-Level", I259&lt;=20, "Senior", I259&lt;=30, "Super Senior", TRUE, "Expert")</f>
        <v>Super Senior</v>
      </c>
      <c r="K259" s="7">
        <v>100</v>
      </c>
      <c r="L259" s="7">
        <f>Table1[[#This Row],[Hourly Rate]]*1000</f>
        <v>100000</v>
      </c>
      <c r="M259" s="7" t="str">
        <f t="shared" si="4"/>
        <v>Premium</v>
      </c>
      <c r="N259" s="2">
        <f>IF(ISNUMBER(#REF!),#REF!, _xlfn.IFS( I259&gt;=30, 5, I259&gt;=25, 4.8, I259&gt;=15, 4, I259&gt;=10, 3.8, I259&gt;=5, 3, I259&gt;=2, 2.5, I259&gt;=0, 1.8, TRUE, 1.3))</f>
        <v>4</v>
      </c>
      <c r="O259" s="2" t="s">
        <v>2052</v>
      </c>
      <c r="P259" s="10">
        <v>0.83</v>
      </c>
      <c r="Q259" s="10" t="str">
        <f>_xlfn.IFS(Table1[[#This Row],[Rating]]&gt;=4, "Top Performer", Table1[[#This Row],[Rating]]&gt;=3, "Average", TRUE, "Needs Imporovement")</f>
        <v>Top Performer</v>
      </c>
    </row>
    <row r="260" spans="1:17" x14ac:dyDescent="0.3">
      <c r="A260" s="2" t="s">
        <v>564</v>
      </c>
      <c r="B260" s="2" t="s">
        <v>565</v>
      </c>
      <c r="C260" s="2" t="s">
        <v>68</v>
      </c>
      <c r="D260" s="2">
        <v>37</v>
      </c>
      <c r="E260" s="2" t="str">
        <f>_xlfn.IFS(Table1[[#This Row],[Age]]&lt;30, "18-29", D260&lt;=45,"30-45", D260&lt;=55, "46-55", TRUE, "55+")</f>
        <v>30-45</v>
      </c>
      <c r="F260" s="2" t="s">
        <v>77</v>
      </c>
      <c r="G260" s="2" t="s">
        <v>78</v>
      </c>
      <c r="H260" s="2" t="s">
        <v>46</v>
      </c>
      <c r="I260" s="5">
        <v>17</v>
      </c>
      <c r="J260" s="5" t="str">
        <f>_xlfn.IFS(Table1[[#This Row],[Experience(Years)]]&lt;5, "Junior", I260&lt;=12, "Mid-Level", I260&lt;=20, "Senior", I260&lt;=30, "Super Senior", TRUE, "Expert")</f>
        <v>Senior</v>
      </c>
      <c r="K260" s="7">
        <v>20</v>
      </c>
      <c r="L260" s="7">
        <f>Table1[[#This Row],[Hourly Rate]]*1000</f>
        <v>20000</v>
      </c>
      <c r="M260" s="7" t="str">
        <f t="shared" si="4"/>
        <v>Budget</v>
      </c>
      <c r="N260" s="2">
        <f>IF(ISNUMBER(#REF!),#REF!, _xlfn.IFS( I260&gt;=30, 5, I260&gt;=25, 4.8, I260&gt;=15, 4, I260&gt;=10, 3.8, I260&gt;=5, 3, I260&gt;=2, 2.5, I260&gt;=0, 1.8, TRUE, 1.3))</f>
        <v>4</v>
      </c>
      <c r="O260" s="2" t="s">
        <v>2053</v>
      </c>
      <c r="P260" s="10">
        <v>0.87</v>
      </c>
      <c r="Q260" s="10" t="str">
        <f>_xlfn.IFS(Table1[[#This Row],[Rating]]&gt;=4, "Top Performer", Table1[[#This Row],[Rating]]&gt;=3, "Average", TRUE, "Needs Imporovement")</f>
        <v>Top Performer</v>
      </c>
    </row>
    <row r="261" spans="1:17" x14ac:dyDescent="0.3">
      <c r="A261" s="2" t="s">
        <v>566</v>
      </c>
      <c r="B261" s="2" t="s">
        <v>567</v>
      </c>
      <c r="C261" s="2" t="s">
        <v>68</v>
      </c>
      <c r="D261" s="2">
        <v>50</v>
      </c>
      <c r="E261" s="2" t="str">
        <f>_xlfn.IFS(Table1[[#This Row],[Age]]&lt;30, "18-29", D261&lt;=45,"30-45", D261&lt;=55, "46-55", TRUE, "55+")</f>
        <v>46-55</v>
      </c>
      <c r="F261" s="2" t="s">
        <v>37</v>
      </c>
      <c r="G261" s="2" t="s">
        <v>38</v>
      </c>
      <c r="H261" s="2" t="s">
        <v>29</v>
      </c>
      <c r="I261" s="5">
        <v>9</v>
      </c>
      <c r="J261" s="5" t="str">
        <f>_xlfn.IFS(Table1[[#This Row],[Experience(Years)]]&lt;5, "Junior", I261&lt;=12, "Mid-Level", I261&lt;=20, "Senior", I261&lt;=30, "Super Senior", TRUE, "Expert")</f>
        <v>Mid-Level</v>
      </c>
      <c r="K261" s="7">
        <v>30</v>
      </c>
      <c r="L261" s="7">
        <f>Table1[[#This Row],[Hourly Rate]]*1000</f>
        <v>30000</v>
      </c>
      <c r="M261" s="7" t="str">
        <f t="shared" si="4"/>
        <v>Budget</v>
      </c>
      <c r="N261" s="2">
        <f>IF(ISNUMBER(#REF!),#REF!, _xlfn.IFS( I261&gt;=30, 5, I261&gt;=25, 4.8, I261&gt;=15, 4, I261&gt;=10, 3.8, I261&gt;=5, 3, I261&gt;=2, 2.5, I261&gt;=0, 1.8, TRUE, 1.3))</f>
        <v>3</v>
      </c>
      <c r="O261" s="2" t="s">
        <v>2052</v>
      </c>
      <c r="P261" s="10">
        <v>0.76</v>
      </c>
      <c r="Q261" s="10" t="str">
        <f>_xlfn.IFS(Table1[[#This Row],[Rating]]&gt;=4, "Top Performer", Table1[[#This Row],[Rating]]&gt;=3, "Average", TRUE, "Needs Imporovement")</f>
        <v>Average</v>
      </c>
    </row>
    <row r="262" spans="1:17" x14ac:dyDescent="0.3">
      <c r="A262" s="2" t="s">
        <v>568</v>
      </c>
      <c r="B262" s="2" t="s">
        <v>569</v>
      </c>
      <c r="C262" s="2" t="s">
        <v>68</v>
      </c>
      <c r="D262" s="2">
        <v>50</v>
      </c>
      <c r="E262" s="2" t="str">
        <f>_xlfn.IFS(Table1[[#This Row],[Age]]&lt;30, "18-29", D262&lt;=45,"30-45", D262&lt;=55, "46-55", TRUE, "55+")</f>
        <v>46-55</v>
      </c>
      <c r="F262" s="2" t="s">
        <v>156</v>
      </c>
      <c r="G262" s="2" t="s">
        <v>45</v>
      </c>
      <c r="H262" s="2" t="s">
        <v>46</v>
      </c>
      <c r="I262" s="5">
        <v>2</v>
      </c>
      <c r="J262" s="5" t="str">
        <f>_xlfn.IFS(Table1[[#This Row],[Experience(Years)]]&lt;5, "Junior", I262&lt;=12, "Mid-Level", I262&lt;=20, "Senior", I262&lt;=30, "Super Senior", TRUE, "Expert")</f>
        <v>Junior</v>
      </c>
      <c r="K262" s="7">
        <v>50</v>
      </c>
      <c r="L262" s="7">
        <f>Table1[[#This Row],[Hourly Rate]]*1000</f>
        <v>50000</v>
      </c>
      <c r="M262" s="7" t="str">
        <f t="shared" si="4"/>
        <v>Standard</v>
      </c>
      <c r="N262" s="2">
        <f>IF(ISNUMBER(#REF!),#REF!, _xlfn.IFS( I262&gt;=30, 5, I262&gt;=25, 4.8, I262&gt;=15, 4, I262&gt;=10, 3.8, I262&gt;=5, 3, I262&gt;=2, 2.5, I262&gt;=0, 1.8, TRUE, 1.3))</f>
        <v>2.5</v>
      </c>
      <c r="O262" s="2" t="s">
        <v>2052</v>
      </c>
      <c r="P262" s="10">
        <v>0.89</v>
      </c>
      <c r="Q262" s="10" t="str">
        <f>_xlfn.IFS(Table1[[#This Row],[Rating]]&gt;=4, "Top Performer", Table1[[#This Row],[Rating]]&gt;=3, "Average", TRUE, "Needs Imporovement")</f>
        <v>Needs Imporovement</v>
      </c>
    </row>
    <row r="263" spans="1:17" x14ac:dyDescent="0.3">
      <c r="A263" s="2" t="s">
        <v>570</v>
      </c>
      <c r="B263" s="2" t="s">
        <v>571</v>
      </c>
      <c r="C263" s="2" t="s">
        <v>49</v>
      </c>
      <c r="D263" s="2">
        <v>28</v>
      </c>
      <c r="E263" s="2" t="str">
        <f>_xlfn.IFS(Table1[[#This Row],[Age]]&lt;30, "18-29", D263&lt;=45,"30-45", D263&lt;=55, "46-55", TRUE, "55+")</f>
        <v>18-29</v>
      </c>
      <c r="F263" s="2" t="s">
        <v>103</v>
      </c>
      <c r="G263" s="2" t="s">
        <v>104</v>
      </c>
      <c r="H263" s="2" t="s">
        <v>14</v>
      </c>
      <c r="I263" s="5">
        <v>1</v>
      </c>
      <c r="J263" s="5" t="str">
        <f>_xlfn.IFS(Table1[[#This Row],[Experience(Years)]]&lt;5, "Junior", I263&lt;=12, "Mid-Level", I263&lt;=20, "Senior", I263&lt;=30, "Super Senior", TRUE, "Expert")</f>
        <v>Junior</v>
      </c>
      <c r="K263" s="7">
        <v>20</v>
      </c>
      <c r="L263" s="7">
        <f>Table1[[#This Row],[Hourly Rate]]*1000</f>
        <v>20000</v>
      </c>
      <c r="M263" s="7" t="str">
        <f t="shared" si="4"/>
        <v>Budget</v>
      </c>
      <c r="N263" s="2">
        <f>IF(ISNUMBER(#REF!),#REF!, _xlfn.IFS( I263&gt;=30, 5, I263&gt;=25, 4.8, I263&gt;=15, 4, I263&gt;=10, 3.8, I263&gt;=5, 3, I263&gt;=2, 2.5, I263&gt;=0, 1.8, TRUE, 1.3))</f>
        <v>1.8</v>
      </c>
      <c r="O263" s="2" t="s">
        <v>2053</v>
      </c>
      <c r="P263" s="10">
        <v>0.94</v>
      </c>
      <c r="Q263" s="10" t="str">
        <f>_xlfn.IFS(Table1[[#This Row],[Rating]]&gt;=4, "Top Performer", Table1[[#This Row],[Rating]]&gt;=3, "Average", TRUE, "Needs Imporovement")</f>
        <v>Needs Imporovement</v>
      </c>
    </row>
    <row r="264" spans="1:17" x14ac:dyDescent="0.3">
      <c r="A264" s="2" t="s">
        <v>572</v>
      </c>
      <c r="B264" s="2" t="s">
        <v>573</v>
      </c>
      <c r="C264" s="2" t="s">
        <v>68</v>
      </c>
      <c r="D264" s="2">
        <v>48</v>
      </c>
      <c r="E264" s="2" t="str">
        <f>_xlfn.IFS(Table1[[#This Row],[Age]]&lt;30, "18-29", D264&lt;=45,"30-45", D264&lt;=55, "46-55", TRUE, "55+")</f>
        <v>46-55</v>
      </c>
      <c r="F264" s="2" t="s">
        <v>2</v>
      </c>
      <c r="G264" s="2" t="s">
        <v>3</v>
      </c>
      <c r="H264" s="2" t="s">
        <v>17</v>
      </c>
      <c r="I264" s="5">
        <v>23</v>
      </c>
      <c r="J264" s="5" t="str">
        <f>_xlfn.IFS(Table1[[#This Row],[Experience(Years)]]&lt;5, "Junior", I264&lt;=12, "Mid-Level", I264&lt;=20, "Senior", I264&lt;=30, "Super Senior", TRUE, "Expert")</f>
        <v>Super Senior</v>
      </c>
      <c r="K264" s="7">
        <v>70</v>
      </c>
      <c r="L264" s="7">
        <f>Table1[[#This Row],[Hourly Rate]]*1000</f>
        <v>70000</v>
      </c>
      <c r="M264" s="7" t="str">
        <f t="shared" si="4"/>
        <v>Standard</v>
      </c>
      <c r="N264" s="2">
        <f>IF(ISNUMBER(#REF!),#REF!, _xlfn.IFS( I264&gt;=30, 5, I264&gt;=25, 4.8, I264&gt;=15, 4, I264&gt;=10, 3.8, I264&gt;=5, 3, I264&gt;=2, 2.5, I264&gt;=0, 1.8, TRUE, 1.3))</f>
        <v>4</v>
      </c>
      <c r="O264" s="2" t="s">
        <v>2052</v>
      </c>
      <c r="P264" s="10">
        <v>0.68</v>
      </c>
      <c r="Q264" s="10" t="str">
        <f>_xlfn.IFS(Table1[[#This Row],[Rating]]&gt;=4, "Top Performer", Table1[[#This Row],[Rating]]&gt;=3, "Average", TRUE, "Needs Imporovement")</f>
        <v>Top Performer</v>
      </c>
    </row>
    <row r="265" spans="1:17" x14ac:dyDescent="0.3">
      <c r="A265" s="2" t="s">
        <v>574</v>
      </c>
      <c r="B265" s="2" t="s">
        <v>575</v>
      </c>
      <c r="C265" s="2" t="s">
        <v>68</v>
      </c>
      <c r="D265" s="2">
        <v>42</v>
      </c>
      <c r="E265" s="2" t="str">
        <f>_xlfn.IFS(Table1[[#This Row],[Age]]&lt;30, "18-29", D265&lt;=45,"30-45", D265&lt;=55, "46-55", TRUE, "55+")</f>
        <v>30-45</v>
      </c>
      <c r="F265" s="2" t="s">
        <v>12</v>
      </c>
      <c r="G265" s="2" t="s">
        <v>13</v>
      </c>
      <c r="H265" s="2" t="s">
        <v>61</v>
      </c>
      <c r="I265" s="5">
        <v>8</v>
      </c>
      <c r="J265" s="5" t="str">
        <f>_xlfn.IFS(Table1[[#This Row],[Experience(Years)]]&lt;5, "Junior", I265&lt;=12, "Mid-Level", I265&lt;=20, "Senior", I265&lt;=30, "Super Senior", TRUE, "Expert")</f>
        <v>Mid-Level</v>
      </c>
      <c r="K265" s="7">
        <v>30</v>
      </c>
      <c r="L265" s="7">
        <f>Table1[[#This Row],[Hourly Rate]]*1000</f>
        <v>30000</v>
      </c>
      <c r="M265" s="7" t="str">
        <f t="shared" si="4"/>
        <v>Budget</v>
      </c>
      <c r="N265" s="2">
        <f>IF(ISNUMBER(#REF!),#REF!, _xlfn.IFS( I265&gt;=30, 5, I265&gt;=25, 4.8, I265&gt;=15, 4, I265&gt;=10, 3.8, I265&gt;=5, 3, I265&gt;=2, 2.5, I265&gt;=0, 1.8, TRUE, 1.3))</f>
        <v>3</v>
      </c>
      <c r="O265" s="2" t="s">
        <v>2053</v>
      </c>
      <c r="P265" s="10">
        <v>0.96</v>
      </c>
      <c r="Q265" s="10" t="str">
        <f>_xlfn.IFS(Table1[[#This Row],[Rating]]&gt;=4, "Top Performer", Table1[[#This Row],[Rating]]&gt;=3, "Average", TRUE, "Needs Imporovement")</f>
        <v>Average</v>
      </c>
    </row>
    <row r="266" spans="1:17" x14ac:dyDescent="0.3">
      <c r="A266" s="2" t="s">
        <v>576</v>
      </c>
      <c r="B266" s="2" t="s">
        <v>577</v>
      </c>
      <c r="C266" s="2" t="s">
        <v>49</v>
      </c>
      <c r="D266" s="2">
        <v>37</v>
      </c>
      <c r="E266" s="2" t="str">
        <f>_xlfn.IFS(Table1[[#This Row],[Age]]&lt;30, "18-29", D266&lt;=45,"30-45", D266&lt;=55, "46-55", TRUE, "55+")</f>
        <v>30-45</v>
      </c>
      <c r="F266" s="2" t="s">
        <v>96</v>
      </c>
      <c r="G266" s="2" t="s">
        <v>8</v>
      </c>
      <c r="H266" s="2" t="s">
        <v>29</v>
      </c>
      <c r="I266" s="5">
        <v>6</v>
      </c>
      <c r="J266" s="5" t="str">
        <f>_xlfn.IFS(Table1[[#This Row],[Experience(Years)]]&lt;5, "Junior", I266&lt;=12, "Mid-Level", I266&lt;=20, "Senior", I266&lt;=30, "Super Senior", TRUE, "Expert")</f>
        <v>Mid-Level</v>
      </c>
      <c r="K266" s="7">
        <v>20</v>
      </c>
      <c r="L266" s="7">
        <f>Table1[[#This Row],[Hourly Rate]]*1000</f>
        <v>20000</v>
      </c>
      <c r="M266" s="7" t="str">
        <f t="shared" si="4"/>
        <v>Budget</v>
      </c>
      <c r="N266" s="2">
        <f>IF(ISNUMBER(#REF!),#REF!, _xlfn.IFS( I266&gt;=30, 5, I266&gt;=25, 4.8, I266&gt;=15, 4, I266&gt;=10, 3.8, I266&gt;=5, 3, I266&gt;=2, 2.5, I266&gt;=0, 1.8, TRUE, 1.3))</f>
        <v>3</v>
      </c>
      <c r="O266" s="2" t="s">
        <v>2053</v>
      </c>
      <c r="P266" s="10">
        <v>0.91</v>
      </c>
      <c r="Q266" s="10" t="str">
        <f>_xlfn.IFS(Table1[[#This Row],[Rating]]&gt;=4, "Top Performer", Table1[[#This Row],[Rating]]&gt;=3, "Average", TRUE, "Needs Imporovement")</f>
        <v>Average</v>
      </c>
    </row>
    <row r="267" spans="1:17" x14ac:dyDescent="0.3">
      <c r="A267" s="2" t="s">
        <v>578</v>
      </c>
      <c r="B267" s="2" t="s">
        <v>579</v>
      </c>
      <c r="C267" s="2" t="s">
        <v>68</v>
      </c>
      <c r="D267" s="2">
        <v>21</v>
      </c>
      <c r="E267" s="2" t="str">
        <f>_xlfn.IFS(Table1[[#This Row],[Age]]&lt;30, "18-29", D267&lt;=45,"30-45", D267&lt;=55, "46-55", TRUE, "55+")</f>
        <v>18-29</v>
      </c>
      <c r="F267" s="2" t="s">
        <v>64</v>
      </c>
      <c r="G267" s="2" t="s">
        <v>65</v>
      </c>
      <c r="H267" s="2" t="s">
        <v>4</v>
      </c>
      <c r="I267" s="5">
        <v>1</v>
      </c>
      <c r="J267" s="5" t="str">
        <f>_xlfn.IFS(Table1[[#This Row],[Experience(Years)]]&lt;5, "Junior", I267&lt;=12, "Mid-Level", I267&lt;=20, "Senior", I267&lt;=30, "Super Senior", TRUE, "Expert")</f>
        <v>Junior</v>
      </c>
      <c r="K267" s="7">
        <v>100</v>
      </c>
      <c r="L267" s="7">
        <f>Table1[[#This Row],[Hourly Rate]]*1000</f>
        <v>100000</v>
      </c>
      <c r="M267" s="7" t="str">
        <f t="shared" si="4"/>
        <v>Premium</v>
      </c>
      <c r="N267" s="2">
        <f>IF(ISNUMBER(#REF!),#REF!, _xlfn.IFS( I267&gt;=30, 5, I267&gt;=25, 4.8, I267&gt;=15, 4, I267&gt;=10, 3.8, I267&gt;=5, 3, I267&gt;=2, 2.5, I267&gt;=0, 1.8, TRUE, 1.3))</f>
        <v>1.8</v>
      </c>
      <c r="O267" s="2" t="s">
        <v>2053</v>
      </c>
      <c r="P267" s="10">
        <v>0.92</v>
      </c>
      <c r="Q267" s="10" t="str">
        <f>_xlfn.IFS(Table1[[#This Row],[Rating]]&gt;=4, "Top Performer", Table1[[#This Row],[Rating]]&gt;=3, "Average", TRUE, "Needs Imporovement")</f>
        <v>Needs Imporovement</v>
      </c>
    </row>
    <row r="268" spans="1:17" x14ac:dyDescent="0.3">
      <c r="A268" s="2" t="s">
        <v>580</v>
      </c>
      <c r="B268" s="2" t="s">
        <v>581</v>
      </c>
      <c r="C268" s="2" t="s">
        <v>68</v>
      </c>
      <c r="D268" s="2">
        <v>50</v>
      </c>
      <c r="E268" s="2" t="str">
        <f>_xlfn.IFS(Table1[[#This Row],[Age]]&lt;30, "18-29", D268&lt;=45,"30-45", D268&lt;=55, "46-55", TRUE, "55+")</f>
        <v>46-55</v>
      </c>
      <c r="F268" s="2" t="s">
        <v>81</v>
      </c>
      <c r="G268" s="2" t="s">
        <v>82</v>
      </c>
      <c r="H268" s="2" t="s">
        <v>17</v>
      </c>
      <c r="I268" s="5">
        <v>19</v>
      </c>
      <c r="J268" s="5" t="str">
        <f>_xlfn.IFS(Table1[[#This Row],[Experience(Years)]]&lt;5, "Junior", I268&lt;=12, "Mid-Level", I268&lt;=20, "Senior", I268&lt;=30, "Super Senior", TRUE, "Expert")</f>
        <v>Senior</v>
      </c>
      <c r="K268" s="7">
        <v>40</v>
      </c>
      <c r="L268" s="7">
        <f>Table1[[#This Row],[Hourly Rate]]*1000</f>
        <v>40000</v>
      </c>
      <c r="M268" s="7" t="str">
        <f t="shared" si="4"/>
        <v>Standard</v>
      </c>
      <c r="N268" s="2">
        <f>IF(ISNUMBER(#REF!),#REF!, _xlfn.IFS( I268&gt;=30, 5, I268&gt;=25, 4.8, I268&gt;=15, 4, I268&gt;=10, 3.8, I268&gt;=5, 3, I268&gt;=2, 2.5, I268&gt;=0, 1.8, TRUE, 1.3))</f>
        <v>4</v>
      </c>
      <c r="O268" s="2" t="str">
        <f>IF(AND( Table1[[#This Row],[Rating]]&gt;=3.5, Table1[[#This Row],[Experience(Years)]]&gt;=15), "Active", "Inactive")</f>
        <v>Active</v>
      </c>
      <c r="P268" s="10">
        <v>0.82</v>
      </c>
      <c r="Q268" s="10" t="str">
        <f>_xlfn.IFS(Table1[[#This Row],[Rating]]&gt;=4, "Top Performer", Table1[[#This Row],[Rating]]&gt;=3, "Average", TRUE, "Needs Imporovement")</f>
        <v>Top Performer</v>
      </c>
    </row>
    <row r="269" spans="1:17" x14ac:dyDescent="0.3">
      <c r="A269" s="2" t="s">
        <v>582</v>
      </c>
      <c r="B269" s="2" t="s">
        <v>583</v>
      </c>
      <c r="C269" s="2" t="s">
        <v>49</v>
      </c>
      <c r="D269" s="2">
        <v>22</v>
      </c>
      <c r="E269" s="2" t="str">
        <f>_xlfn.IFS(Table1[[#This Row],[Age]]&lt;30, "18-29", D269&lt;=45,"30-45", D269&lt;=55, "46-55", TRUE, "55+")</f>
        <v>18-29</v>
      </c>
      <c r="F269" s="2" t="s">
        <v>44</v>
      </c>
      <c r="G269" s="2" t="s">
        <v>45</v>
      </c>
      <c r="H269" s="2" t="s">
        <v>24</v>
      </c>
      <c r="I269" s="5">
        <v>2</v>
      </c>
      <c r="J269" s="5" t="str">
        <f>_xlfn.IFS(Table1[[#This Row],[Experience(Years)]]&lt;5, "Junior", I269&lt;=12, "Mid-Level", I269&lt;=20, "Senior", I269&lt;=30, "Super Senior", TRUE, "Expert")</f>
        <v>Junior</v>
      </c>
      <c r="K269" s="7">
        <v>30</v>
      </c>
      <c r="L269" s="7">
        <f>Table1[[#This Row],[Hourly Rate]]*1000</f>
        <v>30000</v>
      </c>
      <c r="M269" s="7" t="str">
        <f t="shared" si="4"/>
        <v>Budget</v>
      </c>
      <c r="N269" s="2">
        <f>IF(ISNUMBER(#REF!),#REF!, _xlfn.IFS( I269&gt;=30, 5, I269&gt;=25, 4.8, I269&gt;=15, 4, I269&gt;=10, 3.8, I269&gt;=5, 3, I269&gt;=2, 2.5, I269&gt;=0, 1.8, TRUE, 1.3))</f>
        <v>2.5</v>
      </c>
      <c r="O269" s="2" t="str">
        <f>IF(AND( Table1[[#This Row],[Rating]]&gt;=3.5, Table1[[#This Row],[Experience(Years)]]&gt;=15), "Active", "Inactive")</f>
        <v>Inactive</v>
      </c>
      <c r="P269" s="10">
        <v>0.35</v>
      </c>
      <c r="Q269" s="10" t="str">
        <f>_xlfn.IFS(Table1[[#This Row],[Rating]]&gt;=4, "Top Performer", Table1[[#This Row],[Rating]]&gt;=3, "Average", TRUE, "Needs Imporovement")</f>
        <v>Needs Imporovement</v>
      </c>
    </row>
    <row r="270" spans="1:17" x14ac:dyDescent="0.3">
      <c r="A270" s="2" t="s">
        <v>584</v>
      </c>
      <c r="B270" s="2" t="s">
        <v>585</v>
      </c>
      <c r="C270" s="2" t="s">
        <v>49</v>
      </c>
      <c r="D270" s="2">
        <v>39</v>
      </c>
      <c r="E270" s="2" t="str">
        <f>_xlfn.IFS(Table1[[#This Row],[Age]]&lt;30, "18-29", D270&lt;=45,"30-45", D270&lt;=55, "46-55", TRUE, "55+")</f>
        <v>30-45</v>
      </c>
      <c r="F270" s="2" t="s">
        <v>57</v>
      </c>
      <c r="G270" s="2" t="s">
        <v>58</v>
      </c>
      <c r="H270" s="2" t="s">
        <v>17</v>
      </c>
      <c r="I270" s="5">
        <v>21</v>
      </c>
      <c r="J270" s="5" t="str">
        <f>_xlfn.IFS(Table1[[#This Row],[Experience(Years)]]&lt;5, "Junior", I270&lt;=12, "Mid-Level", I270&lt;=20, "Senior", I270&lt;=30, "Super Senior", TRUE, "Expert")</f>
        <v>Super Senior</v>
      </c>
      <c r="K270" s="7">
        <v>100</v>
      </c>
      <c r="L270" s="7">
        <f>Table1[[#This Row],[Hourly Rate]]*1000</f>
        <v>100000</v>
      </c>
      <c r="M270" s="7" t="str">
        <f t="shared" si="4"/>
        <v>Premium</v>
      </c>
      <c r="N270" s="2">
        <f>IF(ISNUMBER(#REF!),#REF!, _xlfn.IFS( I270&gt;=30, 5, I270&gt;=25, 4.8, I270&gt;=15, 4, I270&gt;=10, 3.8, I270&gt;=5, 3, I270&gt;=2, 2.5, I270&gt;=0, 1.8, TRUE, 1.3))</f>
        <v>4</v>
      </c>
      <c r="O270" s="2" t="s">
        <v>2052</v>
      </c>
      <c r="P270" s="10">
        <v>0.91</v>
      </c>
      <c r="Q270" s="10" t="str">
        <f>_xlfn.IFS(Table1[[#This Row],[Rating]]&gt;=4, "Top Performer", Table1[[#This Row],[Rating]]&gt;=3, "Average", TRUE, "Needs Imporovement")</f>
        <v>Top Performer</v>
      </c>
    </row>
    <row r="271" spans="1:17" x14ac:dyDescent="0.3">
      <c r="A271" s="2" t="s">
        <v>586</v>
      </c>
      <c r="B271" s="2" t="s">
        <v>587</v>
      </c>
      <c r="C271" s="2" t="s">
        <v>49</v>
      </c>
      <c r="D271" s="2">
        <v>25</v>
      </c>
      <c r="E271" s="2" t="str">
        <f>_xlfn.IFS(Table1[[#This Row],[Age]]&lt;30, "18-29", D271&lt;=45,"30-45", D271&lt;=55, "46-55", TRUE, "55+")</f>
        <v>18-29</v>
      </c>
      <c r="F271" s="2" t="s">
        <v>57</v>
      </c>
      <c r="G271" s="2" t="s">
        <v>58</v>
      </c>
      <c r="H271" s="2" t="s">
        <v>83</v>
      </c>
      <c r="I271" s="5">
        <v>3</v>
      </c>
      <c r="J271" s="5" t="str">
        <f>_xlfn.IFS(Table1[[#This Row],[Experience(Years)]]&lt;5, "Junior", I271&lt;=12, "Mid-Level", I271&lt;=20, "Senior", I271&lt;=30, "Super Senior", TRUE, "Expert")</f>
        <v>Junior</v>
      </c>
      <c r="K271" s="7">
        <v>50</v>
      </c>
      <c r="L271" s="7">
        <f>Table1[[#This Row],[Hourly Rate]]*1000</f>
        <v>50000</v>
      </c>
      <c r="M271" s="7" t="str">
        <f t="shared" si="4"/>
        <v>Standard</v>
      </c>
      <c r="N271" s="2">
        <f>IF(ISNUMBER(#REF!),#REF!, _xlfn.IFS( I271&gt;=30, 5, I271&gt;=25, 4.8, I271&gt;=15, 4, I271&gt;=10, 3.8, I271&gt;=5, 3, I271&gt;=2, 2.5, I271&gt;=0, 1.8, TRUE, 1.3))</f>
        <v>2.5</v>
      </c>
      <c r="O271" s="2" t="s">
        <v>2053</v>
      </c>
      <c r="P271" s="10">
        <v>0.86</v>
      </c>
      <c r="Q271" s="10" t="str">
        <f>_xlfn.IFS(Table1[[#This Row],[Rating]]&gt;=4, "Top Performer", Table1[[#This Row],[Rating]]&gt;=3, "Average", TRUE, "Needs Imporovement")</f>
        <v>Needs Imporovement</v>
      </c>
    </row>
    <row r="272" spans="1:17" x14ac:dyDescent="0.3">
      <c r="A272" s="2" t="s">
        <v>588</v>
      </c>
      <c r="B272" s="2" t="s">
        <v>589</v>
      </c>
      <c r="C272" s="2" t="s">
        <v>49</v>
      </c>
      <c r="D272" s="2">
        <v>47</v>
      </c>
      <c r="E272" s="2" t="str">
        <f>_xlfn.IFS(Table1[[#This Row],[Age]]&lt;30, "18-29", D272&lt;=45,"30-45", D272&lt;=55, "46-55", TRUE, "55+")</f>
        <v>46-55</v>
      </c>
      <c r="F272" s="2" t="s">
        <v>121</v>
      </c>
      <c r="G272" s="2" t="s">
        <v>122</v>
      </c>
      <c r="H272" s="2" t="s">
        <v>9</v>
      </c>
      <c r="I272" s="5">
        <v>14</v>
      </c>
      <c r="J272" s="5" t="str">
        <f>_xlfn.IFS(Table1[[#This Row],[Experience(Years)]]&lt;5, "Junior", I272&lt;=12, "Mid-Level", I272&lt;=20, "Senior", I272&lt;=30, "Super Senior", TRUE, "Expert")</f>
        <v>Senior</v>
      </c>
      <c r="K272" s="7">
        <v>40</v>
      </c>
      <c r="L272" s="7">
        <f>Table1[[#This Row],[Hourly Rate]]*1000</f>
        <v>40000</v>
      </c>
      <c r="M272" s="7" t="str">
        <f t="shared" si="4"/>
        <v>Standard</v>
      </c>
      <c r="N272" s="2">
        <f>IF(ISNUMBER(#REF!),#REF!, _xlfn.IFS( I272&gt;=30, 5, I272&gt;=25, 4.8, I272&gt;=15, 4, I272&gt;=10, 3.8, I272&gt;=5, 3, I272&gt;=2, 2.5, I272&gt;=0, 1.8, TRUE, 1.3))</f>
        <v>3.8</v>
      </c>
      <c r="O272" s="2" t="s">
        <v>2052</v>
      </c>
      <c r="P272" s="10">
        <v>0.69</v>
      </c>
      <c r="Q272" s="10" t="str">
        <f>_xlfn.IFS(Table1[[#This Row],[Rating]]&gt;=4, "Top Performer", Table1[[#This Row],[Rating]]&gt;=3, "Average", TRUE, "Needs Imporovement")</f>
        <v>Average</v>
      </c>
    </row>
    <row r="273" spans="1:17" x14ac:dyDescent="0.3">
      <c r="A273" s="2" t="s">
        <v>590</v>
      </c>
      <c r="B273" s="2" t="s">
        <v>591</v>
      </c>
      <c r="C273" s="2" t="s">
        <v>49</v>
      </c>
      <c r="D273" s="2">
        <v>35</v>
      </c>
      <c r="E273" s="2" t="str">
        <f>_xlfn.IFS(Table1[[#This Row],[Age]]&lt;30, "18-29", D273&lt;=45,"30-45", D273&lt;=55, "46-55", TRUE, "55+")</f>
        <v>30-45</v>
      </c>
      <c r="F273" s="2" t="s">
        <v>121</v>
      </c>
      <c r="G273" s="2" t="s">
        <v>122</v>
      </c>
      <c r="H273" s="2" t="s">
        <v>46</v>
      </c>
      <c r="I273" s="5">
        <v>10</v>
      </c>
      <c r="J273" s="5" t="str">
        <f>_xlfn.IFS(Table1[[#This Row],[Experience(Years)]]&lt;5, "Junior", I273&lt;=12, "Mid-Level", I273&lt;=20, "Senior", I273&lt;=30, "Super Senior", TRUE, "Expert")</f>
        <v>Mid-Level</v>
      </c>
      <c r="K273" s="7">
        <v>100</v>
      </c>
      <c r="L273" s="7">
        <f>Table1[[#This Row],[Hourly Rate]]*1000</f>
        <v>100000</v>
      </c>
      <c r="M273" s="7" t="str">
        <f t="shared" si="4"/>
        <v>Premium</v>
      </c>
      <c r="N273" s="2">
        <f>IF(ISNUMBER(#REF!),#REF!, _xlfn.IFS( I273&gt;=30, 5, I273&gt;=25, 4.8, I273&gt;=15, 4, I273&gt;=10, 3.8, I273&gt;=5, 3, I273&gt;=2, 2.5, I273&gt;=0, 1.8, TRUE, 1.3))</f>
        <v>3.8</v>
      </c>
      <c r="O273" s="2" t="s">
        <v>2053</v>
      </c>
      <c r="P273" s="10">
        <v>0.84</v>
      </c>
      <c r="Q273" s="10" t="str">
        <f>_xlfn.IFS(Table1[[#This Row],[Rating]]&gt;=4, "Top Performer", Table1[[#This Row],[Rating]]&gt;=3, "Average", TRUE, "Needs Imporovement")</f>
        <v>Average</v>
      </c>
    </row>
    <row r="274" spans="1:17" x14ac:dyDescent="0.3">
      <c r="A274" s="2" t="s">
        <v>592</v>
      </c>
      <c r="B274" s="2" t="s">
        <v>593</v>
      </c>
      <c r="C274" s="2" t="s">
        <v>49</v>
      </c>
      <c r="D274" s="2">
        <v>44</v>
      </c>
      <c r="E274" s="2" t="str">
        <f>_xlfn.IFS(Table1[[#This Row],[Age]]&lt;30, "18-29", D274&lt;=45,"30-45", D274&lt;=55, "46-55", TRUE, "55+")</f>
        <v>30-45</v>
      </c>
      <c r="F274" s="2" t="s">
        <v>41</v>
      </c>
      <c r="G274" s="2" t="s">
        <v>8</v>
      </c>
      <c r="H274" s="2" t="s">
        <v>50</v>
      </c>
      <c r="I274" s="5">
        <v>5</v>
      </c>
      <c r="J274" s="5" t="str">
        <f>_xlfn.IFS(Table1[[#This Row],[Experience(Years)]]&lt;5, "Junior", I274&lt;=12, "Mid-Level", I274&lt;=20, "Senior", I274&lt;=30, "Super Senior", TRUE, "Expert")</f>
        <v>Mid-Level</v>
      </c>
      <c r="K274" s="7">
        <v>100</v>
      </c>
      <c r="L274" s="7">
        <f>Table1[[#This Row],[Hourly Rate]]*1000</f>
        <v>100000</v>
      </c>
      <c r="M274" s="7" t="str">
        <f t="shared" si="4"/>
        <v>Premium</v>
      </c>
      <c r="N274" s="2">
        <f>IF(ISNUMBER(#REF!),#REF!, _xlfn.IFS( I274&gt;=30, 5, I274&gt;=25, 4.8, I274&gt;=15, 4, I274&gt;=10, 3.8, I274&gt;=5, 3, I274&gt;=2, 2.5, I274&gt;=0, 1.8, TRUE, 1.3))</f>
        <v>3</v>
      </c>
      <c r="O274" s="2" t="s">
        <v>2052</v>
      </c>
      <c r="P274" s="10">
        <v>0.6</v>
      </c>
      <c r="Q274" s="10" t="str">
        <f>_xlfn.IFS(Table1[[#This Row],[Rating]]&gt;=4, "Top Performer", Table1[[#This Row],[Rating]]&gt;=3, "Average", TRUE, "Needs Imporovement")</f>
        <v>Average</v>
      </c>
    </row>
    <row r="275" spans="1:17" x14ac:dyDescent="0.3">
      <c r="A275" s="2" t="s">
        <v>594</v>
      </c>
      <c r="B275" s="2" t="s">
        <v>595</v>
      </c>
      <c r="C275" s="2" t="s">
        <v>68</v>
      </c>
      <c r="D275" s="2">
        <v>35</v>
      </c>
      <c r="E275" s="2" t="str">
        <f>_xlfn.IFS(Table1[[#This Row],[Age]]&lt;30, "18-29", D275&lt;=45,"30-45", D275&lt;=55, "46-55", TRUE, "55+")</f>
        <v>30-45</v>
      </c>
      <c r="F275" s="2" t="s">
        <v>22</v>
      </c>
      <c r="G275" s="2" t="s">
        <v>23</v>
      </c>
      <c r="H275" s="2" t="s">
        <v>4</v>
      </c>
      <c r="I275" s="5">
        <v>6</v>
      </c>
      <c r="J275" s="5" t="str">
        <f>_xlfn.IFS(Table1[[#This Row],[Experience(Years)]]&lt;5, "Junior", I275&lt;=12, "Mid-Level", I275&lt;=20, "Senior", I275&lt;=30, "Super Senior", TRUE, "Expert")</f>
        <v>Mid-Level</v>
      </c>
      <c r="K275" s="7">
        <v>75</v>
      </c>
      <c r="L275" s="7">
        <f>Table1[[#This Row],[Hourly Rate]]*1000</f>
        <v>75000</v>
      </c>
      <c r="M275" s="7" t="str">
        <f t="shared" si="4"/>
        <v>Standard</v>
      </c>
      <c r="N275" s="2">
        <f>IF(ISNUMBER(#REF!),#REF!, _xlfn.IFS( I275&gt;=30, 5, I275&gt;=25, 4.8, I275&gt;=15, 4, I275&gt;=10, 3.8, I275&gt;=5, 3, I275&gt;=2, 2.5, I275&gt;=0, 1.8, TRUE, 1.3))</f>
        <v>3</v>
      </c>
      <c r="O275" s="2" t="s">
        <v>2053</v>
      </c>
      <c r="P275" s="10">
        <v>0.97</v>
      </c>
      <c r="Q275" s="10" t="str">
        <f>_xlfn.IFS(Table1[[#This Row],[Rating]]&gt;=4, "Top Performer", Table1[[#This Row],[Rating]]&gt;=3, "Average", TRUE, "Needs Imporovement")</f>
        <v>Average</v>
      </c>
    </row>
    <row r="276" spans="1:17" x14ac:dyDescent="0.3">
      <c r="A276" s="2" t="s">
        <v>596</v>
      </c>
      <c r="B276" s="2" t="s">
        <v>597</v>
      </c>
      <c r="C276" s="2" t="s">
        <v>68</v>
      </c>
      <c r="D276" s="2">
        <v>59</v>
      </c>
      <c r="E276" s="2" t="str">
        <f>_xlfn.IFS(Table1[[#This Row],[Age]]&lt;30, "18-29", D276&lt;=45,"30-45", D276&lt;=55, "46-55", TRUE, "55+")</f>
        <v>55+</v>
      </c>
      <c r="F276" s="2" t="s">
        <v>103</v>
      </c>
      <c r="G276" s="2" t="s">
        <v>104</v>
      </c>
      <c r="H276" s="2" t="s">
        <v>17</v>
      </c>
      <c r="I276" s="5">
        <v>21</v>
      </c>
      <c r="J276" s="5" t="str">
        <f>_xlfn.IFS(Table1[[#This Row],[Experience(Years)]]&lt;5, "Junior", I276&lt;=12, "Mid-Level", I276&lt;=20, "Senior", I276&lt;=30, "Super Senior", TRUE, "Expert")</f>
        <v>Super Senior</v>
      </c>
      <c r="K276" s="7">
        <v>100</v>
      </c>
      <c r="L276" s="7">
        <f>Table1[[#This Row],[Hourly Rate]]*1000</f>
        <v>100000</v>
      </c>
      <c r="M276" s="7" t="str">
        <f t="shared" si="4"/>
        <v>Premium</v>
      </c>
      <c r="N276" s="2">
        <f>IF(ISNUMBER(#REF!),#REF!, _xlfn.IFS( I276&gt;=30, 5, I276&gt;=25, 4.8, I276&gt;=15, 4, I276&gt;=10, 3.8, I276&gt;=5, 3, I276&gt;=2, 2.5, I276&gt;=0, 1.8, TRUE, 1.3))</f>
        <v>4</v>
      </c>
      <c r="O276" s="2" t="str">
        <f>IF(AND( Table1[[#This Row],[Rating]]&gt;=3.5, Table1[[#This Row],[Experience(Years)]]&gt;=15), "Active", "Inactive")</f>
        <v>Active</v>
      </c>
      <c r="P276" s="10">
        <v>0.7</v>
      </c>
      <c r="Q276" s="10" t="str">
        <f>_xlfn.IFS(Table1[[#This Row],[Rating]]&gt;=4, "Top Performer", Table1[[#This Row],[Rating]]&gt;=3, "Average", TRUE, "Needs Imporovement")</f>
        <v>Top Performer</v>
      </c>
    </row>
    <row r="277" spans="1:17" x14ac:dyDescent="0.3">
      <c r="A277" s="2" t="s">
        <v>598</v>
      </c>
      <c r="B277" s="2" t="s">
        <v>599</v>
      </c>
      <c r="C277" s="2" t="s">
        <v>49</v>
      </c>
      <c r="D277" s="2">
        <v>26</v>
      </c>
      <c r="E277" s="2" t="str">
        <f>_xlfn.IFS(Table1[[#This Row],[Age]]&lt;30, "18-29", D277&lt;=45,"30-45", D277&lt;=55, "46-55", TRUE, "55+")</f>
        <v>18-29</v>
      </c>
      <c r="F277" s="2" t="s">
        <v>141</v>
      </c>
      <c r="G277" s="2" t="s">
        <v>142</v>
      </c>
      <c r="H277" s="2" t="s">
        <v>46</v>
      </c>
      <c r="I277" s="5">
        <v>4</v>
      </c>
      <c r="J277" s="5" t="str">
        <f>_xlfn.IFS(Table1[[#This Row],[Experience(Years)]]&lt;5, "Junior", I277&lt;=12, "Mid-Level", I277&lt;=20, "Senior", I277&lt;=30, "Super Senior", TRUE, "Expert")</f>
        <v>Junior</v>
      </c>
      <c r="K277" s="7">
        <v>100</v>
      </c>
      <c r="L277" s="7">
        <f>Table1[[#This Row],[Hourly Rate]]*1000</f>
        <v>100000</v>
      </c>
      <c r="M277" s="7" t="str">
        <f t="shared" si="4"/>
        <v>Premium</v>
      </c>
      <c r="N277" s="2">
        <f>IF(ISNUMBER(#REF!),#REF!, _xlfn.IFS( I277&gt;=30, 5, I277&gt;=25, 4.8, I277&gt;=15, 4, I277&gt;=10, 3.8, I277&gt;=5, 3, I277&gt;=2, 2.5, I277&gt;=0, 1.8, TRUE, 1.3))</f>
        <v>2.5</v>
      </c>
      <c r="O277" s="2" t="s">
        <v>2052</v>
      </c>
      <c r="P277" s="10">
        <v>0.81</v>
      </c>
      <c r="Q277" s="10" t="str">
        <f>_xlfn.IFS(Table1[[#This Row],[Rating]]&gt;=4, "Top Performer", Table1[[#This Row],[Rating]]&gt;=3, "Average", TRUE, "Needs Imporovement")</f>
        <v>Needs Imporovement</v>
      </c>
    </row>
    <row r="278" spans="1:17" x14ac:dyDescent="0.3">
      <c r="A278" s="2" t="s">
        <v>600</v>
      </c>
      <c r="B278" s="2" t="s">
        <v>601</v>
      </c>
      <c r="C278" s="2" t="s">
        <v>68</v>
      </c>
      <c r="D278" s="2">
        <v>44</v>
      </c>
      <c r="E278" s="2" t="str">
        <f>_xlfn.IFS(Table1[[#This Row],[Age]]&lt;30, "18-29", D278&lt;=45,"30-45", D278&lt;=55, "46-55", TRUE, "55+")</f>
        <v>30-45</v>
      </c>
      <c r="F278" s="2" t="s">
        <v>92</v>
      </c>
      <c r="G278" s="2" t="s">
        <v>93</v>
      </c>
      <c r="H278" s="2" t="s">
        <v>83</v>
      </c>
      <c r="I278" s="5">
        <v>18</v>
      </c>
      <c r="J278" s="5" t="str">
        <f>_xlfn.IFS(Table1[[#This Row],[Experience(Years)]]&lt;5, "Junior", I278&lt;=12, "Mid-Level", I278&lt;=20, "Senior", I278&lt;=30, "Super Senior", TRUE, "Expert")</f>
        <v>Senior</v>
      </c>
      <c r="K278" s="7">
        <v>20</v>
      </c>
      <c r="L278" s="7">
        <f>Table1[[#This Row],[Hourly Rate]]*1000</f>
        <v>20000</v>
      </c>
      <c r="M278" s="7" t="str">
        <f t="shared" si="4"/>
        <v>Budget</v>
      </c>
      <c r="N278" s="2">
        <f>IF(ISNUMBER(#REF!),#REF!, _xlfn.IFS( I278&gt;=30, 5, I278&gt;=25, 4.8, I278&gt;=15, 4, I278&gt;=10, 3.8, I278&gt;=5, 3, I278&gt;=2, 2.5, I278&gt;=0, 1.8, TRUE, 1.3))</f>
        <v>4</v>
      </c>
      <c r="O278" s="2" t="s">
        <v>2053</v>
      </c>
      <c r="P278" s="10">
        <v>0.88</v>
      </c>
      <c r="Q278" s="10" t="str">
        <f>_xlfn.IFS(Table1[[#This Row],[Rating]]&gt;=4, "Top Performer", Table1[[#This Row],[Rating]]&gt;=3, "Average", TRUE, "Needs Imporovement")</f>
        <v>Top Performer</v>
      </c>
    </row>
    <row r="279" spans="1:17" x14ac:dyDescent="0.3">
      <c r="A279" s="2" t="s">
        <v>602</v>
      </c>
      <c r="B279" s="2" t="s">
        <v>603</v>
      </c>
      <c r="C279" s="2" t="s">
        <v>49</v>
      </c>
      <c r="D279" s="2">
        <v>31</v>
      </c>
      <c r="E279" s="2" t="str">
        <f>_xlfn.IFS(Table1[[#This Row],[Age]]&lt;30, "18-29", D279&lt;=45,"30-45", D279&lt;=55, "46-55", TRUE, "55+")</f>
        <v>30-45</v>
      </c>
      <c r="F279" s="2" t="s">
        <v>121</v>
      </c>
      <c r="G279" s="2" t="s">
        <v>122</v>
      </c>
      <c r="H279" s="2" t="s">
        <v>46</v>
      </c>
      <c r="I279" s="5">
        <v>12</v>
      </c>
      <c r="J279" s="5" t="str">
        <f>_xlfn.IFS(Table1[[#This Row],[Experience(Years)]]&lt;5, "Junior", I279&lt;=12, "Mid-Level", I279&lt;=20, "Senior", I279&lt;=30, "Super Senior", TRUE, "Expert")</f>
        <v>Mid-Level</v>
      </c>
      <c r="K279" s="7">
        <v>40</v>
      </c>
      <c r="L279" s="7">
        <f>Table1[[#This Row],[Hourly Rate]]*1000</f>
        <v>40000</v>
      </c>
      <c r="M279" s="7" t="str">
        <f t="shared" si="4"/>
        <v>Standard</v>
      </c>
      <c r="N279" s="2">
        <f>IF(ISNUMBER(#REF!),#REF!, _xlfn.IFS( I279&gt;=30, 5, I279&gt;=25, 4.8, I279&gt;=15, 4, I279&gt;=10, 3.8, I279&gt;=5, 3, I279&gt;=2, 2.5, I279&gt;=0, 1.8, TRUE, 1.3))</f>
        <v>3.8</v>
      </c>
      <c r="O279" s="2" t="s">
        <v>2053</v>
      </c>
      <c r="P279" s="10">
        <v>1</v>
      </c>
      <c r="Q279" s="10" t="str">
        <f>_xlfn.IFS(Table1[[#This Row],[Rating]]&gt;=4, "Top Performer", Table1[[#This Row],[Rating]]&gt;=3, "Average", TRUE, "Needs Imporovement")</f>
        <v>Average</v>
      </c>
    </row>
    <row r="280" spans="1:17" x14ac:dyDescent="0.3">
      <c r="A280" s="2" t="s">
        <v>604</v>
      </c>
      <c r="B280" s="2" t="s">
        <v>605</v>
      </c>
      <c r="C280" s="2" t="s">
        <v>68</v>
      </c>
      <c r="D280" s="2">
        <v>60</v>
      </c>
      <c r="E280" s="2" t="str">
        <f>_xlfn.IFS(Table1[[#This Row],[Age]]&lt;30, "18-29", D280&lt;=45,"30-45", D280&lt;=55, "46-55", TRUE, "55+")</f>
        <v>55+</v>
      </c>
      <c r="F280" s="2" t="s">
        <v>37</v>
      </c>
      <c r="G280" s="2" t="s">
        <v>38</v>
      </c>
      <c r="H280" s="2" t="s">
        <v>29</v>
      </c>
      <c r="I280" s="5">
        <v>6</v>
      </c>
      <c r="J280" s="5" t="str">
        <f>_xlfn.IFS(Table1[[#This Row],[Experience(Years)]]&lt;5, "Junior", I280&lt;=12, "Mid-Level", I280&lt;=20, "Senior", I280&lt;=30, "Super Senior", TRUE, "Expert")</f>
        <v>Mid-Level</v>
      </c>
      <c r="K280" s="7">
        <v>50</v>
      </c>
      <c r="L280" s="7">
        <f>Table1[[#This Row],[Hourly Rate]]*1000</f>
        <v>50000</v>
      </c>
      <c r="M280" s="7" t="str">
        <f t="shared" si="4"/>
        <v>Standard</v>
      </c>
      <c r="N280" s="2">
        <f>IF(ISNUMBER(#REF!),#REF!, _xlfn.IFS( I280&gt;=30, 5, I280&gt;=25, 4.8, I280&gt;=15, 4, I280&gt;=10, 3.8, I280&gt;=5, 3, I280&gt;=2, 2.5, I280&gt;=0, 1.8, TRUE, 1.3))</f>
        <v>3</v>
      </c>
      <c r="O280" s="2" t="s">
        <v>2052</v>
      </c>
      <c r="P280" s="10">
        <v>0.95</v>
      </c>
      <c r="Q280" s="10" t="str">
        <f>_xlfn.IFS(Table1[[#This Row],[Rating]]&gt;=4, "Top Performer", Table1[[#This Row],[Rating]]&gt;=3, "Average", TRUE, "Needs Imporovement")</f>
        <v>Average</v>
      </c>
    </row>
    <row r="281" spans="1:17" x14ac:dyDescent="0.3">
      <c r="A281" s="2" t="s">
        <v>606</v>
      </c>
      <c r="B281" s="2" t="s">
        <v>607</v>
      </c>
      <c r="C281" s="2" t="s">
        <v>49</v>
      </c>
      <c r="D281" s="2">
        <v>23</v>
      </c>
      <c r="E281" s="2" t="str">
        <f>_xlfn.IFS(Table1[[#This Row],[Age]]&lt;30, "18-29", D281&lt;=45,"30-45", D281&lt;=55, "46-55", TRUE, "55+")</f>
        <v>18-29</v>
      </c>
      <c r="F281" s="2" t="s">
        <v>41</v>
      </c>
      <c r="G281" s="2" t="s">
        <v>8</v>
      </c>
      <c r="H281" s="2" t="s">
        <v>4</v>
      </c>
      <c r="I281" s="5">
        <v>4</v>
      </c>
      <c r="J281" s="5" t="str">
        <f>_xlfn.IFS(Table1[[#This Row],[Experience(Years)]]&lt;5, "Junior", I281&lt;=12, "Mid-Level", I281&lt;=20, "Senior", I281&lt;=30, "Super Senior", TRUE, "Expert")</f>
        <v>Junior</v>
      </c>
      <c r="K281" s="7">
        <v>20</v>
      </c>
      <c r="L281" s="7">
        <f>Table1[[#This Row],[Hourly Rate]]*1000</f>
        <v>20000</v>
      </c>
      <c r="M281" s="7" t="str">
        <f t="shared" si="4"/>
        <v>Budget</v>
      </c>
      <c r="N281" s="2">
        <f>IF(ISNUMBER(#REF!),#REF!, _xlfn.IFS( I281&gt;=30, 5, I281&gt;=25, 4.8, I281&gt;=15, 4, I281&gt;=10, 3.8, I281&gt;=5, 3, I281&gt;=2, 2.5, I281&gt;=0, 1.8, TRUE, 1.3))</f>
        <v>2.5</v>
      </c>
      <c r="O281" s="2" t="s">
        <v>2052</v>
      </c>
      <c r="P281" s="10">
        <v>0.71</v>
      </c>
      <c r="Q281" s="10" t="str">
        <f>_xlfn.IFS(Table1[[#This Row],[Rating]]&gt;=4, "Top Performer", Table1[[#This Row],[Rating]]&gt;=3, "Average", TRUE, "Needs Imporovement")</f>
        <v>Needs Imporovement</v>
      </c>
    </row>
    <row r="282" spans="1:17" x14ac:dyDescent="0.3">
      <c r="A282" s="2" t="s">
        <v>608</v>
      </c>
      <c r="B282" s="2" t="s">
        <v>609</v>
      </c>
      <c r="C282" s="2" t="s">
        <v>68</v>
      </c>
      <c r="D282" s="2">
        <v>42</v>
      </c>
      <c r="E282" s="2" t="str">
        <f>_xlfn.IFS(Table1[[#This Row],[Age]]&lt;30, "18-29", D282&lt;=45,"30-45", D282&lt;=55, "46-55", TRUE, "55+")</f>
        <v>30-45</v>
      </c>
      <c r="F282" s="2" t="s">
        <v>27</v>
      </c>
      <c r="G282" s="2" t="s">
        <v>28</v>
      </c>
      <c r="H282" s="2" t="s">
        <v>46</v>
      </c>
      <c r="I282" s="5">
        <v>13</v>
      </c>
      <c r="J282" s="5" t="str">
        <f>_xlfn.IFS(Table1[[#This Row],[Experience(Years)]]&lt;5, "Junior", I282&lt;=12, "Mid-Level", I282&lt;=20, "Senior", I282&lt;=30, "Super Senior", TRUE, "Expert")</f>
        <v>Senior</v>
      </c>
      <c r="K282" s="7">
        <v>20</v>
      </c>
      <c r="L282" s="7">
        <f>Table1[[#This Row],[Hourly Rate]]*1000</f>
        <v>20000</v>
      </c>
      <c r="M282" s="7" t="str">
        <f t="shared" si="4"/>
        <v>Budget</v>
      </c>
      <c r="N282" s="2">
        <f>IF(ISNUMBER(#REF!),#REF!, _xlfn.IFS( I282&gt;=30, 5, I282&gt;=25, 4.8, I282&gt;=15, 4, I282&gt;=10, 3.8, I282&gt;=5, 3, I282&gt;=2, 2.5, I282&gt;=0, 1.8, TRUE, 1.3))</f>
        <v>3.8</v>
      </c>
      <c r="O282" s="2" t="s">
        <v>2052</v>
      </c>
      <c r="P282" s="10">
        <v>0.85</v>
      </c>
      <c r="Q282" s="10" t="str">
        <f>_xlfn.IFS(Table1[[#This Row],[Rating]]&gt;=4, "Top Performer", Table1[[#This Row],[Rating]]&gt;=3, "Average", TRUE, "Needs Imporovement")</f>
        <v>Average</v>
      </c>
    </row>
    <row r="283" spans="1:17" x14ac:dyDescent="0.3">
      <c r="A283" s="2" t="s">
        <v>610</v>
      </c>
      <c r="B283" s="2" t="s">
        <v>611</v>
      </c>
      <c r="C283" s="2" t="s">
        <v>49</v>
      </c>
      <c r="D283" s="2">
        <v>48</v>
      </c>
      <c r="E283" s="2" t="str">
        <f>_xlfn.IFS(Table1[[#This Row],[Age]]&lt;30, "18-29", D283&lt;=45,"30-45", D283&lt;=55, "46-55", TRUE, "55+")</f>
        <v>46-55</v>
      </c>
      <c r="F283" s="2" t="s">
        <v>64</v>
      </c>
      <c r="G283" s="2" t="s">
        <v>65</v>
      </c>
      <c r="H283" s="2" t="s">
        <v>9</v>
      </c>
      <c r="I283" s="5">
        <v>6</v>
      </c>
      <c r="J283" s="5" t="str">
        <f>_xlfn.IFS(Table1[[#This Row],[Experience(Years)]]&lt;5, "Junior", I283&lt;=12, "Mid-Level", I283&lt;=20, "Senior", I283&lt;=30, "Super Senior", TRUE, "Expert")</f>
        <v>Mid-Level</v>
      </c>
      <c r="K283" s="7">
        <v>30</v>
      </c>
      <c r="L283" s="7">
        <f>Table1[[#This Row],[Hourly Rate]]*1000</f>
        <v>30000</v>
      </c>
      <c r="M283" s="7" t="str">
        <f t="shared" si="4"/>
        <v>Budget</v>
      </c>
      <c r="N283" s="2">
        <f>IF(ISNUMBER(#REF!),#REF!, _xlfn.IFS( I283&gt;=30, 5, I283&gt;=25, 4.8, I283&gt;=15, 4, I283&gt;=10, 3.8, I283&gt;=5, 3, I283&gt;=2, 2.5, I283&gt;=0, 1.8, TRUE, 1.3))</f>
        <v>3</v>
      </c>
      <c r="O283" s="2" t="s">
        <v>2052</v>
      </c>
      <c r="P283" s="10">
        <v>0.96</v>
      </c>
      <c r="Q283" s="10" t="str">
        <f>_xlfn.IFS(Table1[[#This Row],[Rating]]&gt;=4, "Top Performer", Table1[[#This Row],[Rating]]&gt;=3, "Average", TRUE, "Needs Imporovement")</f>
        <v>Average</v>
      </c>
    </row>
    <row r="284" spans="1:17" x14ac:dyDescent="0.3">
      <c r="A284" s="2" t="s">
        <v>612</v>
      </c>
      <c r="B284" s="2" t="s">
        <v>613</v>
      </c>
      <c r="C284" s="2" t="s">
        <v>68</v>
      </c>
      <c r="D284" s="2">
        <v>42</v>
      </c>
      <c r="E284" s="2" t="str">
        <f>_xlfn.IFS(Table1[[#This Row],[Age]]&lt;30, "18-29", D284&lt;=45,"30-45", D284&lt;=55, "46-55", TRUE, "55+")</f>
        <v>30-45</v>
      </c>
      <c r="F284" s="2" t="s">
        <v>22</v>
      </c>
      <c r="G284" s="2" t="s">
        <v>23</v>
      </c>
      <c r="H284" s="2" t="s">
        <v>14</v>
      </c>
      <c r="I284" s="5">
        <v>10</v>
      </c>
      <c r="J284" s="5" t="str">
        <f>_xlfn.IFS(Table1[[#This Row],[Experience(Years)]]&lt;5, "Junior", I284&lt;=12, "Mid-Level", I284&lt;=20, "Senior", I284&lt;=30, "Super Senior", TRUE, "Expert")</f>
        <v>Mid-Level</v>
      </c>
      <c r="K284" s="7">
        <v>20</v>
      </c>
      <c r="L284" s="7">
        <f>Table1[[#This Row],[Hourly Rate]]*1000</f>
        <v>20000</v>
      </c>
      <c r="M284" s="7" t="str">
        <f t="shared" si="4"/>
        <v>Budget</v>
      </c>
      <c r="N284" s="2">
        <f>IF(ISNUMBER(#REF!),#REF!, _xlfn.IFS( I284&gt;=30, 5, I284&gt;=25, 4.8, I284&gt;=15, 4, I284&gt;=10, 3.8, I284&gt;=5, 3, I284&gt;=2, 2.5, I284&gt;=0, 1.8, TRUE, 1.3))</f>
        <v>3.8</v>
      </c>
      <c r="O284" s="2" t="s">
        <v>2053</v>
      </c>
      <c r="P284" s="10">
        <v>0.92</v>
      </c>
      <c r="Q284" s="10" t="str">
        <f>_xlfn.IFS(Table1[[#This Row],[Rating]]&gt;=4, "Top Performer", Table1[[#This Row],[Rating]]&gt;=3, "Average", TRUE, "Needs Imporovement")</f>
        <v>Average</v>
      </c>
    </row>
    <row r="285" spans="1:17" x14ac:dyDescent="0.3">
      <c r="A285" s="2" t="s">
        <v>614</v>
      </c>
      <c r="B285" s="2" t="s">
        <v>615</v>
      </c>
      <c r="C285" s="2" t="s">
        <v>68</v>
      </c>
      <c r="D285" s="2">
        <v>52</v>
      </c>
      <c r="E285" s="2" t="str">
        <f>_xlfn.IFS(Table1[[#This Row],[Age]]&lt;30, "18-29", D285&lt;=45,"30-45", D285&lt;=55, "46-55", TRUE, "55+")</f>
        <v>46-55</v>
      </c>
      <c r="F285" s="2" t="s">
        <v>81</v>
      </c>
      <c r="G285" s="2" t="s">
        <v>82</v>
      </c>
      <c r="H285" s="2" t="s">
        <v>50</v>
      </c>
      <c r="I285" s="5">
        <v>20</v>
      </c>
      <c r="J285" s="5" t="str">
        <f>_xlfn.IFS(Table1[[#This Row],[Experience(Years)]]&lt;5, "Junior", I285&lt;=12, "Mid-Level", I285&lt;=20, "Senior", I285&lt;=30, "Super Senior", TRUE, "Expert")</f>
        <v>Senior</v>
      </c>
      <c r="K285" s="7">
        <v>50</v>
      </c>
      <c r="L285" s="7">
        <f>Table1[[#This Row],[Hourly Rate]]*1000</f>
        <v>50000</v>
      </c>
      <c r="M285" s="7" t="str">
        <f t="shared" si="4"/>
        <v>Standard</v>
      </c>
      <c r="N285" s="2">
        <f>IF(ISNUMBER(#REF!),#REF!, _xlfn.IFS( I285&gt;=30, 5, I285&gt;=25, 4.8, I285&gt;=15, 4, I285&gt;=10, 3.8, I285&gt;=5, 3, I285&gt;=2, 2.5, I285&gt;=0, 1.8, TRUE, 1.3))</f>
        <v>4</v>
      </c>
      <c r="O285" s="2" t="s">
        <v>2052</v>
      </c>
      <c r="P285" s="10">
        <v>0.79</v>
      </c>
      <c r="Q285" s="10" t="str">
        <f>_xlfn.IFS(Table1[[#This Row],[Rating]]&gt;=4, "Top Performer", Table1[[#This Row],[Rating]]&gt;=3, "Average", TRUE, "Needs Imporovement")</f>
        <v>Top Performer</v>
      </c>
    </row>
    <row r="286" spans="1:17" x14ac:dyDescent="0.3">
      <c r="A286" s="2" t="s">
        <v>616</v>
      </c>
      <c r="B286" s="2" t="s">
        <v>617</v>
      </c>
      <c r="C286" s="2" t="s">
        <v>49</v>
      </c>
      <c r="D286" s="2">
        <v>55</v>
      </c>
      <c r="E286" s="2" t="str">
        <f>_xlfn.IFS(Table1[[#This Row],[Age]]&lt;30, "18-29", D286&lt;=45,"30-45", D286&lt;=55, "46-55", TRUE, "55+")</f>
        <v>46-55</v>
      </c>
      <c r="F286" s="2" t="s">
        <v>57</v>
      </c>
      <c r="G286" s="2" t="s">
        <v>58</v>
      </c>
      <c r="H286" s="2" t="s">
        <v>17</v>
      </c>
      <c r="I286" s="5">
        <v>20</v>
      </c>
      <c r="J286" s="5" t="str">
        <f>_xlfn.IFS(Table1[[#This Row],[Experience(Years)]]&lt;5, "Junior", I286&lt;=12, "Mid-Level", I286&lt;=20, "Senior", I286&lt;=30, "Super Senior", TRUE, "Expert")</f>
        <v>Senior</v>
      </c>
      <c r="K286" s="7">
        <v>75</v>
      </c>
      <c r="L286" s="7">
        <f>Table1[[#This Row],[Hourly Rate]]*1000</f>
        <v>75000</v>
      </c>
      <c r="M286" s="7" t="str">
        <f t="shared" si="4"/>
        <v>Standard</v>
      </c>
      <c r="N286" s="2">
        <f>IF(ISNUMBER(#REF!),#REF!, _xlfn.IFS( I286&gt;=30, 5, I286&gt;=25, 4.8, I286&gt;=15, 4, I286&gt;=10, 3.8, I286&gt;=5, 3, I286&gt;=2, 2.5, I286&gt;=0, 1.8, TRUE, 1.3))</f>
        <v>4</v>
      </c>
      <c r="O286" s="2" t="s">
        <v>2052</v>
      </c>
      <c r="P286" s="10">
        <v>0.85</v>
      </c>
      <c r="Q286" s="10" t="str">
        <f>_xlfn.IFS(Table1[[#This Row],[Rating]]&gt;=4, "Top Performer", Table1[[#This Row],[Rating]]&gt;=3, "Average", TRUE, "Needs Imporovement")</f>
        <v>Top Performer</v>
      </c>
    </row>
    <row r="287" spans="1:17" x14ac:dyDescent="0.3">
      <c r="A287" s="2" t="s">
        <v>618</v>
      </c>
      <c r="B287" s="2" t="s">
        <v>619</v>
      </c>
      <c r="C287" s="2" t="s">
        <v>49</v>
      </c>
      <c r="D287" s="2">
        <v>58</v>
      </c>
      <c r="E287" s="2" t="str">
        <f>_xlfn.IFS(Table1[[#This Row],[Age]]&lt;30, "18-29", D287&lt;=45,"30-45", D287&lt;=55, "46-55", TRUE, "55+")</f>
        <v>55+</v>
      </c>
      <c r="F287" s="2" t="s">
        <v>121</v>
      </c>
      <c r="G287" s="2" t="s">
        <v>122</v>
      </c>
      <c r="H287" s="2" t="s">
        <v>50</v>
      </c>
      <c r="I287" s="5">
        <v>11</v>
      </c>
      <c r="J287" s="5" t="str">
        <f>_xlfn.IFS(Table1[[#This Row],[Experience(Years)]]&lt;5, "Junior", I287&lt;=12, "Mid-Level", I287&lt;=20, "Senior", I287&lt;=30, "Super Senior", TRUE, "Expert")</f>
        <v>Mid-Level</v>
      </c>
      <c r="K287" s="7">
        <v>50</v>
      </c>
      <c r="L287" s="7">
        <f>Table1[[#This Row],[Hourly Rate]]*1000</f>
        <v>50000</v>
      </c>
      <c r="M287" s="7" t="str">
        <f t="shared" si="4"/>
        <v>Standard</v>
      </c>
      <c r="N287" s="2">
        <f>IF(ISNUMBER(#REF!),#REF!, _xlfn.IFS( I287&gt;=30, 5, I287&gt;=25, 4.8, I287&gt;=15, 4, I287&gt;=10, 3.8, I287&gt;=5, 3, I287&gt;=2, 2.5, I287&gt;=0, 1.8, TRUE, 1.3))</f>
        <v>3.8</v>
      </c>
      <c r="O287" s="2" t="s">
        <v>2052</v>
      </c>
      <c r="P287" s="10">
        <v>0.75</v>
      </c>
      <c r="Q287" s="10" t="str">
        <f>_xlfn.IFS(Table1[[#This Row],[Rating]]&gt;=4, "Top Performer", Table1[[#This Row],[Rating]]&gt;=3, "Average", TRUE, "Needs Imporovement")</f>
        <v>Average</v>
      </c>
    </row>
    <row r="288" spans="1:17" x14ac:dyDescent="0.3">
      <c r="A288" s="2" t="s">
        <v>620</v>
      </c>
      <c r="B288" s="2" t="s">
        <v>621</v>
      </c>
      <c r="C288" s="2" t="s">
        <v>49</v>
      </c>
      <c r="D288" s="2">
        <v>46</v>
      </c>
      <c r="E288" s="2" t="str">
        <f>_xlfn.IFS(Table1[[#This Row],[Age]]&lt;30, "18-29", D288&lt;=45,"30-45", D288&lt;=55, "46-55", TRUE, "55+")</f>
        <v>46-55</v>
      </c>
      <c r="F288" s="2" t="s">
        <v>81</v>
      </c>
      <c r="G288" s="2" t="s">
        <v>82</v>
      </c>
      <c r="H288" s="2" t="s">
        <v>83</v>
      </c>
      <c r="I288" s="5">
        <v>12</v>
      </c>
      <c r="J288" s="5" t="str">
        <f>_xlfn.IFS(Table1[[#This Row],[Experience(Years)]]&lt;5, "Junior", I288&lt;=12, "Mid-Level", I288&lt;=20, "Senior", I288&lt;=30, "Super Senior", TRUE, "Expert")</f>
        <v>Mid-Level</v>
      </c>
      <c r="K288" s="7">
        <v>20</v>
      </c>
      <c r="L288" s="7">
        <f>Table1[[#This Row],[Hourly Rate]]*1000</f>
        <v>20000</v>
      </c>
      <c r="M288" s="7" t="str">
        <f t="shared" si="4"/>
        <v>Budget</v>
      </c>
      <c r="N288" s="2">
        <f>IF(ISNUMBER(#REF!),#REF!, _xlfn.IFS( I288&gt;=30, 5, I288&gt;=25, 4.8, I288&gt;=15, 4, I288&gt;=10, 3.8, I288&gt;=5, 3, I288&gt;=2, 2.5, I288&gt;=0, 1.8, TRUE, 1.3))</f>
        <v>3.8</v>
      </c>
      <c r="O288" s="2" t="s">
        <v>2052</v>
      </c>
      <c r="P288" s="10">
        <v>0.89</v>
      </c>
      <c r="Q288" s="10" t="str">
        <f>_xlfn.IFS(Table1[[#This Row],[Rating]]&gt;=4, "Top Performer", Table1[[#This Row],[Rating]]&gt;=3, "Average", TRUE, "Needs Imporovement")</f>
        <v>Average</v>
      </c>
    </row>
    <row r="289" spans="1:17" x14ac:dyDescent="0.3">
      <c r="A289" s="2" t="s">
        <v>622</v>
      </c>
      <c r="B289" s="2" t="s">
        <v>623</v>
      </c>
      <c r="C289" s="2" t="s">
        <v>49</v>
      </c>
      <c r="D289" s="2">
        <v>45</v>
      </c>
      <c r="E289" s="2" t="str">
        <f>_xlfn.IFS(Table1[[#This Row],[Age]]&lt;30, "18-29", D289&lt;=45,"30-45", D289&lt;=55, "46-55", TRUE, "55+")</f>
        <v>30-45</v>
      </c>
      <c r="F289" s="2" t="s">
        <v>156</v>
      </c>
      <c r="G289" s="2" t="s">
        <v>45</v>
      </c>
      <c r="H289" s="2" t="s">
        <v>83</v>
      </c>
      <c r="I289" s="5">
        <v>1</v>
      </c>
      <c r="J289" s="5" t="str">
        <f>_xlfn.IFS(Table1[[#This Row],[Experience(Years)]]&lt;5, "Junior", I289&lt;=12, "Mid-Level", I289&lt;=20, "Senior", I289&lt;=30, "Super Senior", TRUE, "Expert")</f>
        <v>Junior</v>
      </c>
      <c r="K289" s="7">
        <v>100</v>
      </c>
      <c r="L289" s="7">
        <f>Table1[[#This Row],[Hourly Rate]]*1000</f>
        <v>100000</v>
      </c>
      <c r="M289" s="7" t="str">
        <f t="shared" si="4"/>
        <v>Premium</v>
      </c>
      <c r="N289" s="2">
        <f>IF(ISNUMBER(#REF!),#REF!, _xlfn.IFS( I289&gt;=30, 5, I289&gt;=25, 4.8, I289&gt;=15, 4, I289&gt;=10, 3.8, I289&gt;=5, 3, I289&gt;=2, 2.5, I289&gt;=0, 1.8, TRUE, 1.3))</f>
        <v>1.8</v>
      </c>
      <c r="O289" s="2" t="s">
        <v>2053</v>
      </c>
      <c r="P289" s="10">
        <v>1</v>
      </c>
      <c r="Q289" s="10" t="str">
        <f>_xlfn.IFS(Table1[[#This Row],[Rating]]&gt;=4, "Top Performer", Table1[[#This Row],[Rating]]&gt;=3, "Average", TRUE, "Needs Imporovement")</f>
        <v>Needs Imporovement</v>
      </c>
    </row>
    <row r="290" spans="1:17" x14ac:dyDescent="0.3">
      <c r="A290" s="2" t="s">
        <v>624</v>
      </c>
      <c r="B290" s="2" t="s">
        <v>625</v>
      </c>
      <c r="C290" s="2" t="s">
        <v>49</v>
      </c>
      <c r="D290" s="2">
        <v>56</v>
      </c>
      <c r="E290" s="2" t="str">
        <f>_xlfn.IFS(Table1[[#This Row],[Age]]&lt;30, "18-29", D290&lt;=45,"30-45", D290&lt;=55, "46-55", TRUE, "55+")</f>
        <v>55+</v>
      </c>
      <c r="F290" s="2" t="s">
        <v>64</v>
      </c>
      <c r="G290" s="2" t="s">
        <v>65</v>
      </c>
      <c r="H290" s="2" t="s">
        <v>83</v>
      </c>
      <c r="I290" s="5">
        <v>2</v>
      </c>
      <c r="J290" s="5" t="str">
        <f>_xlfn.IFS(Table1[[#This Row],[Experience(Years)]]&lt;5, "Junior", I290&lt;=12, "Mid-Level", I290&lt;=20, "Senior", I290&lt;=30, "Super Senior", TRUE, "Expert")</f>
        <v>Junior</v>
      </c>
      <c r="K290" s="7">
        <v>30</v>
      </c>
      <c r="L290" s="7">
        <f>Table1[[#This Row],[Hourly Rate]]*1000</f>
        <v>30000</v>
      </c>
      <c r="M290" s="7" t="str">
        <f t="shared" si="4"/>
        <v>Budget</v>
      </c>
      <c r="N290" s="2">
        <f>IF(ISNUMBER(#REF!),#REF!, _xlfn.IFS( I290&gt;=30, 5, I290&gt;=25, 4.8, I290&gt;=15, 4, I290&gt;=10, 3.8, I290&gt;=5, 3, I290&gt;=2, 2.5, I290&gt;=0, 1.8, TRUE, 1.3))</f>
        <v>2.5</v>
      </c>
      <c r="O290" s="2" t="s">
        <v>2053</v>
      </c>
      <c r="P290" s="10">
        <v>0.81</v>
      </c>
      <c r="Q290" s="10" t="str">
        <f>_xlfn.IFS(Table1[[#This Row],[Rating]]&gt;=4, "Top Performer", Table1[[#This Row],[Rating]]&gt;=3, "Average", TRUE, "Needs Imporovement")</f>
        <v>Needs Imporovement</v>
      </c>
    </row>
    <row r="291" spans="1:17" x14ac:dyDescent="0.3">
      <c r="A291" s="2" t="s">
        <v>626</v>
      </c>
      <c r="B291" s="2" t="s">
        <v>627</v>
      </c>
      <c r="C291" s="2" t="s">
        <v>68</v>
      </c>
      <c r="D291" s="2">
        <v>44</v>
      </c>
      <c r="E291" s="2" t="str">
        <f>_xlfn.IFS(Table1[[#This Row],[Age]]&lt;30, "18-29", D291&lt;=45,"30-45", D291&lt;=55, "46-55", TRUE, "55+")</f>
        <v>30-45</v>
      </c>
      <c r="F291" s="2" t="s">
        <v>41</v>
      </c>
      <c r="G291" s="2" t="s">
        <v>8</v>
      </c>
      <c r="H291" s="2" t="s">
        <v>4</v>
      </c>
      <c r="I291" s="5">
        <v>13</v>
      </c>
      <c r="J291" s="5" t="str">
        <f>_xlfn.IFS(Table1[[#This Row],[Experience(Years)]]&lt;5, "Junior", I291&lt;=12, "Mid-Level", I291&lt;=20, "Senior", I291&lt;=30, "Super Senior", TRUE, "Expert")</f>
        <v>Senior</v>
      </c>
      <c r="K291" s="7">
        <v>100</v>
      </c>
      <c r="L291" s="7">
        <f>Table1[[#This Row],[Hourly Rate]]*1000</f>
        <v>100000</v>
      </c>
      <c r="M291" s="7" t="str">
        <f t="shared" si="4"/>
        <v>Premium</v>
      </c>
      <c r="N291" s="2">
        <f>IF(ISNUMBER(#REF!),#REF!, _xlfn.IFS( I291&gt;=30, 5, I291&gt;=25, 4.8, I291&gt;=15, 4, I291&gt;=10, 3.8, I291&gt;=5, 3, I291&gt;=2, 2.5, I291&gt;=0, 1.8, TRUE, 1.3))</f>
        <v>3.8</v>
      </c>
      <c r="O291" s="2" t="s">
        <v>2053</v>
      </c>
      <c r="P291" s="10">
        <v>0.95</v>
      </c>
      <c r="Q291" s="10" t="str">
        <f>_xlfn.IFS(Table1[[#This Row],[Rating]]&gt;=4, "Top Performer", Table1[[#This Row],[Rating]]&gt;=3, "Average", TRUE, "Needs Imporovement")</f>
        <v>Average</v>
      </c>
    </row>
    <row r="292" spans="1:17" x14ac:dyDescent="0.3">
      <c r="A292" s="2" t="s">
        <v>628</v>
      </c>
      <c r="B292" s="2" t="s">
        <v>629</v>
      </c>
      <c r="C292" s="2" t="s">
        <v>68</v>
      </c>
      <c r="D292" s="2">
        <v>46</v>
      </c>
      <c r="E292" s="2" t="str">
        <f>_xlfn.IFS(Table1[[#This Row],[Age]]&lt;30, "18-29", D292&lt;=45,"30-45", D292&lt;=55, "46-55", TRUE, "55+")</f>
        <v>46-55</v>
      </c>
      <c r="F292" s="2" t="s">
        <v>27</v>
      </c>
      <c r="G292" s="2" t="s">
        <v>28</v>
      </c>
      <c r="H292" s="2" t="s">
        <v>46</v>
      </c>
      <c r="I292" s="5">
        <v>0</v>
      </c>
      <c r="J292" s="5" t="str">
        <f>_xlfn.IFS(Table1[[#This Row],[Experience(Years)]]&lt;5, "Junior", I292&lt;=12, "Mid-Level", I292&lt;=20, "Senior", I292&lt;=30, "Super Senior", TRUE, "Expert")</f>
        <v>Junior</v>
      </c>
      <c r="K292" s="7">
        <v>40</v>
      </c>
      <c r="L292" s="7">
        <f>Table1[[#This Row],[Hourly Rate]]*1000</f>
        <v>40000</v>
      </c>
      <c r="M292" s="7" t="str">
        <f t="shared" si="4"/>
        <v>Standard</v>
      </c>
      <c r="N292" s="2">
        <f>IF(ISNUMBER(#REF!),#REF!, _xlfn.IFS( I292&gt;=30, 5, I292&gt;=25, 4.8, I292&gt;=15, 4, I292&gt;=10, 3.8, I292&gt;=5, 3, I292&gt;=2, 2.5, I292&gt;=0, 1.8, TRUE, 1.3))</f>
        <v>1.8</v>
      </c>
      <c r="O292" s="2" t="s">
        <v>2052</v>
      </c>
      <c r="P292" s="10">
        <v>0.88</v>
      </c>
      <c r="Q292" s="10" t="str">
        <f>_xlfn.IFS(Table1[[#This Row],[Rating]]&gt;=4, "Top Performer", Table1[[#This Row],[Rating]]&gt;=3, "Average", TRUE, "Needs Imporovement")</f>
        <v>Needs Imporovement</v>
      </c>
    </row>
    <row r="293" spans="1:17" x14ac:dyDescent="0.3">
      <c r="A293" s="2" t="s">
        <v>630</v>
      </c>
      <c r="B293" s="2" t="s">
        <v>631</v>
      </c>
      <c r="C293" s="2" t="s">
        <v>49</v>
      </c>
      <c r="D293" s="2">
        <v>27</v>
      </c>
      <c r="E293" s="2" t="str">
        <f>_xlfn.IFS(Table1[[#This Row],[Age]]&lt;30, "18-29", D293&lt;=45,"30-45", D293&lt;=55, "46-55", TRUE, "55+")</f>
        <v>18-29</v>
      </c>
      <c r="F293" s="2" t="s">
        <v>57</v>
      </c>
      <c r="G293" s="2" t="s">
        <v>58</v>
      </c>
      <c r="H293" s="2" t="s">
        <v>17</v>
      </c>
      <c r="I293" s="5">
        <v>7</v>
      </c>
      <c r="J293" s="5" t="str">
        <f>_xlfn.IFS(Table1[[#This Row],[Experience(Years)]]&lt;5, "Junior", I293&lt;=12, "Mid-Level", I293&lt;=20, "Senior", I293&lt;=30, "Super Senior", TRUE, "Expert")</f>
        <v>Mid-Level</v>
      </c>
      <c r="K293" s="7">
        <v>30</v>
      </c>
      <c r="L293" s="7">
        <f>Table1[[#This Row],[Hourly Rate]]*1000</f>
        <v>30000</v>
      </c>
      <c r="M293" s="7" t="str">
        <f t="shared" si="4"/>
        <v>Budget</v>
      </c>
      <c r="N293" s="2">
        <f>IF(ISNUMBER(#REF!),#REF!, _xlfn.IFS( I293&gt;=30, 5, I293&gt;=25, 4.8, I293&gt;=15, 4, I293&gt;=10, 3.8, I293&gt;=5, 3, I293&gt;=2, 2.5, I293&gt;=0, 1.8, TRUE, 1.3))</f>
        <v>3</v>
      </c>
      <c r="O293" s="2" t="s">
        <v>2053</v>
      </c>
      <c r="P293" s="10">
        <v>0.66</v>
      </c>
      <c r="Q293" s="10" t="str">
        <f>_xlfn.IFS(Table1[[#This Row],[Rating]]&gt;=4, "Top Performer", Table1[[#This Row],[Rating]]&gt;=3, "Average", TRUE, "Needs Imporovement")</f>
        <v>Average</v>
      </c>
    </row>
    <row r="294" spans="1:17" x14ac:dyDescent="0.3">
      <c r="A294" s="2" t="s">
        <v>632</v>
      </c>
      <c r="B294" s="2" t="s">
        <v>633</v>
      </c>
      <c r="C294" s="2" t="s">
        <v>49</v>
      </c>
      <c r="D294" s="2">
        <v>49</v>
      </c>
      <c r="E294" s="2" t="str">
        <f>_xlfn.IFS(Table1[[#This Row],[Age]]&lt;30, "18-29", D294&lt;=45,"30-45", D294&lt;=55, "46-55", TRUE, "55+")</f>
        <v>46-55</v>
      </c>
      <c r="F294" s="2" t="s">
        <v>64</v>
      </c>
      <c r="G294" s="2" t="s">
        <v>65</v>
      </c>
      <c r="H294" s="2" t="s">
        <v>4</v>
      </c>
      <c r="I294" s="5">
        <v>13</v>
      </c>
      <c r="J294" s="5" t="str">
        <f>_xlfn.IFS(Table1[[#This Row],[Experience(Years)]]&lt;5, "Junior", I294&lt;=12, "Mid-Level", I294&lt;=20, "Senior", I294&lt;=30, "Super Senior", TRUE, "Expert")</f>
        <v>Senior</v>
      </c>
      <c r="K294" s="7">
        <v>100</v>
      </c>
      <c r="L294" s="7">
        <f>Table1[[#This Row],[Hourly Rate]]*1000</f>
        <v>100000</v>
      </c>
      <c r="M294" s="7" t="str">
        <f t="shared" si="4"/>
        <v>Premium</v>
      </c>
      <c r="N294" s="2">
        <f>IF(ISNUMBER(#REF!),#REF!, _xlfn.IFS( I294&gt;=30, 5, I294&gt;=25, 4.8, I294&gt;=15, 4, I294&gt;=10, 3.8, I294&gt;=5, 3, I294&gt;=2, 2.5, I294&gt;=0, 1.8, TRUE, 1.3))</f>
        <v>3.8</v>
      </c>
      <c r="O294" s="2" t="s">
        <v>2053</v>
      </c>
      <c r="P294" s="10">
        <v>0.84</v>
      </c>
      <c r="Q294" s="10" t="str">
        <f>_xlfn.IFS(Table1[[#This Row],[Rating]]&gt;=4, "Top Performer", Table1[[#This Row],[Rating]]&gt;=3, "Average", TRUE, "Needs Imporovement")</f>
        <v>Average</v>
      </c>
    </row>
    <row r="295" spans="1:17" x14ac:dyDescent="0.3">
      <c r="A295" s="2" t="s">
        <v>634</v>
      </c>
      <c r="B295" s="2" t="s">
        <v>635</v>
      </c>
      <c r="C295" s="2" t="s">
        <v>68</v>
      </c>
      <c r="D295" s="2">
        <v>53</v>
      </c>
      <c r="E295" s="2" t="str">
        <f>_xlfn.IFS(Table1[[#This Row],[Age]]&lt;30, "18-29", D295&lt;=45,"30-45", D295&lt;=55, "46-55", TRUE, "55+")</f>
        <v>46-55</v>
      </c>
      <c r="F295" s="2" t="s">
        <v>145</v>
      </c>
      <c r="G295" s="2" t="s">
        <v>45</v>
      </c>
      <c r="H295" s="2" t="s">
        <v>17</v>
      </c>
      <c r="I295" s="5">
        <v>21</v>
      </c>
      <c r="J295" s="5" t="str">
        <f>_xlfn.IFS(Table1[[#This Row],[Experience(Years)]]&lt;5, "Junior", I295&lt;=12, "Mid-Level", I295&lt;=20, "Senior", I295&lt;=30, "Super Senior", TRUE, "Expert")</f>
        <v>Super Senior</v>
      </c>
      <c r="K295" s="7">
        <v>50</v>
      </c>
      <c r="L295" s="7">
        <f>Table1[[#This Row],[Hourly Rate]]*1000</f>
        <v>50000</v>
      </c>
      <c r="M295" s="7" t="str">
        <f t="shared" si="4"/>
        <v>Standard</v>
      </c>
      <c r="N295" s="2">
        <f>IF(ISNUMBER(#REF!),#REF!, _xlfn.IFS( I295&gt;=30, 5, I295&gt;=25, 4.8, I295&gt;=15, 4, I295&gt;=10, 3.8, I295&gt;=5, 3, I295&gt;=2, 2.5, I295&gt;=0, 1.8, TRUE, 1.3))</f>
        <v>4</v>
      </c>
      <c r="O295" s="2" t="s">
        <v>2052</v>
      </c>
      <c r="P295" s="10">
        <v>0.85</v>
      </c>
      <c r="Q295" s="10" t="str">
        <f>_xlfn.IFS(Table1[[#This Row],[Rating]]&gt;=4, "Top Performer", Table1[[#This Row],[Rating]]&gt;=3, "Average", TRUE, "Needs Imporovement")</f>
        <v>Top Performer</v>
      </c>
    </row>
    <row r="296" spans="1:17" x14ac:dyDescent="0.3">
      <c r="A296" s="2" t="s">
        <v>636</v>
      </c>
      <c r="B296" s="2" t="s">
        <v>637</v>
      </c>
      <c r="C296" s="2" t="s">
        <v>68</v>
      </c>
      <c r="D296" s="2">
        <v>56</v>
      </c>
      <c r="E296" s="2" t="str">
        <f>_xlfn.IFS(Table1[[#This Row],[Age]]&lt;30, "18-29", D296&lt;=45,"30-45", D296&lt;=55, "46-55", TRUE, "55+")</f>
        <v>55+</v>
      </c>
      <c r="F296" s="2" t="s">
        <v>7</v>
      </c>
      <c r="G296" s="2" t="s">
        <v>8</v>
      </c>
      <c r="H296" s="2" t="s">
        <v>17</v>
      </c>
      <c r="I296" s="5">
        <v>19</v>
      </c>
      <c r="J296" s="5" t="str">
        <f>_xlfn.IFS(Table1[[#This Row],[Experience(Years)]]&lt;5, "Junior", I296&lt;=12, "Mid-Level", I296&lt;=20, "Senior", I296&lt;=30, "Super Senior", TRUE, "Expert")</f>
        <v>Senior</v>
      </c>
      <c r="K296" s="7">
        <v>40</v>
      </c>
      <c r="L296" s="7">
        <f>Table1[[#This Row],[Hourly Rate]]*1000</f>
        <v>40000</v>
      </c>
      <c r="M296" s="7" t="str">
        <f t="shared" si="4"/>
        <v>Standard</v>
      </c>
      <c r="N296" s="2">
        <f>IF(ISNUMBER(#REF!),#REF!, _xlfn.IFS( I296&gt;=30, 5, I296&gt;=25, 4.8, I296&gt;=15, 4, I296&gt;=10, 3.8, I296&gt;=5, 3, I296&gt;=2, 2.5, I296&gt;=0, 1.8, TRUE, 1.3))</f>
        <v>4</v>
      </c>
      <c r="O296" s="2" t="s">
        <v>2053</v>
      </c>
      <c r="P296" s="10">
        <v>0.82</v>
      </c>
      <c r="Q296" s="10" t="str">
        <f>_xlfn.IFS(Table1[[#This Row],[Rating]]&gt;=4, "Top Performer", Table1[[#This Row],[Rating]]&gt;=3, "Average", TRUE, "Needs Imporovement")</f>
        <v>Top Performer</v>
      </c>
    </row>
    <row r="297" spans="1:17" x14ac:dyDescent="0.3">
      <c r="A297" s="2" t="s">
        <v>638</v>
      </c>
      <c r="B297" s="2" t="s">
        <v>639</v>
      </c>
      <c r="C297" s="2" t="s">
        <v>49</v>
      </c>
      <c r="D297" s="2">
        <v>56</v>
      </c>
      <c r="E297" s="2" t="str">
        <f>_xlfn.IFS(Table1[[#This Row],[Age]]&lt;30, "18-29", D297&lt;=45,"30-45", D297&lt;=55, "46-55", TRUE, "55+")</f>
        <v>55+</v>
      </c>
      <c r="F297" s="2" t="s">
        <v>41</v>
      </c>
      <c r="G297" s="2" t="s">
        <v>8</v>
      </c>
      <c r="H297" s="2" t="s">
        <v>61</v>
      </c>
      <c r="I297" s="5">
        <v>34</v>
      </c>
      <c r="J297" s="5" t="str">
        <f>_xlfn.IFS(Table1[[#This Row],[Experience(Years)]]&lt;5, "Junior", I297&lt;=12, "Mid-Level", I297&lt;=20, "Senior", I297&lt;=30, "Super Senior", TRUE, "Expert")</f>
        <v>Expert</v>
      </c>
      <c r="K297" s="7">
        <v>70</v>
      </c>
      <c r="L297" s="7">
        <f>Table1[[#This Row],[Hourly Rate]]*1000</f>
        <v>70000</v>
      </c>
      <c r="M297" s="7" t="str">
        <f t="shared" si="4"/>
        <v>Standard</v>
      </c>
      <c r="N297" s="2">
        <f>IF(ISNUMBER(#REF!),#REF!, _xlfn.IFS( I297&gt;=30, 5, I297&gt;=25, 4.8, I297&gt;=15, 4, I297&gt;=10, 3.8, I297&gt;=5, 3, I297&gt;=2, 2.5, I297&gt;=0, 1.8, TRUE, 1.3))</f>
        <v>5</v>
      </c>
      <c r="O297" s="2" t="s">
        <v>2053</v>
      </c>
      <c r="P297" s="10">
        <v>0.84</v>
      </c>
      <c r="Q297" s="10" t="str">
        <f>_xlfn.IFS(Table1[[#This Row],[Rating]]&gt;=4, "Top Performer", Table1[[#This Row],[Rating]]&gt;=3, "Average", TRUE, "Needs Imporovement")</f>
        <v>Top Performer</v>
      </c>
    </row>
    <row r="298" spans="1:17" x14ac:dyDescent="0.3">
      <c r="A298" s="2" t="s">
        <v>640</v>
      </c>
      <c r="B298" s="2" t="s">
        <v>641</v>
      </c>
      <c r="C298" s="2" t="s">
        <v>68</v>
      </c>
      <c r="D298" s="2">
        <v>38</v>
      </c>
      <c r="E298" s="2" t="str">
        <f>_xlfn.IFS(Table1[[#This Row],[Age]]&lt;30, "18-29", D298&lt;=45,"30-45", D298&lt;=55, "46-55", TRUE, "55+")</f>
        <v>30-45</v>
      </c>
      <c r="F298" s="2" t="s">
        <v>121</v>
      </c>
      <c r="G298" s="2" t="s">
        <v>122</v>
      </c>
      <c r="H298" s="2" t="s">
        <v>29</v>
      </c>
      <c r="I298" s="5">
        <v>3</v>
      </c>
      <c r="J298" s="5" t="str">
        <f>_xlfn.IFS(Table1[[#This Row],[Experience(Years)]]&lt;5, "Junior", I298&lt;=12, "Mid-Level", I298&lt;=20, "Senior", I298&lt;=30, "Super Senior", TRUE, "Expert")</f>
        <v>Junior</v>
      </c>
      <c r="K298" s="7">
        <v>100</v>
      </c>
      <c r="L298" s="7">
        <f>Table1[[#This Row],[Hourly Rate]]*1000</f>
        <v>100000</v>
      </c>
      <c r="M298" s="7" t="str">
        <f t="shared" si="4"/>
        <v>Premium</v>
      </c>
      <c r="N298" s="2">
        <f>IF(ISNUMBER(#REF!),#REF!, _xlfn.IFS( I298&gt;=30, 5, I298&gt;=25, 4.8, I298&gt;=15, 4, I298&gt;=10, 3.8, I298&gt;=5, 3, I298&gt;=2, 2.5, I298&gt;=0, 1.8, TRUE, 1.3))</f>
        <v>2.5</v>
      </c>
      <c r="O298" s="2" t="s">
        <v>2052</v>
      </c>
      <c r="P298" s="10">
        <v>0.73</v>
      </c>
      <c r="Q298" s="10" t="str">
        <f>_xlfn.IFS(Table1[[#This Row],[Rating]]&gt;=4, "Top Performer", Table1[[#This Row],[Rating]]&gt;=3, "Average", TRUE, "Needs Imporovement")</f>
        <v>Needs Imporovement</v>
      </c>
    </row>
    <row r="299" spans="1:17" x14ac:dyDescent="0.3">
      <c r="A299" s="2" t="s">
        <v>642</v>
      </c>
      <c r="B299" s="2" t="s">
        <v>643</v>
      </c>
      <c r="C299" s="2" t="s">
        <v>68</v>
      </c>
      <c r="D299" s="2">
        <v>20</v>
      </c>
      <c r="E299" s="2" t="str">
        <f>_xlfn.IFS(Table1[[#This Row],[Age]]&lt;30, "18-29", D299&lt;=45,"30-45", D299&lt;=55, "46-55", TRUE, "55+")</f>
        <v>18-29</v>
      </c>
      <c r="F299" s="2" t="s">
        <v>81</v>
      </c>
      <c r="G299" s="2" t="s">
        <v>82</v>
      </c>
      <c r="H299" s="2" t="s">
        <v>9</v>
      </c>
      <c r="I299" s="5">
        <v>0</v>
      </c>
      <c r="J299" s="5" t="str">
        <f>_xlfn.IFS(Table1[[#This Row],[Experience(Years)]]&lt;5, "Junior", I299&lt;=12, "Mid-Level", I299&lt;=20, "Senior", I299&lt;=30, "Super Senior", TRUE, "Expert")</f>
        <v>Junior</v>
      </c>
      <c r="K299" s="7">
        <v>30</v>
      </c>
      <c r="L299" s="7">
        <f>Table1[[#This Row],[Hourly Rate]]*1000</f>
        <v>30000</v>
      </c>
      <c r="M299" s="7" t="str">
        <f t="shared" si="4"/>
        <v>Budget</v>
      </c>
      <c r="N299" s="2">
        <f>IF(ISNUMBER(#REF!),#REF!, _xlfn.IFS( I299&gt;=30, 5, I299&gt;=25, 4.8, I299&gt;=15, 4, I299&gt;=10, 3.8, I299&gt;=5, 3, I299&gt;=2, 2.5, I299&gt;=0, 1.8, TRUE, 1.3))</f>
        <v>1.8</v>
      </c>
      <c r="O299" s="2" t="str">
        <f>IF(AND(Table1[[#This Row],[Rating]]&gt;=3.5, Table1[[#This Row],[Experience(Years)]]&gt;=15), "Active", "Inactive")</f>
        <v>Inactive</v>
      </c>
      <c r="P299" s="10">
        <v>0.93</v>
      </c>
      <c r="Q299" s="10" t="str">
        <f>_xlfn.IFS(Table1[[#This Row],[Rating]]&gt;=4, "Top Performer", Table1[[#This Row],[Rating]]&gt;=3, "Average", TRUE, "Needs Imporovement")</f>
        <v>Needs Imporovement</v>
      </c>
    </row>
    <row r="300" spans="1:17" x14ac:dyDescent="0.3">
      <c r="A300" s="2" t="s">
        <v>644</v>
      </c>
      <c r="B300" s="2" t="s">
        <v>645</v>
      </c>
      <c r="C300" s="2" t="s">
        <v>49</v>
      </c>
      <c r="D300" s="2">
        <v>38</v>
      </c>
      <c r="E300" s="2" t="str">
        <f>_xlfn.IFS(Table1[[#This Row],[Age]]&lt;30, "18-29", D300&lt;=45,"30-45", D300&lt;=55, "46-55", TRUE, "55+")</f>
        <v>30-45</v>
      </c>
      <c r="F300" s="2" t="s">
        <v>96</v>
      </c>
      <c r="G300" s="2" t="s">
        <v>8</v>
      </c>
      <c r="H300" s="2" t="s">
        <v>83</v>
      </c>
      <c r="I300" s="5">
        <v>20</v>
      </c>
      <c r="J300" s="5" t="str">
        <f>_xlfn.IFS(Table1[[#This Row],[Experience(Years)]]&lt;5, "Junior", I300&lt;=12, "Mid-Level", I300&lt;=20, "Senior", I300&lt;=30, "Super Senior", TRUE, "Expert")</f>
        <v>Senior</v>
      </c>
      <c r="K300" s="7">
        <v>50</v>
      </c>
      <c r="L300" s="7">
        <f>Table1[[#This Row],[Hourly Rate]]*1000</f>
        <v>50000</v>
      </c>
      <c r="M300" s="7" t="str">
        <f t="shared" si="4"/>
        <v>Standard</v>
      </c>
      <c r="N300" s="2">
        <f>IF(ISNUMBER(#REF!),#REF!, _xlfn.IFS( I300&gt;=30, 5, I300&gt;=25, 4.8, I300&gt;=15, 4, I300&gt;=10, 3.8, I300&gt;=5, 3, I300&gt;=2, 2.5, I300&gt;=0, 1.8, TRUE, 1.3))</f>
        <v>4</v>
      </c>
      <c r="O300" s="2" t="str">
        <f>IF(AND( Table1[[#This Row],[Rating]]&gt;=3.5, Table1[[#This Row],[Experience(Years)]]&gt;=15), "Active", "Inactive")</f>
        <v>Active</v>
      </c>
      <c r="P300" s="10">
        <v>0.64</v>
      </c>
      <c r="Q300" s="10" t="str">
        <f>_xlfn.IFS(Table1[[#This Row],[Rating]]&gt;=4, "Top Performer", Table1[[#This Row],[Rating]]&gt;=3, "Average", TRUE, "Needs Imporovement")</f>
        <v>Top Performer</v>
      </c>
    </row>
    <row r="301" spans="1:17" x14ac:dyDescent="0.3">
      <c r="A301" s="2" t="s">
        <v>646</v>
      </c>
      <c r="B301" s="2" t="s">
        <v>647</v>
      </c>
      <c r="C301" s="2" t="s">
        <v>49</v>
      </c>
      <c r="D301" s="2">
        <v>44</v>
      </c>
      <c r="E301" s="2" t="str">
        <f>_xlfn.IFS(Table1[[#This Row],[Age]]&lt;30, "18-29", D301&lt;=45,"30-45", D301&lt;=55, "46-55", TRUE, "55+")</f>
        <v>30-45</v>
      </c>
      <c r="F301" s="2" t="s">
        <v>22</v>
      </c>
      <c r="G301" s="2" t="s">
        <v>23</v>
      </c>
      <c r="H301" s="2" t="s">
        <v>9</v>
      </c>
      <c r="I301" s="5">
        <v>6</v>
      </c>
      <c r="J301" s="5" t="str">
        <f>_xlfn.IFS(Table1[[#This Row],[Experience(Years)]]&lt;5, "Junior", I301&lt;=12, "Mid-Level", I301&lt;=20, "Senior", I301&lt;=30, "Super Senior", TRUE, "Expert")</f>
        <v>Mid-Level</v>
      </c>
      <c r="K301" s="7">
        <v>40</v>
      </c>
      <c r="L301" s="7">
        <f>Table1[[#This Row],[Hourly Rate]]*1000</f>
        <v>40000</v>
      </c>
      <c r="M301" s="7" t="str">
        <f t="shared" si="4"/>
        <v>Standard</v>
      </c>
      <c r="N301" s="2">
        <f>IF(ISNUMBER(#REF!),#REF!, _xlfn.IFS( I301&gt;=30, 5, I301&gt;=25, 4.8, I301&gt;=15, 4, I301&gt;=10, 3.8, I301&gt;=5, 3, I301&gt;=2, 2.5, I301&gt;=0, 1.8, TRUE, 1.3))</f>
        <v>3</v>
      </c>
      <c r="O301" s="2" t="s">
        <v>2052</v>
      </c>
      <c r="P301" s="10">
        <v>0.76</v>
      </c>
      <c r="Q301" s="10" t="str">
        <f>_xlfn.IFS(Table1[[#This Row],[Rating]]&gt;=4, "Top Performer", Table1[[#This Row],[Rating]]&gt;=3, "Average", TRUE, "Needs Imporovement")</f>
        <v>Average</v>
      </c>
    </row>
    <row r="302" spans="1:17" x14ac:dyDescent="0.3">
      <c r="A302" s="2" t="s">
        <v>648</v>
      </c>
      <c r="B302" s="2" t="s">
        <v>649</v>
      </c>
      <c r="C302" s="2" t="s">
        <v>68</v>
      </c>
      <c r="D302" s="2">
        <v>46</v>
      </c>
      <c r="E302" s="2" t="str">
        <f>_xlfn.IFS(Table1[[#This Row],[Age]]&lt;30, "18-29", D302&lt;=45,"30-45", D302&lt;=55, "46-55", TRUE, "55+")</f>
        <v>46-55</v>
      </c>
      <c r="F302" s="2" t="s">
        <v>64</v>
      </c>
      <c r="G302" s="2" t="s">
        <v>65</v>
      </c>
      <c r="H302" s="2" t="s">
        <v>83</v>
      </c>
      <c r="I302" s="5">
        <v>13</v>
      </c>
      <c r="J302" s="5" t="str">
        <f>_xlfn.IFS(Table1[[#This Row],[Experience(Years)]]&lt;5, "Junior", I302&lt;=12, "Mid-Level", I302&lt;=20, "Senior", I302&lt;=30, "Super Senior", TRUE, "Expert")</f>
        <v>Senior</v>
      </c>
      <c r="K302" s="7">
        <v>100</v>
      </c>
      <c r="L302" s="7">
        <f>Table1[[#This Row],[Hourly Rate]]*1000</f>
        <v>100000</v>
      </c>
      <c r="M302" s="7" t="str">
        <f t="shared" si="4"/>
        <v>Premium</v>
      </c>
      <c r="N302" s="2">
        <f>IF(ISNUMBER(#REF!),#REF!, _xlfn.IFS( I302&gt;=30, 5, I302&gt;=25, 4.8, I302&gt;=15, 4, I302&gt;=10, 3.8, I302&gt;=5, 3, I302&gt;=2, 2.5, I302&gt;=0, 1.8, TRUE, 1.3))</f>
        <v>3.8</v>
      </c>
      <c r="O302" s="2" t="s">
        <v>2053</v>
      </c>
      <c r="P302" s="10">
        <v>0.97</v>
      </c>
      <c r="Q302" s="10" t="str">
        <f>_xlfn.IFS(Table1[[#This Row],[Rating]]&gt;=4, "Top Performer", Table1[[#This Row],[Rating]]&gt;=3, "Average", TRUE, "Needs Imporovement")</f>
        <v>Average</v>
      </c>
    </row>
    <row r="303" spans="1:17" x14ac:dyDescent="0.3">
      <c r="A303" s="2" t="s">
        <v>650</v>
      </c>
      <c r="B303" s="2" t="s">
        <v>651</v>
      </c>
      <c r="C303" s="2" t="s">
        <v>68</v>
      </c>
      <c r="D303" s="2">
        <v>36</v>
      </c>
      <c r="E303" s="2" t="str">
        <f>_xlfn.IFS(Table1[[#This Row],[Age]]&lt;30, "18-29", D303&lt;=45,"30-45", D303&lt;=55, "46-55", TRUE, "55+")</f>
        <v>30-45</v>
      </c>
      <c r="F303" s="2" t="s">
        <v>121</v>
      </c>
      <c r="G303" s="2" t="s">
        <v>122</v>
      </c>
      <c r="H303" s="2" t="s">
        <v>29</v>
      </c>
      <c r="I303" s="5">
        <v>9</v>
      </c>
      <c r="J303" s="5" t="str">
        <f>_xlfn.IFS(Table1[[#This Row],[Experience(Years)]]&lt;5, "Junior", I303&lt;=12, "Mid-Level", I303&lt;=20, "Senior", I303&lt;=30, "Super Senior", TRUE, "Expert")</f>
        <v>Mid-Level</v>
      </c>
      <c r="K303" s="7">
        <v>75</v>
      </c>
      <c r="L303" s="7">
        <f>Table1[[#This Row],[Hourly Rate]]*1000</f>
        <v>75000</v>
      </c>
      <c r="M303" s="7" t="str">
        <f t="shared" si="4"/>
        <v>Standard</v>
      </c>
      <c r="N303" s="2">
        <f>IF(ISNUMBER(#REF!),#REF!, _xlfn.IFS( I303&gt;=30, 5, I303&gt;=25, 4.8, I303&gt;=15, 4, I303&gt;=10, 3.8, I303&gt;=5, 3, I303&gt;=2, 2.5, I303&gt;=0, 1.8, TRUE, 1.3))</f>
        <v>3</v>
      </c>
      <c r="O303" s="2" t="s">
        <v>2052</v>
      </c>
      <c r="P303" s="10">
        <v>0.95</v>
      </c>
      <c r="Q303" s="10" t="str">
        <f>_xlfn.IFS(Table1[[#This Row],[Rating]]&gt;=4, "Top Performer", Table1[[#This Row],[Rating]]&gt;=3, "Average", TRUE, "Needs Imporovement")</f>
        <v>Average</v>
      </c>
    </row>
    <row r="304" spans="1:17" x14ac:dyDescent="0.3">
      <c r="A304" s="2" t="s">
        <v>652</v>
      </c>
      <c r="B304" s="2" t="s">
        <v>653</v>
      </c>
      <c r="C304" s="2" t="s">
        <v>68</v>
      </c>
      <c r="D304" s="2">
        <v>33</v>
      </c>
      <c r="E304" s="2" t="str">
        <f>_xlfn.IFS(Table1[[#This Row],[Age]]&lt;30, "18-29", D304&lt;=45,"30-45", D304&lt;=55, "46-55", TRUE, "55+")</f>
        <v>30-45</v>
      </c>
      <c r="F304" s="2" t="s">
        <v>92</v>
      </c>
      <c r="G304" s="2" t="s">
        <v>93</v>
      </c>
      <c r="H304" s="2" t="s">
        <v>17</v>
      </c>
      <c r="I304" s="5">
        <v>2</v>
      </c>
      <c r="J304" s="5" t="str">
        <f>_xlfn.IFS(Table1[[#This Row],[Experience(Years)]]&lt;5, "Junior", I304&lt;=12, "Mid-Level", I304&lt;=20, "Senior", I304&lt;=30, "Super Senior", TRUE, "Expert")</f>
        <v>Junior</v>
      </c>
      <c r="K304" s="7">
        <v>75</v>
      </c>
      <c r="L304" s="7">
        <f>Table1[[#This Row],[Hourly Rate]]*1000</f>
        <v>75000</v>
      </c>
      <c r="M304" s="7" t="str">
        <f t="shared" si="4"/>
        <v>Standard</v>
      </c>
      <c r="N304" s="2">
        <f>IF(ISNUMBER(#REF!),#REF!, _xlfn.IFS( I304&gt;=30, 5, I304&gt;=25, 4.8, I304&gt;=15, 4, I304&gt;=10, 3.8, I304&gt;=5, 3, I304&gt;=2, 2.5, I304&gt;=0, 1.8, TRUE, 1.3))</f>
        <v>2.5</v>
      </c>
      <c r="O304" s="2" t="s">
        <v>2052</v>
      </c>
      <c r="P304" s="10">
        <v>0.65</v>
      </c>
      <c r="Q304" s="10" t="str">
        <f>_xlfn.IFS(Table1[[#This Row],[Rating]]&gt;=4, "Top Performer", Table1[[#This Row],[Rating]]&gt;=3, "Average", TRUE, "Needs Imporovement")</f>
        <v>Needs Imporovement</v>
      </c>
    </row>
    <row r="305" spans="1:17" x14ac:dyDescent="0.3">
      <c r="A305" s="2" t="s">
        <v>654</v>
      </c>
      <c r="B305" s="2" t="s">
        <v>655</v>
      </c>
      <c r="C305" s="2" t="s">
        <v>49</v>
      </c>
      <c r="D305" s="2">
        <v>37</v>
      </c>
      <c r="E305" s="2" t="str">
        <f>_xlfn.IFS(Table1[[#This Row],[Age]]&lt;30, "18-29", D305&lt;=45,"30-45", D305&lt;=55, "46-55", TRUE, "55+")</f>
        <v>30-45</v>
      </c>
      <c r="F305" s="2" t="s">
        <v>96</v>
      </c>
      <c r="G305" s="2" t="s">
        <v>8</v>
      </c>
      <c r="H305" s="2" t="s">
        <v>14</v>
      </c>
      <c r="I305" s="5">
        <v>0</v>
      </c>
      <c r="J305" s="5" t="str">
        <f>_xlfn.IFS(Table1[[#This Row],[Experience(Years)]]&lt;5, "Junior", I305&lt;=12, "Mid-Level", I305&lt;=20, "Senior", I305&lt;=30, "Super Senior", TRUE, "Expert")</f>
        <v>Junior</v>
      </c>
      <c r="K305" s="7">
        <v>50</v>
      </c>
      <c r="L305" s="7">
        <f>Table1[[#This Row],[Hourly Rate]]*1000</f>
        <v>50000</v>
      </c>
      <c r="M305" s="7" t="str">
        <f t="shared" si="4"/>
        <v>Standard</v>
      </c>
      <c r="N305" s="2">
        <f>IF(ISNUMBER(#REF!),#REF!, _xlfn.IFS( I305&gt;=30, 5, I305&gt;=25, 4.8, I305&gt;=15, 4, I305&gt;=10, 3.8, I305&gt;=5, 3, I305&gt;=2, 2.5, I305&gt;=0, 1.8, TRUE, 1.3))</f>
        <v>1.8</v>
      </c>
      <c r="O305" s="2" t="s">
        <v>2052</v>
      </c>
      <c r="P305" s="10">
        <v>0.77</v>
      </c>
      <c r="Q305" s="10" t="str">
        <f>_xlfn.IFS(Table1[[#This Row],[Rating]]&gt;=4, "Top Performer", Table1[[#This Row],[Rating]]&gt;=3, "Average", TRUE, "Needs Imporovement")</f>
        <v>Needs Imporovement</v>
      </c>
    </row>
    <row r="306" spans="1:17" x14ac:dyDescent="0.3">
      <c r="A306" s="2" t="s">
        <v>656</v>
      </c>
      <c r="B306" s="2" t="s">
        <v>657</v>
      </c>
      <c r="C306" s="2" t="s">
        <v>68</v>
      </c>
      <c r="D306" s="2">
        <v>20</v>
      </c>
      <c r="E306" s="2" t="str">
        <f>_xlfn.IFS(Table1[[#This Row],[Age]]&lt;30, "18-29", D306&lt;=45,"30-45", D306&lt;=55, "46-55", TRUE, "55+")</f>
        <v>18-29</v>
      </c>
      <c r="F306" s="2" t="s">
        <v>107</v>
      </c>
      <c r="G306" s="2" t="s">
        <v>108</v>
      </c>
      <c r="H306" s="2" t="s">
        <v>29</v>
      </c>
      <c r="I306" s="5">
        <v>0</v>
      </c>
      <c r="J306" s="5" t="str">
        <f>_xlfn.IFS(Table1[[#This Row],[Experience(Years)]]&lt;5, "Junior", I306&lt;=12, "Mid-Level", I306&lt;=20, "Senior", I306&lt;=30, "Super Senior", TRUE, "Expert")</f>
        <v>Junior</v>
      </c>
      <c r="K306" s="7">
        <v>20</v>
      </c>
      <c r="L306" s="7">
        <f>Table1[[#This Row],[Hourly Rate]]*1000</f>
        <v>20000</v>
      </c>
      <c r="M306" s="7" t="str">
        <f t="shared" si="4"/>
        <v>Budget</v>
      </c>
      <c r="N306" s="2">
        <f>IF(ISNUMBER(#REF!),#REF!, _xlfn.IFS( I306&gt;=30, 5, I306&gt;=25, 4.8, I306&gt;=15, 4, I306&gt;=10, 3.8, I306&gt;=5, 3, I306&gt;=2, 2.5, I306&gt;=0, 1.8, TRUE, 1.3))</f>
        <v>1.8</v>
      </c>
      <c r="O306" s="2" t="s">
        <v>2052</v>
      </c>
      <c r="P306" s="10">
        <v>0.3</v>
      </c>
      <c r="Q306" s="10" t="str">
        <f>_xlfn.IFS(Table1[[#This Row],[Rating]]&gt;=4, "Top Performer", Table1[[#This Row],[Rating]]&gt;=3, "Average", TRUE, "Needs Imporovement")</f>
        <v>Needs Imporovement</v>
      </c>
    </row>
    <row r="307" spans="1:17" x14ac:dyDescent="0.3">
      <c r="A307" s="2" t="s">
        <v>658</v>
      </c>
      <c r="B307" s="2" t="s">
        <v>659</v>
      </c>
      <c r="C307" s="2" t="s">
        <v>49</v>
      </c>
      <c r="D307" s="2">
        <v>48</v>
      </c>
      <c r="E307" s="2" t="str">
        <f>_xlfn.IFS(Table1[[#This Row],[Age]]&lt;30, "18-29", D307&lt;=45,"30-45", D307&lt;=55, "46-55", TRUE, "55+")</f>
        <v>46-55</v>
      </c>
      <c r="F307" s="2" t="s">
        <v>141</v>
      </c>
      <c r="G307" s="2" t="s">
        <v>142</v>
      </c>
      <c r="H307" s="2" t="s">
        <v>29</v>
      </c>
      <c r="I307" s="5">
        <v>2</v>
      </c>
      <c r="J307" s="5" t="str">
        <f>_xlfn.IFS(Table1[[#This Row],[Experience(Years)]]&lt;5, "Junior", I307&lt;=12, "Mid-Level", I307&lt;=20, "Senior", I307&lt;=30, "Super Senior", TRUE, "Expert")</f>
        <v>Junior</v>
      </c>
      <c r="K307" s="7">
        <v>75</v>
      </c>
      <c r="L307" s="7">
        <f>Table1[[#This Row],[Hourly Rate]]*1000</f>
        <v>75000</v>
      </c>
      <c r="M307" s="7" t="str">
        <f t="shared" si="4"/>
        <v>Standard</v>
      </c>
      <c r="N307" s="2">
        <f>IF(ISNUMBER(#REF!),#REF!, _xlfn.IFS( I307&gt;=30, 5, I307&gt;=25, 4.8, I307&gt;=15, 4, I307&gt;=10, 3.8, I307&gt;=5, 3, I307&gt;=2, 2.5, I307&gt;=0, 1.8, TRUE, 1.3))</f>
        <v>2.5</v>
      </c>
      <c r="O307" s="2" t="s">
        <v>2052</v>
      </c>
      <c r="P307" s="10">
        <v>0.67</v>
      </c>
      <c r="Q307" s="10" t="str">
        <f>_xlfn.IFS(Table1[[#This Row],[Rating]]&gt;=4, "Top Performer", Table1[[#This Row],[Rating]]&gt;=3, "Average", TRUE, "Needs Imporovement")</f>
        <v>Needs Imporovement</v>
      </c>
    </row>
    <row r="308" spans="1:17" x14ac:dyDescent="0.3">
      <c r="A308" s="2" t="s">
        <v>660</v>
      </c>
      <c r="B308" s="2" t="s">
        <v>661</v>
      </c>
      <c r="C308" s="2" t="s">
        <v>68</v>
      </c>
      <c r="D308" s="2">
        <v>27</v>
      </c>
      <c r="E308" s="2" t="str">
        <f>_xlfn.IFS(Table1[[#This Row],[Age]]&lt;30, "18-29", D308&lt;=45,"30-45", D308&lt;=55, "46-55", TRUE, "55+")</f>
        <v>18-29</v>
      </c>
      <c r="F308" s="2" t="s">
        <v>103</v>
      </c>
      <c r="G308" s="2" t="s">
        <v>104</v>
      </c>
      <c r="H308" s="2" t="s">
        <v>50</v>
      </c>
      <c r="I308" s="5">
        <v>2</v>
      </c>
      <c r="J308" s="5" t="str">
        <f>_xlfn.IFS(Table1[[#This Row],[Experience(Years)]]&lt;5, "Junior", I308&lt;=12, "Mid-Level", I308&lt;=20, "Senior", I308&lt;=30, "Super Senior", TRUE, "Expert")</f>
        <v>Junior</v>
      </c>
      <c r="K308" s="7">
        <v>50</v>
      </c>
      <c r="L308" s="7">
        <f>Table1[[#This Row],[Hourly Rate]]*1000</f>
        <v>50000</v>
      </c>
      <c r="M308" s="7" t="str">
        <f t="shared" si="4"/>
        <v>Standard</v>
      </c>
      <c r="N308" s="2">
        <f>IF(ISNUMBER(#REF!),#REF!, _xlfn.IFS( I308&gt;=30, 5, I308&gt;=25, 4.8, I308&gt;=15, 4, I308&gt;=10, 3.8, I308&gt;=5, 3, I308&gt;=2, 2.5, I308&gt;=0, 1.8, TRUE, 1.3))</f>
        <v>2.5</v>
      </c>
      <c r="O308" s="2" t="s">
        <v>2052</v>
      </c>
      <c r="P308" s="10">
        <v>0.84</v>
      </c>
      <c r="Q308" s="10" t="str">
        <f>_xlfn.IFS(Table1[[#This Row],[Rating]]&gt;=4, "Top Performer", Table1[[#This Row],[Rating]]&gt;=3, "Average", TRUE, "Needs Imporovement")</f>
        <v>Needs Imporovement</v>
      </c>
    </row>
    <row r="309" spans="1:17" x14ac:dyDescent="0.3">
      <c r="A309" s="2" t="s">
        <v>662</v>
      </c>
      <c r="B309" s="2" t="s">
        <v>663</v>
      </c>
      <c r="C309" s="2" t="s">
        <v>68</v>
      </c>
      <c r="D309" s="2">
        <v>34</v>
      </c>
      <c r="E309" s="2" t="str">
        <f>_xlfn.IFS(Table1[[#This Row],[Age]]&lt;30, "18-29", D309&lt;=45,"30-45", D309&lt;=55, "46-55", TRUE, "55+")</f>
        <v>30-45</v>
      </c>
      <c r="F309" s="2" t="s">
        <v>81</v>
      </c>
      <c r="G309" s="2" t="s">
        <v>82</v>
      </c>
      <c r="H309" s="2" t="s">
        <v>9</v>
      </c>
      <c r="I309" s="5">
        <v>1</v>
      </c>
      <c r="J309" s="5" t="str">
        <f>_xlfn.IFS(Table1[[#This Row],[Experience(Years)]]&lt;5, "Junior", I309&lt;=12, "Mid-Level", I309&lt;=20, "Senior", I309&lt;=30, "Super Senior", TRUE, "Expert")</f>
        <v>Junior</v>
      </c>
      <c r="K309" s="7">
        <v>30</v>
      </c>
      <c r="L309" s="7">
        <f>Table1[[#This Row],[Hourly Rate]]*1000</f>
        <v>30000</v>
      </c>
      <c r="M309" s="7" t="str">
        <f t="shared" si="4"/>
        <v>Budget</v>
      </c>
      <c r="N309" s="2">
        <f>IF(ISNUMBER(#REF!),#REF!, _xlfn.IFS( I309&gt;=30, 5, I309&gt;=25, 4.8, I309&gt;=15, 4, I309&gt;=10, 3.8, I309&gt;=5, 3, I309&gt;=2, 2.5, I309&gt;=0, 1.8, TRUE, 1.3))</f>
        <v>1.8</v>
      </c>
      <c r="O309" s="2" t="s">
        <v>2053</v>
      </c>
      <c r="P309" s="10">
        <v>0.87</v>
      </c>
      <c r="Q309" s="10" t="str">
        <f>_xlfn.IFS(Table1[[#This Row],[Rating]]&gt;=4, "Top Performer", Table1[[#This Row],[Rating]]&gt;=3, "Average", TRUE, "Needs Imporovement")</f>
        <v>Needs Imporovement</v>
      </c>
    </row>
    <row r="310" spans="1:17" x14ac:dyDescent="0.3">
      <c r="A310" s="2" t="s">
        <v>664</v>
      </c>
      <c r="B310" s="2" t="s">
        <v>665</v>
      </c>
      <c r="C310" s="2" t="s">
        <v>68</v>
      </c>
      <c r="D310" s="2">
        <v>55</v>
      </c>
      <c r="E310" s="2" t="str">
        <f>_xlfn.IFS(Table1[[#This Row],[Age]]&lt;30, "18-29", D310&lt;=45,"30-45", D310&lt;=55, "46-55", TRUE, "55+")</f>
        <v>46-55</v>
      </c>
      <c r="F310" s="2" t="s">
        <v>77</v>
      </c>
      <c r="G310" s="2" t="s">
        <v>78</v>
      </c>
      <c r="H310" s="2" t="s">
        <v>83</v>
      </c>
      <c r="I310" s="5">
        <v>14</v>
      </c>
      <c r="J310" s="5" t="str">
        <f>_xlfn.IFS(Table1[[#This Row],[Experience(Years)]]&lt;5, "Junior", I310&lt;=12, "Mid-Level", I310&lt;=20, "Senior", I310&lt;=30, "Super Senior", TRUE, "Expert")</f>
        <v>Senior</v>
      </c>
      <c r="K310" s="7">
        <v>30</v>
      </c>
      <c r="L310" s="7">
        <f>Table1[[#This Row],[Hourly Rate]]*1000</f>
        <v>30000</v>
      </c>
      <c r="M310" s="7" t="str">
        <f t="shared" si="4"/>
        <v>Budget</v>
      </c>
      <c r="N310" s="2">
        <f>IF(ISNUMBER(#REF!),#REF!, _xlfn.IFS( I310&gt;=30, 5, I310&gt;=25, 4.8, I310&gt;=15, 4, I310&gt;=10, 3.8, I310&gt;=5, 3, I310&gt;=2, 2.5, I310&gt;=0, 1.8, TRUE, 1.3))</f>
        <v>3.8</v>
      </c>
      <c r="O310" s="2" t="s">
        <v>2053</v>
      </c>
      <c r="P310" s="10">
        <v>0.91</v>
      </c>
      <c r="Q310" s="10" t="str">
        <f>_xlfn.IFS(Table1[[#This Row],[Rating]]&gt;=4, "Top Performer", Table1[[#This Row],[Rating]]&gt;=3, "Average", TRUE, "Needs Imporovement")</f>
        <v>Average</v>
      </c>
    </row>
    <row r="311" spans="1:17" x14ac:dyDescent="0.3">
      <c r="A311" s="2" t="s">
        <v>666</v>
      </c>
      <c r="B311" s="2" t="s">
        <v>667</v>
      </c>
      <c r="C311" s="2" t="s">
        <v>49</v>
      </c>
      <c r="D311" s="2">
        <v>44</v>
      </c>
      <c r="E311" s="2" t="str">
        <f>_xlfn.IFS(Table1[[#This Row],[Age]]&lt;30, "18-29", D311&lt;=45,"30-45", D311&lt;=55, "46-55", TRUE, "55+")</f>
        <v>30-45</v>
      </c>
      <c r="F311" s="2" t="s">
        <v>121</v>
      </c>
      <c r="G311" s="2" t="s">
        <v>122</v>
      </c>
      <c r="H311" s="2" t="s">
        <v>83</v>
      </c>
      <c r="I311" s="5">
        <v>14</v>
      </c>
      <c r="J311" s="5" t="str">
        <f>_xlfn.IFS(Table1[[#This Row],[Experience(Years)]]&lt;5, "Junior", I311&lt;=12, "Mid-Level", I311&lt;=20, "Senior", I311&lt;=30, "Super Senior", TRUE, "Expert")</f>
        <v>Senior</v>
      </c>
      <c r="K311" s="7">
        <v>75</v>
      </c>
      <c r="L311" s="7">
        <f>Table1[[#This Row],[Hourly Rate]]*1000</f>
        <v>75000</v>
      </c>
      <c r="M311" s="7" t="str">
        <f t="shared" si="4"/>
        <v>Standard</v>
      </c>
      <c r="N311" s="2">
        <f>IF(ISNUMBER(#REF!),#REF!, _xlfn.IFS( I311&gt;=30, 5, I311&gt;=25, 4.8, I311&gt;=15, 4, I311&gt;=10, 3.8, I311&gt;=5, 3, I311&gt;=2, 2.5, I311&gt;=0, 1.8, TRUE, 1.3))</f>
        <v>3.8</v>
      </c>
      <c r="O311" s="2" t="s">
        <v>2052</v>
      </c>
      <c r="P311" s="10">
        <v>0.78</v>
      </c>
      <c r="Q311" s="10" t="str">
        <f>_xlfn.IFS(Table1[[#This Row],[Rating]]&gt;=4, "Top Performer", Table1[[#This Row],[Rating]]&gt;=3, "Average", TRUE, "Needs Imporovement")</f>
        <v>Average</v>
      </c>
    </row>
    <row r="312" spans="1:17" x14ac:dyDescent="0.3">
      <c r="A312" s="2" t="s">
        <v>668</v>
      </c>
      <c r="B312" s="2" t="s">
        <v>669</v>
      </c>
      <c r="C312" s="2" t="s">
        <v>68</v>
      </c>
      <c r="D312" s="2">
        <v>31</v>
      </c>
      <c r="E312" s="2" t="str">
        <f>_xlfn.IFS(Table1[[#This Row],[Age]]&lt;30, "18-29", D312&lt;=45,"30-45", D312&lt;=55, "46-55", TRUE, "55+")</f>
        <v>30-45</v>
      </c>
      <c r="F312" s="2" t="s">
        <v>22</v>
      </c>
      <c r="G312" s="2" t="s">
        <v>23</v>
      </c>
      <c r="H312" s="2" t="s">
        <v>46</v>
      </c>
      <c r="I312" s="5">
        <v>2</v>
      </c>
      <c r="J312" s="5" t="str">
        <f>_xlfn.IFS(Table1[[#This Row],[Experience(Years)]]&lt;5, "Junior", I312&lt;=12, "Mid-Level", I312&lt;=20, "Senior", I312&lt;=30, "Super Senior", TRUE, "Expert")</f>
        <v>Junior</v>
      </c>
      <c r="K312" s="7">
        <v>50</v>
      </c>
      <c r="L312" s="7">
        <f>Table1[[#This Row],[Hourly Rate]]*1000</f>
        <v>50000</v>
      </c>
      <c r="M312" s="7" t="str">
        <f t="shared" si="4"/>
        <v>Standard</v>
      </c>
      <c r="N312" s="2">
        <f>IF(ISNUMBER(#REF!),#REF!, _xlfn.IFS( I312&gt;=30, 5, I312&gt;=25, 4.8, I312&gt;=15, 4, I312&gt;=10, 3.8, I312&gt;=5, 3, I312&gt;=2, 2.5, I312&gt;=0, 1.8, TRUE, 1.3))</f>
        <v>2.5</v>
      </c>
      <c r="O312" s="2" t="s">
        <v>2052</v>
      </c>
      <c r="P312" s="10">
        <v>0.35</v>
      </c>
      <c r="Q312" s="10" t="str">
        <f>_xlfn.IFS(Table1[[#This Row],[Rating]]&gt;=4, "Top Performer", Table1[[#This Row],[Rating]]&gt;=3, "Average", TRUE, "Needs Imporovement")</f>
        <v>Needs Imporovement</v>
      </c>
    </row>
    <row r="313" spans="1:17" x14ac:dyDescent="0.3">
      <c r="A313" s="2" t="s">
        <v>670</v>
      </c>
      <c r="B313" s="2" t="s">
        <v>671</v>
      </c>
      <c r="C313" s="2" t="s">
        <v>68</v>
      </c>
      <c r="D313" s="2">
        <v>34</v>
      </c>
      <c r="E313" s="2" t="str">
        <f>_xlfn.IFS(Table1[[#This Row],[Age]]&lt;30, "18-29", D313&lt;=45,"30-45", D313&lt;=55, "46-55", TRUE, "55+")</f>
        <v>30-45</v>
      </c>
      <c r="F313" s="2" t="s">
        <v>7</v>
      </c>
      <c r="G313" s="2" t="s">
        <v>8</v>
      </c>
      <c r="H313" s="2" t="s">
        <v>61</v>
      </c>
      <c r="I313" s="5">
        <v>1</v>
      </c>
      <c r="J313" s="5" t="str">
        <f>_xlfn.IFS(Table1[[#This Row],[Experience(Years)]]&lt;5, "Junior", I313&lt;=12, "Mid-Level", I313&lt;=20, "Senior", I313&lt;=30, "Super Senior", TRUE, "Expert")</f>
        <v>Junior</v>
      </c>
      <c r="K313" s="7">
        <v>40</v>
      </c>
      <c r="L313" s="7">
        <f>Table1[[#This Row],[Hourly Rate]]*1000</f>
        <v>40000</v>
      </c>
      <c r="M313" s="7" t="str">
        <f t="shared" si="4"/>
        <v>Standard</v>
      </c>
      <c r="N313" s="2">
        <f>IF(ISNUMBER(#REF!),#REF!, _xlfn.IFS( I313&gt;=30, 5, I313&gt;=25, 4.8, I313&gt;=15, 4, I313&gt;=10, 3.8, I313&gt;=5, 3, I313&gt;=2, 2.5, I313&gt;=0, 1.8, TRUE, 1.3))</f>
        <v>1.8</v>
      </c>
      <c r="O313" s="2" t="str">
        <f>IF(AND( Table1[[#This Row],[Rating]]&gt;=3.5, Table1[[#This Row],[Experience(Years)]]&gt;=15), "Active", "Inactive")</f>
        <v>Inactive</v>
      </c>
      <c r="P313" s="10">
        <v>0.74</v>
      </c>
      <c r="Q313" s="10" t="str">
        <f>_xlfn.IFS(Table1[[#This Row],[Rating]]&gt;=4, "Top Performer", Table1[[#This Row],[Rating]]&gt;=3, "Average", TRUE, "Needs Imporovement")</f>
        <v>Needs Imporovement</v>
      </c>
    </row>
    <row r="314" spans="1:17" x14ac:dyDescent="0.3">
      <c r="A314" s="2" t="s">
        <v>672</v>
      </c>
      <c r="B314" s="2" t="s">
        <v>673</v>
      </c>
      <c r="C314" s="2" t="s">
        <v>49</v>
      </c>
      <c r="D314" s="2">
        <v>47</v>
      </c>
      <c r="E314" s="2" t="str">
        <f>_xlfn.IFS(Table1[[#This Row],[Age]]&lt;30, "18-29", D314&lt;=45,"30-45", D314&lt;=55, "46-55", TRUE, "55+")</f>
        <v>46-55</v>
      </c>
      <c r="F314" s="2" t="s">
        <v>77</v>
      </c>
      <c r="G314" s="2" t="s">
        <v>78</v>
      </c>
      <c r="H314" s="2" t="s">
        <v>61</v>
      </c>
      <c r="I314" s="5">
        <v>13</v>
      </c>
      <c r="J314" s="5" t="str">
        <f>_xlfn.IFS(Table1[[#This Row],[Experience(Years)]]&lt;5, "Junior", I314&lt;=12, "Mid-Level", I314&lt;=20, "Senior", I314&lt;=30, "Super Senior", TRUE, "Expert")</f>
        <v>Senior</v>
      </c>
      <c r="K314" s="7">
        <v>20</v>
      </c>
      <c r="L314" s="7">
        <f>Table1[[#This Row],[Hourly Rate]]*1000</f>
        <v>20000</v>
      </c>
      <c r="M314" s="7" t="str">
        <f t="shared" si="4"/>
        <v>Budget</v>
      </c>
      <c r="N314" s="2">
        <f>IF(ISNUMBER(#REF!),#REF!, _xlfn.IFS( I314&gt;=30, 5, I314&gt;=25, 4.8, I314&gt;=15, 4, I314&gt;=10, 3.8, I314&gt;=5, 3, I314&gt;=2, 2.5, I314&gt;=0, 1.8, TRUE, 1.3))</f>
        <v>3.8</v>
      </c>
      <c r="O314" s="2" t="str">
        <f>IF(AND( Table1[[#This Row],[Rating]]&gt;=3.5, Table1[[#This Row],[Experience(Years)]]&gt;=15), "Active", "Inactive")</f>
        <v>Inactive</v>
      </c>
      <c r="P314" s="10">
        <v>0.91</v>
      </c>
      <c r="Q314" s="10" t="str">
        <f>_xlfn.IFS(Table1[[#This Row],[Rating]]&gt;=4, "Top Performer", Table1[[#This Row],[Rating]]&gt;=3, "Average", TRUE, "Needs Imporovement")</f>
        <v>Average</v>
      </c>
    </row>
    <row r="315" spans="1:17" x14ac:dyDescent="0.3">
      <c r="A315" s="2" t="s">
        <v>674</v>
      </c>
      <c r="B315" s="2" t="s">
        <v>675</v>
      </c>
      <c r="C315" s="2" t="s">
        <v>68</v>
      </c>
      <c r="D315" s="2">
        <v>50</v>
      </c>
      <c r="E315" s="2" t="str">
        <f>_xlfn.IFS(Table1[[#This Row],[Age]]&lt;30, "18-29", D315&lt;=45,"30-45", D315&lt;=55, "46-55", TRUE, "55+")</f>
        <v>46-55</v>
      </c>
      <c r="F315" s="2" t="s">
        <v>34</v>
      </c>
      <c r="G315" s="2" t="s">
        <v>8</v>
      </c>
      <c r="H315" s="2" t="s">
        <v>14</v>
      </c>
      <c r="I315" s="5">
        <v>23</v>
      </c>
      <c r="J315" s="5" t="str">
        <f>_xlfn.IFS(Table1[[#This Row],[Experience(Years)]]&lt;5, "Junior", I315&lt;=12, "Mid-Level", I315&lt;=20, "Senior", I315&lt;=30, "Super Senior", TRUE, "Expert")</f>
        <v>Super Senior</v>
      </c>
      <c r="K315" s="7">
        <v>40</v>
      </c>
      <c r="L315" s="7">
        <f>Table1[[#This Row],[Hourly Rate]]*1000</f>
        <v>40000</v>
      </c>
      <c r="M315" s="7" t="str">
        <f t="shared" si="4"/>
        <v>Standard</v>
      </c>
      <c r="N315" s="2">
        <f>IF(ISNUMBER(#REF!),#REF!, _xlfn.IFS( I315&gt;=30, 5, I315&gt;=25, 4.8, I315&gt;=15, 4, I315&gt;=10, 3.8, I315&gt;=5, 3, I315&gt;=2, 2.5, I315&gt;=0, 1.8, TRUE, 1.3))</f>
        <v>4</v>
      </c>
      <c r="O315" s="2" t="s">
        <v>2053</v>
      </c>
      <c r="P315" s="10">
        <v>0.71</v>
      </c>
      <c r="Q315" s="10" t="str">
        <f>_xlfn.IFS(Table1[[#This Row],[Rating]]&gt;=4, "Top Performer", Table1[[#This Row],[Rating]]&gt;=3, "Average", TRUE, "Needs Imporovement")</f>
        <v>Top Performer</v>
      </c>
    </row>
    <row r="316" spans="1:17" x14ac:dyDescent="0.3">
      <c r="A316" s="2" t="s">
        <v>676</v>
      </c>
      <c r="B316" s="2" t="s">
        <v>677</v>
      </c>
      <c r="C316" s="2" t="s">
        <v>68</v>
      </c>
      <c r="D316" s="2">
        <v>39</v>
      </c>
      <c r="E316" s="2" t="str">
        <f>_xlfn.IFS(Table1[[#This Row],[Age]]&lt;30, "18-29", D316&lt;=45,"30-45", D316&lt;=55, "46-55", TRUE, "55+")</f>
        <v>30-45</v>
      </c>
      <c r="F316" s="2" t="s">
        <v>12</v>
      </c>
      <c r="G316" s="2" t="s">
        <v>13</v>
      </c>
      <c r="H316" s="2" t="s">
        <v>50</v>
      </c>
      <c r="I316" s="5">
        <v>10</v>
      </c>
      <c r="J316" s="5" t="str">
        <f>_xlfn.IFS(Table1[[#This Row],[Experience(Years)]]&lt;5, "Junior", I316&lt;=12, "Mid-Level", I316&lt;=20, "Senior", I316&lt;=30, "Super Senior", TRUE, "Expert")</f>
        <v>Mid-Level</v>
      </c>
      <c r="K316" s="7">
        <v>75</v>
      </c>
      <c r="L316" s="7">
        <f>Table1[[#This Row],[Hourly Rate]]*1000</f>
        <v>75000</v>
      </c>
      <c r="M316" s="7" t="str">
        <f t="shared" si="4"/>
        <v>Standard</v>
      </c>
      <c r="N316" s="2">
        <f>IF(ISNUMBER(#REF!),#REF!, _xlfn.IFS( I316&gt;=30, 5, I316&gt;=25, 4.8, I316&gt;=15, 4, I316&gt;=10, 3.8, I316&gt;=5, 3, I316&gt;=2, 2.5, I316&gt;=0, 1.8, TRUE, 1.3))</f>
        <v>3.8</v>
      </c>
      <c r="O316" s="2" t="s">
        <v>2053</v>
      </c>
      <c r="P316" s="10">
        <v>0.87</v>
      </c>
      <c r="Q316" s="10" t="str">
        <f>_xlfn.IFS(Table1[[#This Row],[Rating]]&gt;=4, "Top Performer", Table1[[#This Row],[Rating]]&gt;=3, "Average", TRUE, "Needs Imporovement")</f>
        <v>Average</v>
      </c>
    </row>
    <row r="317" spans="1:17" x14ac:dyDescent="0.3">
      <c r="A317" s="2" t="s">
        <v>678</v>
      </c>
      <c r="B317" s="2" t="s">
        <v>679</v>
      </c>
      <c r="C317" s="2" t="s">
        <v>49</v>
      </c>
      <c r="D317" s="2">
        <v>26</v>
      </c>
      <c r="E317" s="2" t="str">
        <f>_xlfn.IFS(Table1[[#This Row],[Age]]&lt;30, "18-29", D317&lt;=45,"30-45", D317&lt;=55, "46-55", TRUE, "55+")</f>
        <v>18-29</v>
      </c>
      <c r="F317" s="2" t="s">
        <v>44</v>
      </c>
      <c r="G317" s="2" t="s">
        <v>45</v>
      </c>
      <c r="H317" s="2" t="s">
        <v>4</v>
      </c>
      <c r="I317" s="5">
        <v>3</v>
      </c>
      <c r="J317" s="5" t="str">
        <f>_xlfn.IFS(Table1[[#This Row],[Experience(Years)]]&lt;5, "Junior", I317&lt;=12, "Mid-Level", I317&lt;=20, "Senior", I317&lt;=30, "Super Senior", TRUE, "Expert")</f>
        <v>Junior</v>
      </c>
      <c r="K317" s="7">
        <v>100</v>
      </c>
      <c r="L317" s="7">
        <f>Table1[[#This Row],[Hourly Rate]]*1000</f>
        <v>100000</v>
      </c>
      <c r="M317" s="7" t="str">
        <f t="shared" si="4"/>
        <v>Premium</v>
      </c>
      <c r="N317" s="2">
        <f>IF(ISNUMBER(#REF!),#REF!, _xlfn.IFS( I317&gt;=30, 5, I317&gt;=25, 4.8, I317&gt;=15, 4, I317&gt;=10, 3.8, I317&gt;=5, 3, I317&gt;=2, 2.5, I317&gt;=0, 1.8, TRUE, 1.3))</f>
        <v>2.5</v>
      </c>
      <c r="O317" s="2" t="s">
        <v>2053</v>
      </c>
      <c r="P317" s="10">
        <v>0.61</v>
      </c>
      <c r="Q317" s="10" t="str">
        <f>_xlfn.IFS(Table1[[#This Row],[Rating]]&gt;=4, "Top Performer", Table1[[#This Row],[Rating]]&gt;=3, "Average", TRUE, "Needs Imporovement")</f>
        <v>Needs Imporovement</v>
      </c>
    </row>
    <row r="318" spans="1:17" x14ac:dyDescent="0.3">
      <c r="A318" s="2" t="s">
        <v>680</v>
      </c>
      <c r="B318" s="2" t="s">
        <v>681</v>
      </c>
      <c r="C318" s="2" t="s">
        <v>68</v>
      </c>
      <c r="D318" s="2">
        <v>23</v>
      </c>
      <c r="E318" s="2" t="str">
        <f>_xlfn.IFS(Table1[[#This Row],[Age]]&lt;30, "18-29", D318&lt;=45,"30-45", D318&lt;=55, "46-55", TRUE, "55+")</f>
        <v>18-29</v>
      </c>
      <c r="F318" s="2" t="s">
        <v>22</v>
      </c>
      <c r="G318" s="2" t="s">
        <v>23</v>
      </c>
      <c r="H318" s="2" t="s">
        <v>61</v>
      </c>
      <c r="I318" s="5">
        <v>0</v>
      </c>
      <c r="J318" s="5" t="str">
        <f>_xlfn.IFS(Table1[[#This Row],[Experience(Years)]]&lt;5, "Junior", I318&lt;=12, "Mid-Level", I318&lt;=20, "Senior", I318&lt;=30, "Super Senior", TRUE, "Expert")</f>
        <v>Junior</v>
      </c>
      <c r="K318" s="7">
        <v>100</v>
      </c>
      <c r="L318" s="7">
        <f>Table1[[#This Row],[Hourly Rate]]*1000</f>
        <v>100000</v>
      </c>
      <c r="M318" s="7" t="str">
        <f t="shared" si="4"/>
        <v>Premium</v>
      </c>
      <c r="N318" s="2">
        <f>IF(ISNUMBER(#REF!),#REF!, _xlfn.IFS( I318&gt;=30, 5, I318&gt;=25, 4.8, I318&gt;=15, 4, I318&gt;=10, 3.8, I318&gt;=5, 3, I318&gt;=2, 2.5, I318&gt;=0, 1.8, TRUE, 1.3))</f>
        <v>1.8</v>
      </c>
      <c r="O318" s="2" t="s">
        <v>2052</v>
      </c>
      <c r="P318" s="10">
        <v>0.3</v>
      </c>
      <c r="Q318" s="10" t="str">
        <f>_xlfn.IFS(Table1[[#This Row],[Rating]]&gt;=4, "Top Performer", Table1[[#This Row],[Rating]]&gt;=3, "Average", TRUE, "Needs Imporovement")</f>
        <v>Needs Imporovement</v>
      </c>
    </row>
    <row r="319" spans="1:17" x14ac:dyDescent="0.3">
      <c r="A319" s="2" t="s">
        <v>682</v>
      </c>
      <c r="B319" s="2" t="s">
        <v>683</v>
      </c>
      <c r="C319" s="2" t="s">
        <v>68</v>
      </c>
      <c r="D319" s="2">
        <v>32</v>
      </c>
      <c r="E319" s="2" t="str">
        <f>_xlfn.IFS(Table1[[#This Row],[Age]]&lt;30, "18-29", D319&lt;=45,"30-45", D319&lt;=55, "46-55", TRUE, "55+")</f>
        <v>30-45</v>
      </c>
      <c r="F319" s="2" t="s">
        <v>12</v>
      </c>
      <c r="G319" s="2" t="s">
        <v>13</v>
      </c>
      <c r="H319" s="2" t="s">
        <v>14</v>
      </c>
      <c r="I319" s="5">
        <v>0</v>
      </c>
      <c r="J319" s="5" t="str">
        <f>_xlfn.IFS(Table1[[#This Row],[Experience(Years)]]&lt;5, "Junior", I319&lt;=12, "Mid-Level", I319&lt;=20, "Senior", I319&lt;=30, "Super Senior", TRUE, "Expert")</f>
        <v>Junior</v>
      </c>
      <c r="K319" s="7">
        <v>100</v>
      </c>
      <c r="L319" s="7">
        <f>Table1[[#This Row],[Hourly Rate]]*1000</f>
        <v>100000</v>
      </c>
      <c r="M319" s="7" t="str">
        <f t="shared" si="4"/>
        <v>Premium</v>
      </c>
      <c r="N319" s="2">
        <f>IF(ISNUMBER(#REF!),#REF!, _xlfn.IFS( I319&gt;=30, 5, I319&gt;=25, 4.8, I319&gt;=15, 4, I319&gt;=10, 3.8, I319&gt;=5, 3, I319&gt;=2, 2.5, I319&gt;=0, 1.8, TRUE, 1.3))</f>
        <v>1.8</v>
      </c>
      <c r="O319" s="2" t="s">
        <v>2053</v>
      </c>
      <c r="P319" s="10">
        <v>0.81</v>
      </c>
      <c r="Q319" s="10" t="str">
        <f>_xlfn.IFS(Table1[[#This Row],[Rating]]&gt;=4, "Top Performer", Table1[[#This Row],[Rating]]&gt;=3, "Average", TRUE, "Needs Imporovement")</f>
        <v>Needs Imporovement</v>
      </c>
    </row>
    <row r="320" spans="1:17" x14ac:dyDescent="0.3">
      <c r="A320" s="2" t="s">
        <v>684</v>
      </c>
      <c r="B320" s="2" t="s">
        <v>685</v>
      </c>
      <c r="C320" s="2" t="s">
        <v>49</v>
      </c>
      <c r="D320" s="2">
        <v>55</v>
      </c>
      <c r="E320" s="2" t="str">
        <f>_xlfn.IFS(Table1[[#This Row],[Age]]&lt;30, "18-29", D320&lt;=45,"30-45", D320&lt;=55, "46-55", TRUE, "55+")</f>
        <v>46-55</v>
      </c>
      <c r="F320" s="2" t="s">
        <v>92</v>
      </c>
      <c r="G320" s="2" t="s">
        <v>93</v>
      </c>
      <c r="H320" s="2" t="s">
        <v>29</v>
      </c>
      <c r="I320" s="5">
        <v>17</v>
      </c>
      <c r="J320" s="5" t="str">
        <f>_xlfn.IFS(Table1[[#This Row],[Experience(Years)]]&lt;5, "Junior", I320&lt;=12, "Mid-Level", I320&lt;=20, "Senior", I320&lt;=30, "Super Senior", TRUE, "Expert")</f>
        <v>Senior</v>
      </c>
      <c r="K320" s="7">
        <v>30</v>
      </c>
      <c r="L320" s="7">
        <f>Table1[[#This Row],[Hourly Rate]]*1000</f>
        <v>30000</v>
      </c>
      <c r="M320" s="7" t="str">
        <f t="shared" si="4"/>
        <v>Budget</v>
      </c>
      <c r="N320" s="2">
        <f>IF(ISNUMBER(#REF!),#REF!, _xlfn.IFS( I320&gt;=30, 5, I320&gt;=25, 4.8, I320&gt;=15, 4, I320&gt;=10, 3.8, I320&gt;=5, 3, I320&gt;=2, 2.5, I320&gt;=0, 1.8, TRUE, 1.3))</f>
        <v>4</v>
      </c>
      <c r="O320" s="2" t="str">
        <f>IF(AND( Table1[[#This Row],[Rating]]&gt;=3.5, Table1[[#This Row],[Experience(Years)]]&gt;=15), "Active", "Inactive")</f>
        <v>Active</v>
      </c>
      <c r="P320" s="10">
        <v>0.85</v>
      </c>
      <c r="Q320" s="10" t="str">
        <f>_xlfn.IFS(Table1[[#This Row],[Rating]]&gt;=4, "Top Performer", Table1[[#This Row],[Rating]]&gt;=3, "Average", TRUE, "Needs Imporovement")</f>
        <v>Top Performer</v>
      </c>
    </row>
    <row r="321" spans="1:17" x14ac:dyDescent="0.3">
      <c r="A321" s="2" t="s">
        <v>686</v>
      </c>
      <c r="B321" s="2" t="s">
        <v>687</v>
      </c>
      <c r="C321" s="2" t="s">
        <v>68</v>
      </c>
      <c r="D321" s="2">
        <v>32</v>
      </c>
      <c r="E321" s="2" t="str">
        <f>_xlfn.IFS(Table1[[#This Row],[Age]]&lt;30, "18-29", D321&lt;=45,"30-45", D321&lt;=55, "46-55", TRUE, "55+")</f>
        <v>30-45</v>
      </c>
      <c r="F321" s="2" t="s">
        <v>44</v>
      </c>
      <c r="G321" s="2" t="s">
        <v>45</v>
      </c>
      <c r="H321" s="2" t="s">
        <v>83</v>
      </c>
      <c r="I321" s="5">
        <v>9</v>
      </c>
      <c r="J321" s="5" t="str">
        <f>_xlfn.IFS(Table1[[#This Row],[Experience(Years)]]&lt;5, "Junior", I321&lt;=12, "Mid-Level", I321&lt;=20, "Senior", I321&lt;=30, "Super Senior", TRUE, "Expert")</f>
        <v>Mid-Level</v>
      </c>
      <c r="K321" s="7">
        <v>40</v>
      </c>
      <c r="L321" s="7">
        <f>Table1[[#This Row],[Hourly Rate]]*1000</f>
        <v>40000</v>
      </c>
      <c r="M321" s="7" t="str">
        <f t="shared" si="4"/>
        <v>Standard</v>
      </c>
      <c r="N321" s="2">
        <f>IF(ISNUMBER(#REF!),#REF!, _xlfn.IFS( I321&gt;=30, 5, I321&gt;=25, 4.8, I321&gt;=15, 4, I321&gt;=10, 3.8, I321&gt;=5, 3, I321&gt;=2, 2.5, I321&gt;=0, 1.8, TRUE, 1.3))</f>
        <v>3</v>
      </c>
      <c r="O321" s="2" t="s">
        <v>2053</v>
      </c>
      <c r="P321" s="10">
        <v>0.84</v>
      </c>
      <c r="Q321" s="10" t="str">
        <f>_xlfn.IFS(Table1[[#This Row],[Rating]]&gt;=4, "Top Performer", Table1[[#This Row],[Rating]]&gt;=3, "Average", TRUE, "Needs Imporovement")</f>
        <v>Average</v>
      </c>
    </row>
    <row r="322" spans="1:17" x14ac:dyDescent="0.3">
      <c r="A322" s="2" t="s">
        <v>688</v>
      </c>
      <c r="B322" s="2" t="s">
        <v>689</v>
      </c>
      <c r="C322" s="2" t="s">
        <v>68</v>
      </c>
      <c r="D322" s="2">
        <v>30</v>
      </c>
      <c r="E322" s="2" t="str">
        <f>_xlfn.IFS(Table1[[#This Row],[Age]]&lt;30, "18-29", D322&lt;=45,"30-45", D322&lt;=55, "46-55", TRUE, "55+")</f>
        <v>30-45</v>
      </c>
      <c r="F322" s="2" t="s">
        <v>81</v>
      </c>
      <c r="G322" s="2" t="s">
        <v>82</v>
      </c>
      <c r="H322" s="2" t="s">
        <v>4</v>
      </c>
      <c r="I322" s="5">
        <v>4</v>
      </c>
      <c r="J322" s="5" t="str">
        <f>_xlfn.IFS(Table1[[#This Row],[Experience(Years)]]&lt;5, "Junior", I322&lt;=12, "Mid-Level", I322&lt;=20, "Senior", I322&lt;=30, "Super Senior", TRUE, "Expert")</f>
        <v>Junior</v>
      </c>
      <c r="K322" s="7">
        <v>20</v>
      </c>
      <c r="L322" s="7">
        <f>Table1[[#This Row],[Hourly Rate]]*1000</f>
        <v>20000</v>
      </c>
      <c r="M322" s="7" t="str">
        <f t="shared" ref="M322:M385" si="5">_xlfn.IFS(K322&lt;40, "Budget", K322&lt;=80, "Standard", TRUE, "Premium")</f>
        <v>Budget</v>
      </c>
      <c r="N322" s="2">
        <f>IF(ISNUMBER(#REF!),#REF!, _xlfn.IFS( I322&gt;=30, 5, I322&gt;=25, 4.8, I322&gt;=15, 4, I322&gt;=10, 3.8, I322&gt;=5, 3, I322&gt;=2, 2.5, I322&gt;=0, 1.8, TRUE, 1.3))</f>
        <v>2.5</v>
      </c>
      <c r="O322" s="2" t="s">
        <v>2052</v>
      </c>
      <c r="P322" s="10">
        <v>0.35</v>
      </c>
      <c r="Q322" s="10" t="str">
        <f>_xlfn.IFS(Table1[[#This Row],[Rating]]&gt;=4, "Top Performer", Table1[[#This Row],[Rating]]&gt;=3, "Average", TRUE, "Needs Imporovement")</f>
        <v>Needs Imporovement</v>
      </c>
    </row>
    <row r="323" spans="1:17" x14ac:dyDescent="0.3">
      <c r="A323" s="2" t="s">
        <v>690</v>
      </c>
      <c r="B323" s="2" t="s">
        <v>691</v>
      </c>
      <c r="C323" s="2" t="s">
        <v>49</v>
      </c>
      <c r="D323" s="2">
        <v>37</v>
      </c>
      <c r="E323" s="2" t="str">
        <f>_xlfn.IFS(Table1[[#This Row],[Age]]&lt;30, "18-29", D323&lt;=45,"30-45", D323&lt;=55, "46-55", TRUE, "55+")</f>
        <v>30-45</v>
      </c>
      <c r="F323" s="2" t="s">
        <v>96</v>
      </c>
      <c r="G323" s="2" t="s">
        <v>8</v>
      </c>
      <c r="H323" s="2" t="s">
        <v>50</v>
      </c>
      <c r="I323" s="5">
        <v>0</v>
      </c>
      <c r="J323" s="5" t="str">
        <f>_xlfn.IFS(Table1[[#This Row],[Experience(Years)]]&lt;5, "Junior", I323&lt;=12, "Mid-Level", I323&lt;=20, "Senior", I323&lt;=30, "Super Senior", TRUE, "Expert")</f>
        <v>Junior</v>
      </c>
      <c r="K323" s="7">
        <v>40</v>
      </c>
      <c r="L323" s="7">
        <f>Table1[[#This Row],[Hourly Rate]]*1000</f>
        <v>40000</v>
      </c>
      <c r="M323" s="7" t="str">
        <f t="shared" si="5"/>
        <v>Standard</v>
      </c>
      <c r="N323" s="2">
        <f>IF(ISNUMBER(#REF!),#REF!, _xlfn.IFS( I323&gt;=30, 5, I323&gt;=25, 4.8, I323&gt;=15, 4, I323&gt;=10, 3.8, I323&gt;=5, 3, I323&gt;=2, 2.5, I323&gt;=0, 1.8, TRUE, 1.3))</f>
        <v>1.8</v>
      </c>
      <c r="O323" s="2" t="s">
        <v>2053</v>
      </c>
      <c r="P323" s="10">
        <v>0.3</v>
      </c>
      <c r="Q323" s="10" t="str">
        <f>_xlfn.IFS(Table1[[#This Row],[Rating]]&gt;=4, "Top Performer", Table1[[#This Row],[Rating]]&gt;=3, "Average", TRUE, "Needs Imporovement")</f>
        <v>Needs Imporovement</v>
      </c>
    </row>
    <row r="324" spans="1:17" x14ac:dyDescent="0.3">
      <c r="A324" s="2" t="s">
        <v>692</v>
      </c>
      <c r="B324" s="2" t="s">
        <v>693</v>
      </c>
      <c r="C324" s="2" t="s">
        <v>68</v>
      </c>
      <c r="D324" s="2">
        <v>52</v>
      </c>
      <c r="E324" s="2" t="str">
        <f>_xlfn.IFS(Table1[[#This Row],[Age]]&lt;30, "18-29", D324&lt;=45,"30-45", D324&lt;=55, "46-55", TRUE, "55+")</f>
        <v>46-55</v>
      </c>
      <c r="F324" s="2" t="s">
        <v>77</v>
      </c>
      <c r="G324" s="2" t="s">
        <v>78</v>
      </c>
      <c r="H324" s="2" t="s">
        <v>14</v>
      </c>
      <c r="I324" s="5">
        <v>33</v>
      </c>
      <c r="J324" s="5" t="str">
        <f>_xlfn.IFS(Table1[[#This Row],[Experience(Years)]]&lt;5, "Junior", I324&lt;=12, "Mid-Level", I324&lt;=20, "Senior", I324&lt;=30, "Super Senior", TRUE, "Expert")</f>
        <v>Expert</v>
      </c>
      <c r="K324" s="7">
        <v>80</v>
      </c>
      <c r="L324" s="7">
        <f>Table1[[#This Row],[Hourly Rate]]*1000</f>
        <v>80000</v>
      </c>
      <c r="M324" s="7" t="str">
        <f t="shared" si="5"/>
        <v>Standard</v>
      </c>
      <c r="N324" s="2">
        <f>IF(ISNUMBER(#REF!),#REF!, _xlfn.IFS( I324&gt;=30, 5, I324&gt;=25, 4.8, I324&gt;=15, 4, I324&gt;=10, 3.8, I324&gt;=5, 3, I324&gt;=2, 2.5, I324&gt;=0, 1.8, TRUE, 1.3))</f>
        <v>5</v>
      </c>
      <c r="O324" s="2" t="s">
        <v>2053</v>
      </c>
      <c r="P324" s="10">
        <v>0.6</v>
      </c>
      <c r="Q324" s="10" t="str">
        <f>_xlfn.IFS(Table1[[#This Row],[Rating]]&gt;=4, "Top Performer", Table1[[#This Row],[Rating]]&gt;=3, "Average", TRUE, "Needs Imporovement")</f>
        <v>Top Performer</v>
      </c>
    </row>
    <row r="325" spans="1:17" x14ac:dyDescent="0.3">
      <c r="A325" s="2" t="s">
        <v>694</v>
      </c>
      <c r="B325" s="2" t="s">
        <v>695</v>
      </c>
      <c r="C325" s="2" t="s">
        <v>68</v>
      </c>
      <c r="D325" s="2">
        <v>48</v>
      </c>
      <c r="E325" s="2" t="str">
        <f>_xlfn.IFS(Table1[[#This Row],[Age]]&lt;30, "18-29", D325&lt;=45,"30-45", D325&lt;=55, "46-55", TRUE, "55+")</f>
        <v>46-55</v>
      </c>
      <c r="F325" s="2" t="s">
        <v>64</v>
      </c>
      <c r="G325" s="2" t="s">
        <v>65</v>
      </c>
      <c r="H325" s="2" t="s">
        <v>50</v>
      </c>
      <c r="I325" s="5">
        <v>18</v>
      </c>
      <c r="J325" s="5" t="str">
        <f>_xlfn.IFS(Table1[[#This Row],[Experience(Years)]]&lt;5, "Junior", I325&lt;=12, "Mid-Level", I325&lt;=20, "Senior", I325&lt;=30, "Super Senior", TRUE, "Expert")</f>
        <v>Senior</v>
      </c>
      <c r="K325" s="7">
        <v>50</v>
      </c>
      <c r="L325" s="7">
        <f>Table1[[#This Row],[Hourly Rate]]*1000</f>
        <v>50000</v>
      </c>
      <c r="M325" s="7" t="str">
        <f t="shared" si="5"/>
        <v>Standard</v>
      </c>
      <c r="N325" s="2">
        <f>IF(ISNUMBER(#REF!),#REF!, _xlfn.IFS( I325&gt;=30, 5, I325&gt;=25, 4.8, I325&gt;=15, 4, I325&gt;=10, 3.8, I325&gt;=5, 3, I325&gt;=2, 2.5, I325&gt;=0, 1.8, TRUE, 1.3))</f>
        <v>4</v>
      </c>
      <c r="O325" s="2" t="s">
        <v>2053</v>
      </c>
      <c r="P325" s="10">
        <v>0.64</v>
      </c>
      <c r="Q325" s="10" t="str">
        <f>_xlfn.IFS(Table1[[#This Row],[Rating]]&gt;=4, "Top Performer", Table1[[#This Row],[Rating]]&gt;=3, "Average", TRUE, "Needs Imporovement")</f>
        <v>Top Performer</v>
      </c>
    </row>
    <row r="326" spans="1:17" x14ac:dyDescent="0.3">
      <c r="A326" s="2" t="s">
        <v>696</v>
      </c>
      <c r="B326" s="2" t="s">
        <v>697</v>
      </c>
      <c r="C326" s="2" t="s">
        <v>49</v>
      </c>
      <c r="D326" s="2">
        <v>28</v>
      </c>
      <c r="E326" s="2" t="str">
        <f>_xlfn.IFS(Table1[[#This Row],[Age]]&lt;30, "18-29", D326&lt;=45,"30-45", D326&lt;=55, "46-55", TRUE, "55+")</f>
        <v>18-29</v>
      </c>
      <c r="F326" s="2" t="s">
        <v>57</v>
      </c>
      <c r="G326" s="2" t="s">
        <v>58</v>
      </c>
      <c r="H326" s="2" t="s">
        <v>9</v>
      </c>
      <c r="I326" s="5">
        <v>9</v>
      </c>
      <c r="J326" s="5" t="str">
        <f>_xlfn.IFS(Table1[[#This Row],[Experience(Years)]]&lt;5, "Junior", I326&lt;=12, "Mid-Level", I326&lt;=20, "Senior", I326&lt;=30, "Super Senior", TRUE, "Expert")</f>
        <v>Mid-Level</v>
      </c>
      <c r="K326" s="7">
        <v>40</v>
      </c>
      <c r="L326" s="7">
        <f>Table1[[#This Row],[Hourly Rate]]*1000</f>
        <v>40000</v>
      </c>
      <c r="M326" s="7" t="str">
        <f t="shared" si="5"/>
        <v>Standard</v>
      </c>
      <c r="N326" s="2">
        <f>IF(ISNUMBER(#REF!),#REF!, _xlfn.IFS( I326&gt;=30, 5, I326&gt;=25, 4.8, I326&gt;=15, 4, I326&gt;=10, 3.8, I326&gt;=5, 3, I326&gt;=2, 2.5, I326&gt;=0, 1.8, TRUE, 1.3))</f>
        <v>3</v>
      </c>
      <c r="O326" s="2" t="s">
        <v>2053</v>
      </c>
      <c r="P326" s="10">
        <v>0.64</v>
      </c>
      <c r="Q326" s="10" t="str">
        <f>_xlfn.IFS(Table1[[#This Row],[Rating]]&gt;=4, "Top Performer", Table1[[#This Row],[Rating]]&gt;=3, "Average", TRUE, "Needs Imporovement")</f>
        <v>Average</v>
      </c>
    </row>
    <row r="327" spans="1:17" x14ac:dyDescent="0.3">
      <c r="A327" s="2" t="s">
        <v>698</v>
      </c>
      <c r="B327" s="2" t="s">
        <v>699</v>
      </c>
      <c r="C327" s="2" t="s">
        <v>49</v>
      </c>
      <c r="D327" s="2">
        <v>58</v>
      </c>
      <c r="E327" s="2" t="str">
        <f>_xlfn.IFS(Table1[[#This Row],[Age]]&lt;30, "18-29", D327&lt;=45,"30-45", D327&lt;=55, "46-55", TRUE, "55+")</f>
        <v>55+</v>
      </c>
      <c r="F327" s="2" t="s">
        <v>156</v>
      </c>
      <c r="G327" s="2" t="s">
        <v>45</v>
      </c>
      <c r="H327" s="2" t="s">
        <v>29</v>
      </c>
      <c r="I327" s="5">
        <v>40</v>
      </c>
      <c r="J327" s="5" t="str">
        <f>_xlfn.IFS(Table1[[#This Row],[Experience(Years)]]&lt;5, "Junior", I327&lt;=12, "Mid-Level", I327&lt;=20, "Senior", I327&lt;=30, "Super Senior", TRUE, "Expert")</f>
        <v>Expert</v>
      </c>
      <c r="K327" s="7">
        <v>75</v>
      </c>
      <c r="L327" s="7">
        <f>Table1[[#This Row],[Hourly Rate]]*1000</f>
        <v>75000</v>
      </c>
      <c r="M327" s="7" t="str">
        <f t="shared" si="5"/>
        <v>Standard</v>
      </c>
      <c r="N327" s="2">
        <f>IF(ISNUMBER(#REF!),#REF!, _xlfn.IFS( I327&gt;=30, 5, I327&gt;=25, 4.8, I327&gt;=15, 4, I327&gt;=10, 3.8, I327&gt;=5, 3, I327&gt;=2, 2.5, I327&gt;=0, 1.8, TRUE, 1.3))</f>
        <v>5</v>
      </c>
      <c r="O327" s="2" t="s">
        <v>2053</v>
      </c>
      <c r="P327" s="10">
        <v>1</v>
      </c>
      <c r="Q327" s="10" t="str">
        <f>_xlfn.IFS(Table1[[#This Row],[Rating]]&gt;=4, "Top Performer", Table1[[#This Row],[Rating]]&gt;=3, "Average", TRUE, "Needs Imporovement")</f>
        <v>Top Performer</v>
      </c>
    </row>
    <row r="328" spans="1:17" x14ac:dyDescent="0.3">
      <c r="A328" s="2" t="s">
        <v>700</v>
      </c>
      <c r="B328" s="2" t="s">
        <v>701</v>
      </c>
      <c r="C328" s="2" t="s">
        <v>68</v>
      </c>
      <c r="D328" s="2">
        <v>30</v>
      </c>
      <c r="E328" s="2" t="str">
        <f>_xlfn.IFS(Table1[[#This Row],[Age]]&lt;30, "18-29", D328&lt;=45,"30-45", D328&lt;=55, "46-55", TRUE, "55+")</f>
        <v>30-45</v>
      </c>
      <c r="F328" s="2" t="s">
        <v>44</v>
      </c>
      <c r="G328" s="2" t="s">
        <v>45</v>
      </c>
      <c r="H328" s="2" t="s">
        <v>17</v>
      </c>
      <c r="I328" s="5">
        <v>1</v>
      </c>
      <c r="J328" s="5" t="str">
        <f>_xlfn.IFS(Table1[[#This Row],[Experience(Years)]]&lt;5, "Junior", I328&lt;=12, "Mid-Level", I328&lt;=20, "Senior", I328&lt;=30, "Super Senior", TRUE, "Expert")</f>
        <v>Junior</v>
      </c>
      <c r="K328" s="7">
        <v>40</v>
      </c>
      <c r="L328" s="7">
        <f>Table1[[#This Row],[Hourly Rate]]*1000</f>
        <v>40000</v>
      </c>
      <c r="M328" s="7" t="str">
        <f t="shared" si="5"/>
        <v>Standard</v>
      </c>
      <c r="N328" s="2">
        <f>IF(ISNUMBER(#REF!),#REF!, _xlfn.IFS( I328&gt;=30, 5, I328&gt;=25, 4.8, I328&gt;=15, 4, I328&gt;=10, 3.8, I328&gt;=5, 3, I328&gt;=2, 2.5, I328&gt;=0, 1.8, TRUE, 1.3))</f>
        <v>1.8</v>
      </c>
      <c r="O328" s="2" t="s">
        <v>2053</v>
      </c>
      <c r="P328" s="10">
        <v>1</v>
      </c>
      <c r="Q328" s="10" t="str">
        <f>_xlfn.IFS(Table1[[#This Row],[Rating]]&gt;=4, "Top Performer", Table1[[#This Row],[Rating]]&gt;=3, "Average", TRUE, "Needs Imporovement")</f>
        <v>Needs Imporovement</v>
      </c>
    </row>
    <row r="329" spans="1:17" x14ac:dyDescent="0.3">
      <c r="A329" s="2" t="s">
        <v>702</v>
      </c>
      <c r="B329" s="2" t="s">
        <v>703</v>
      </c>
      <c r="C329" s="2" t="s">
        <v>49</v>
      </c>
      <c r="D329" s="2">
        <v>47</v>
      </c>
      <c r="E329" s="2" t="str">
        <f>_xlfn.IFS(Table1[[#This Row],[Age]]&lt;30, "18-29", D329&lt;=45,"30-45", D329&lt;=55, "46-55", TRUE, "55+")</f>
        <v>46-55</v>
      </c>
      <c r="F329" s="2" t="s">
        <v>141</v>
      </c>
      <c r="G329" s="2" t="s">
        <v>142</v>
      </c>
      <c r="H329" s="2" t="s">
        <v>9</v>
      </c>
      <c r="I329" s="5">
        <v>5</v>
      </c>
      <c r="J329" s="5" t="str">
        <f>_xlfn.IFS(Table1[[#This Row],[Experience(Years)]]&lt;5, "Junior", I329&lt;=12, "Mid-Level", I329&lt;=20, "Senior", I329&lt;=30, "Super Senior", TRUE, "Expert")</f>
        <v>Mid-Level</v>
      </c>
      <c r="K329" s="7">
        <v>20</v>
      </c>
      <c r="L329" s="7">
        <f>Table1[[#This Row],[Hourly Rate]]*1000</f>
        <v>20000</v>
      </c>
      <c r="M329" s="7" t="str">
        <f t="shared" si="5"/>
        <v>Budget</v>
      </c>
      <c r="N329" s="2">
        <f>IF(ISNUMBER(#REF!),#REF!, _xlfn.IFS( I329&gt;=30, 5, I329&gt;=25, 4.8, I329&gt;=15, 4, I329&gt;=10, 3.8, I329&gt;=5, 3, I329&gt;=2, 2.5, I329&gt;=0, 1.8, TRUE, 1.3))</f>
        <v>3</v>
      </c>
      <c r="O329" s="2" t="s">
        <v>2052</v>
      </c>
      <c r="P329" s="10">
        <v>0.6</v>
      </c>
      <c r="Q329" s="10" t="str">
        <f>_xlfn.IFS(Table1[[#This Row],[Rating]]&gt;=4, "Top Performer", Table1[[#This Row],[Rating]]&gt;=3, "Average", TRUE, "Needs Imporovement")</f>
        <v>Average</v>
      </c>
    </row>
    <row r="330" spans="1:17" x14ac:dyDescent="0.3">
      <c r="A330" s="2" t="s">
        <v>704</v>
      </c>
      <c r="B330" s="2" t="s">
        <v>705</v>
      </c>
      <c r="C330" s="2" t="s">
        <v>68</v>
      </c>
      <c r="D330" s="2">
        <v>44</v>
      </c>
      <c r="E330" s="2" t="str">
        <f>_xlfn.IFS(Table1[[#This Row],[Age]]&lt;30, "18-29", D330&lt;=45,"30-45", D330&lt;=55, "46-55", TRUE, "55+")</f>
        <v>30-45</v>
      </c>
      <c r="F330" s="2" t="s">
        <v>44</v>
      </c>
      <c r="G330" s="2" t="s">
        <v>45</v>
      </c>
      <c r="H330" s="2" t="s">
        <v>24</v>
      </c>
      <c r="I330" s="5">
        <v>4</v>
      </c>
      <c r="J330" s="5" t="str">
        <f>_xlfn.IFS(Table1[[#This Row],[Experience(Years)]]&lt;5, "Junior", I330&lt;=12, "Mid-Level", I330&lt;=20, "Senior", I330&lt;=30, "Super Senior", TRUE, "Expert")</f>
        <v>Junior</v>
      </c>
      <c r="K330" s="7">
        <v>50</v>
      </c>
      <c r="L330" s="7">
        <f>Table1[[#This Row],[Hourly Rate]]*1000</f>
        <v>50000</v>
      </c>
      <c r="M330" s="7" t="str">
        <f t="shared" si="5"/>
        <v>Standard</v>
      </c>
      <c r="N330" s="2">
        <f>IF(ISNUMBER(#REF!),#REF!, _xlfn.IFS( I330&gt;=30, 5, I330&gt;=25, 4.8, I330&gt;=15, 4, I330&gt;=10, 3.8, I330&gt;=5, 3, I330&gt;=2, 2.5, I330&gt;=0, 1.8, TRUE, 1.3))</f>
        <v>2.5</v>
      </c>
      <c r="O330" s="2" t="s">
        <v>2053</v>
      </c>
      <c r="P330" s="10">
        <v>0.83</v>
      </c>
      <c r="Q330" s="10" t="str">
        <f>_xlfn.IFS(Table1[[#This Row],[Rating]]&gt;=4, "Top Performer", Table1[[#This Row],[Rating]]&gt;=3, "Average", TRUE, "Needs Imporovement")</f>
        <v>Needs Imporovement</v>
      </c>
    </row>
    <row r="331" spans="1:17" x14ac:dyDescent="0.3">
      <c r="A331" s="2" t="s">
        <v>706</v>
      </c>
      <c r="B331" s="2" t="s">
        <v>707</v>
      </c>
      <c r="C331" s="2" t="s">
        <v>68</v>
      </c>
      <c r="D331" s="2">
        <v>56</v>
      </c>
      <c r="E331" s="2" t="str">
        <f>_xlfn.IFS(Table1[[#This Row],[Age]]&lt;30, "18-29", D331&lt;=45,"30-45", D331&lt;=55, "46-55", TRUE, "55+")</f>
        <v>55+</v>
      </c>
      <c r="F331" s="2" t="s">
        <v>2</v>
      </c>
      <c r="G331" s="2" t="s">
        <v>3</v>
      </c>
      <c r="H331" s="2" t="s">
        <v>83</v>
      </c>
      <c r="I331" s="5">
        <v>13</v>
      </c>
      <c r="J331" s="5" t="str">
        <f>_xlfn.IFS(Table1[[#This Row],[Experience(Years)]]&lt;5, "Junior", I331&lt;=12, "Mid-Level", I331&lt;=20, "Senior", I331&lt;=30, "Super Senior", TRUE, "Expert")</f>
        <v>Senior</v>
      </c>
      <c r="K331" s="7">
        <v>40</v>
      </c>
      <c r="L331" s="7">
        <f>Table1[[#This Row],[Hourly Rate]]*1000</f>
        <v>40000</v>
      </c>
      <c r="M331" s="7" t="str">
        <f t="shared" si="5"/>
        <v>Standard</v>
      </c>
      <c r="N331" s="2">
        <f>IF(ISNUMBER(#REF!),#REF!, _xlfn.IFS( I331&gt;=30, 5, I331&gt;=25, 4.8, I331&gt;=15, 4, I331&gt;=10, 3.8, I331&gt;=5, 3, I331&gt;=2, 2.5, I331&gt;=0, 1.8, TRUE, 1.3))</f>
        <v>3.8</v>
      </c>
      <c r="O331" s="2" t="s">
        <v>2053</v>
      </c>
      <c r="P331" s="10">
        <v>0.87</v>
      </c>
      <c r="Q331" s="10" t="str">
        <f>_xlfn.IFS(Table1[[#This Row],[Rating]]&gt;=4, "Top Performer", Table1[[#This Row],[Rating]]&gt;=3, "Average", TRUE, "Needs Imporovement")</f>
        <v>Average</v>
      </c>
    </row>
    <row r="332" spans="1:17" x14ac:dyDescent="0.3">
      <c r="A332" s="2" t="s">
        <v>708</v>
      </c>
      <c r="B332" s="2" t="s">
        <v>709</v>
      </c>
      <c r="C332" s="2" t="s">
        <v>49</v>
      </c>
      <c r="D332" s="2">
        <v>53</v>
      </c>
      <c r="E332" s="2" t="str">
        <f>_xlfn.IFS(Table1[[#This Row],[Age]]&lt;30, "18-29", D332&lt;=45,"30-45", D332&lt;=55, "46-55", TRUE, "55+")</f>
        <v>46-55</v>
      </c>
      <c r="F332" s="2" t="s">
        <v>34</v>
      </c>
      <c r="G332" s="2" t="s">
        <v>8</v>
      </c>
      <c r="H332" s="2" t="s">
        <v>9</v>
      </c>
      <c r="I332" s="5">
        <v>33</v>
      </c>
      <c r="J332" s="5" t="str">
        <f>_xlfn.IFS(Table1[[#This Row],[Experience(Years)]]&lt;5, "Junior", I332&lt;=12, "Mid-Level", I332&lt;=20, "Senior", I332&lt;=30, "Super Senior", TRUE, "Expert")</f>
        <v>Expert</v>
      </c>
      <c r="K332" s="7">
        <v>100</v>
      </c>
      <c r="L332" s="7">
        <f>Table1[[#This Row],[Hourly Rate]]*1000</f>
        <v>100000</v>
      </c>
      <c r="M332" s="7" t="str">
        <f t="shared" si="5"/>
        <v>Premium</v>
      </c>
      <c r="N332" s="2">
        <f>IF(ISNUMBER(#REF!),#REF!, _xlfn.IFS( I332&gt;=30, 5, I332&gt;=25, 4.8, I332&gt;=15, 4, I332&gt;=10, 3.8, I332&gt;=5, 3, I332&gt;=2, 2.5, I332&gt;=0, 1.8, TRUE, 1.3))</f>
        <v>5</v>
      </c>
      <c r="O332" s="2" t="s">
        <v>2052</v>
      </c>
      <c r="P332" s="10">
        <v>0.75</v>
      </c>
      <c r="Q332" s="10" t="str">
        <f>_xlfn.IFS(Table1[[#This Row],[Rating]]&gt;=4, "Top Performer", Table1[[#This Row],[Rating]]&gt;=3, "Average", TRUE, "Needs Imporovement")</f>
        <v>Top Performer</v>
      </c>
    </row>
    <row r="333" spans="1:17" x14ac:dyDescent="0.3">
      <c r="A333" s="2" t="s">
        <v>710</v>
      </c>
      <c r="B333" s="2" t="s">
        <v>711</v>
      </c>
      <c r="C333" s="2" t="s">
        <v>68</v>
      </c>
      <c r="D333" s="2">
        <v>59</v>
      </c>
      <c r="E333" s="2" t="str">
        <f>_xlfn.IFS(Table1[[#This Row],[Age]]&lt;30, "18-29", D333&lt;=45,"30-45", D333&lt;=55, "46-55", TRUE, "55+")</f>
        <v>55+</v>
      </c>
      <c r="F333" s="2" t="s">
        <v>41</v>
      </c>
      <c r="G333" s="2" t="s">
        <v>8</v>
      </c>
      <c r="H333" s="2" t="s">
        <v>9</v>
      </c>
      <c r="I333" s="5">
        <v>22</v>
      </c>
      <c r="J333" s="5" t="str">
        <f>_xlfn.IFS(Table1[[#This Row],[Experience(Years)]]&lt;5, "Junior", I333&lt;=12, "Mid-Level", I333&lt;=20, "Senior", I333&lt;=30, "Super Senior", TRUE, "Expert")</f>
        <v>Super Senior</v>
      </c>
      <c r="K333" s="7">
        <v>40</v>
      </c>
      <c r="L333" s="7">
        <f>Table1[[#This Row],[Hourly Rate]]*1000</f>
        <v>40000</v>
      </c>
      <c r="M333" s="7" t="str">
        <f t="shared" si="5"/>
        <v>Standard</v>
      </c>
      <c r="N333" s="2">
        <f>IF(ISNUMBER(#REF!),#REF!, _xlfn.IFS( I333&gt;=30, 5, I333&gt;=25, 4.8, I333&gt;=15, 4, I333&gt;=10, 3.8, I333&gt;=5, 3, I333&gt;=2, 2.5, I333&gt;=0, 1.8, TRUE, 1.3))</f>
        <v>4</v>
      </c>
      <c r="O333" s="2" t="s">
        <v>2053</v>
      </c>
      <c r="P333" s="10">
        <v>0.61</v>
      </c>
      <c r="Q333" s="10" t="str">
        <f>_xlfn.IFS(Table1[[#This Row],[Rating]]&gt;=4, "Top Performer", Table1[[#This Row],[Rating]]&gt;=3, "Average", TRUE, "Needs Imporovement")</f>
        <v>Top Performer</v>
      </c>
    </row>
    <row r="334" spans="1:17" x14ac:dyDescent="0.3">
      <c r="A334" s="2" t="s">
        <v>712</v>
      </c>
      <c r="B334" s="2" t="s">
        <v>713</v>
      </c>
      <c r="C334" s="2" t="s">
        <v>68</v>
      </c>
      <c r="D334" s="2">
        <v>60</v>
      </c>
      <c r="E334" s="2" t="str">
        <f>_xlfn.IFS(Table1[[#This Row],[Age]]&lt;30, "18-29", D334&lt;=45,"30-45", D334&lt;=55, "46-55", TRUE, "55+")</f>
        <v>55+</v>
      </c>
      <c r="F334" s="2" t="s">
        <v>34</v>
      </c>
      <c r="G334" s="2" t="s">
        <v>8</v>
      </c>
      <c r="H334" s="2" t="s">
        <v>61</v>
      </c>
      <c r="I334" s="5">
        <v>34</v>
      </c>
      <c r="J334" s="5" t="str">
        <f>_xlfn.IFS(Table1[[#This Row],[Experience(Years)]]&lt;5, "Junior", I334&lt;=12, "Mid-Level", I334&lt;=20, "Senior", I334&lt;=30, "Super Senior", TRUE, "Expert")</f>
        <v>Expert</v>
      </c>
      <c r="K334" s="7">
        <v>80</v>
      </c>
      <c r="L334" s="7">
        <f>Table1[[#This Row],[Hourly Rate]]*1000</f>
        <v>80000</v>
      </c>
      <c r="M334" s="7" t="str">
        <f t="shared" si="5"/>
        <v>Standard</v>
      </c>
      <c r="N334" s="2">
        <f>IF(ISNUMBER(#REF!),#REF!, _xlfn.IFS( I334&gt;=30, 5, I334&gt;=25, 4.8, I334&gt;=15, 4, I334&gt;=10, 3.8, I334&gt;=5, 3, I334&gt;=2, 2.5, I334&gt;=0, 1.8, TRUE, 1.3))</f>
        <v>5</v>
      </c>
      <c r="O334" s="2" t="s">
        <v>2052</v>
      </c>
      <c r="P334" s="10">
        <v>0.93</v>
      </c>
      <c r="Q334" s="10" t="str">
        <f>_xlfn.IFS(Table1[[#This Row],[Rating]]&gt;=4, "Top Performer", Table1[[#This Row],[Rating]]&gt;=3, "Average", TRUE, "Needs Imporovement")</f>
        <v>Top Performer</v>
      </c>
    </row>
    <row r="335" spans="1:17" x14ac:dyDescent="0.3">
      <c r="A335" s="2" t="s">
        <v>714</v>
      </c>
      <c r="B335" s="2" t="s">
        <v>715</v>
      </c>
      <c r="C335" s="2" t="s">
        <v>49</v>
      </c>
      <c r="D335" s="2">
        <v>33</v>
      </c>
      <c r="E335" s="2" t="str">
        <f>_xlfn.IFS(Table1[[#This Row],[Age]]&lt;30, "18-29", D335&lt;=45,"30-45", D335&lt;=55, "46-55", TRUE, "55+")</f>
        <v>30-45</v>
      </c>
      <c r="F335" s="2" t="s">
        <v>12</v>
      </c>
      <c r="G335" s="2" t="s">
        <v>13</v>
      </c>
      <c r="H335" s="2" t="s">
        <v>9</v>
      </c>
      <c r="I335" s="5">
        <v>8</v>
      </c>
      <c r="J335" s="5" t="str">
        <f>_xlfn.IFS(Table1[[#This Row],[Experience(Years)]]&lt;5, "Junior", I335&lt;=12, "Mid-Level", I335&lt;=20, "Senior", I335&lt;=30, "Super Senior", TRUE, "Expert")</f>
        <v>Mid-Level</v>
      </c>
      <c r="K335" s="7">
        <v>30</v>
      </c>
      <c r="L335" s="7">
        <f>Table1[[#This Row],[Hourly Rate]]*1000</f>
        <v>30000</v>
      </c>
      <c r="M335" s="7" t="str">
        <f t="shared" si="5"/>
        <v>Budget</v>
      </c>
      <c r="N335" s="2">
        <f>IF(ISNUMBER(#REF!),#REF!, _xlfn.IFS( I335&gt;=30, 5, I335&gt;=25, 4.8, I335&gt;=15, 4, I335&gt;=10, 3.8, I335&gt;=5, 3, I335&gt;=2, 2.5, I335&gt;=0, 1.8, TRUE, 1.3))</f>
        <v>3</v>
      </c>
      <c r="O335" s="2" t="s">
        <v>2053</v>
      </c>
      <c r="P335" s="10">
        <v>0.6</v>
      </c>
      <c r="Q335" s="10" t="str">
        <f>_xlfn.IFS(Table1[[#This Row],[Rating]]&gt;=4, "Top Performer", Table1[[#This Row],[Rating]]&gt;=3, "Average", TRUE, "Needs Imporovement")</f>
        <v>Average</v>
      </c>
    </row>
    <row r="336" spans="1:17" x14ac:dyDescent="0.3">
      <c r="A336" s="2" t="s">
        <v>716</v>
      </c>
      <c r="B336" s="2" t="s">
        <v>717</v>
      </c>
      <c r="C336" s="2" t="s">
        <v>49</v>
      </c>
      <c r="D336" s="2">
        <v>21</v>
      </c>
      <c r="E336" s="2" t="str">
        <f>_xlfn.IFS(Table1[[#This Row],[Age]]&lt;30, "18-29", D336&lt;=45,"30-45", D336&lt;=55, "46-55", TRUE, "55+")</f>
        <v>18-29</v>
      </c>
      <c r="F336" s="2" t="s">
        <v>44</v>
      </c>
      <c r="G336" s="2" t="s">
        <v>45</v>
      </c>
      <c r="H336" s="2" t="s">
        <v>17</v>
      </c>
      <c r="I336" s="5">
        <v>1</v>
      </c>
      <c r="J336" s="5" t="str">
        <f>_xlfn.IFS(Table1[[#This Row],[Experience(Years)]]&lt;5, "Junior", I336&lt;=12, "Mid-Level", I336&lt;=20, "Senior", I336&lt;=30, "Super Senior", TRUE, "Expert")</f>
        <v>Junior</v>
      </c>
      <c r="K336" s="7">
        <v>20</v>
      </c>
      <c r="L336" s="7">
        <f>Table1[[#This Row],[Hourly Rate]]*1000</f>
        <v>20000</v>
      </c>
      <c r="M336" s="7" t="str">
        <f t="shared" si="5"/>
        <v>Budget</v>
      </c>
      <c r="N336" s="2">
        <f>IF(ISNUMBER(#REF!),#REF!, _xlfn.IFS( I336&gt;=30, 5, I336&gt;=25, 4.8, I336&gt;=15, 4, I336&gt;=10, 3.8, I336&gt;=5, 3, I336&gt;=2, 2.5, I336&gt;=0, 1.8, TRUE, 1.3))</f>
        <v>1.8</v>
      </c>
      <c r="O336" s="2" t="s">
        <v>2052</v>
      </c>
      <c r="P336" s="10">
        <v>0.99</v>
      </c>
      <c r="Q336" s="10" t="str">
        <f>_xlfn.IFS(Table1[[#This Row],[Rating]]&gt;=4, "Top Performer", Table1[[#This Row],[Rating]]&gt;=3, "Average", TRUE, "Needs Imporovement")</f>
        <v>Needs Imporovement</v>
      </c>
    </row>
    <row r="337" spans="1:17" x14ac:dyDescent="0.3">
      <c r="A337" s="2" t="s">
        <v>718</v>
      </c>
      <c r="B337" s="2" t="s">
        <v>719</v>
      </c>
      <c r="C337" s="2" t="s">
        <v>68</v>
      </c>
      <c r="D337" s="2">
        <v>54</v>
      </c>
      <c r="E337" s="2" t="str">
        <f>_xlfn.IFS(Table1[[#This Row],[Age]]&lt;30, "18-29", D337&lt;=45,"30-45", D337&lt;=55, "46-55", TRUE, "55+")</f>
        <v>46-55</v>
      </c>
      <c r="F337" s="2" t="s">
        <v>41</v>
      </c>
      <c r="G337" s="2" t="s">
        <v>8</v>
      </c>
      <c r="H337" s="2" t="s">
        <v>46</v>
      </c>
      <c r="I337" s="5">
        <v>20</v>
      </c>
      <c r="J337" s="5" t="str">
        <f>_xlfn.IFS(Table1[[#This Row],[Experience(Years)]]&lt;5, "Junior", I337&lt;=12, "Mid-Level", I337&lt;=20, "Senior", I337&lt;=30, "Super Senior", TRUE, "Expert")</f>
        <v>Senior</v>
      </c>
      <c r="K337" s="7">
        <v>50</v>
      </c>
      <c r="L337" s="7">
        <f>Table1[[#This Row],[Hourly Rate]]*1000</f>
        <v>50000</v>
      </c>
      <c r="M337" s="7" t="str">
        <f t="shared" si="5"/>
        <v>Standard</v>
      </c>
      <c r="N337" s="2">
        <f>IF(ISNUMBER(#REF!),#REF!, _xlfn.IFS( I337&gt;=30, 5, I337&gt;=25, 4.8, I337&gt;=15, 4, I337&gt;=10, 3.8, I337&gt;=5, 3, I337&gt;=2, 2.5, I337&gt;=0, 1.8, TRUE, 1.3))</f>
        <v>4</v>
      </c>
      <c r="O337" s="2" t="s">
        <v>2052</v>
      </c>
      <c r="P337" s="10">
        <v>0.73</v>
      </c>
      <c r="Q337" s="10" t="str">
        <f>_xlfn.IFS(Table1[[#This Row],[Rating]]&gt;=4, "Top Performer", Table1[[#This Row],[Rating]]&gt;=3, "Average", TRUE, "Needs Imporovement")</f>
        <v>Top Performer</v>
      </c>
    </row>
    <row r="338" spans="1:17" x14ac:dyDescent="0.3">
      <c r="A338" s="2" t="s">
        <v>720</v>
      </c>
      <c r="B338" s="2" t="s">
        <v>721</v>
      </c>
      <c r="C338" s="2" t="s">
        <v>49</v>
      </c>
      <c r="D338" s="2">
        <v>33</v>
      </c>
      <c r="E338" s="2" t="str">
        <f>_xlfn.IFS(Table1[[#This Row],[Age]]&lt;30, "18-29", D338&lt;=45,"30-45", D338&lt;=55, "46-55", TRUE, "55+")</f>
        <v>30-45</v>
      </c>
      <c r="F338" s="2" t="s">
        <v>34</v>
      </c>
      <c r="G338" s="2" t="s">
        <v>8</v>
      </c>
      <c r="H338" s="2" t="s">
        <v>14</v>
      </c>
      <c r="I338" s="5">
        <v>11</v>
      </c>
      <c r="J338" s="5" t="str">
        <f>_xlfn.IFS(Table1[[#This Row],[Experience(Years)]]&lt;5, "Junior", I338&lt;=12, "Mid-Level", I338&lt;=20, "Senior", I338&lt;=30, "Super Senior", TRUE, "Expert")</f>
        <v>Mid-Level</v>
      </c>
      <c r="K338" s="7">
        <v>75</v>
      </c>
      <c r="L338" s="7">
        <f>Table1[[#This Row],[Hourly Rate]]*1000</f>
        <v>75000</v>
      </c>
      <c r="M338" s="7" t="str">
        <f t="shared" si="5"/>
        <v>Standard</v>
      </c>
      <c r="N338" s="2">
        <f>IF(ISNUMBER(#REF!),#REF!, _xlfn.IFS( I338&gt;=30, 5, I338&gt;=25, 4.8, I338&gt;=15, 4, I338&gt;=10, 3.8, I338&gt;=5, 3, I338&gt;=2, 2.5, I338&gt;=0, 1.8, TRUE, 1.3))</f>
        <v>3.8</v>
      </c>
      <c r="O338" s="2" t="s">
        <v>2052</v>
      </c>
      <c r="P338" s="10">
        <v>0.96</v>
      </c>
      <c r="Q338" s="10" t="str">
        <f>_xlfn.IFS(Table1[[#This Row],[Rating]]&gt;=4, "Top Performer", Table1[[#This Row],[Rating]]&gt;=3, "Average", TRUE, "Needs Imporovement")</f>
        <v>Average</v>
      </c>
    </row>
    <row r="339" spans="1:17" x14ac:dyDescent="0.3">
      <c r="A339" s="2" t="s">
        <v>722</v>
      </c>
      <c r="B339" s="2" t="s">
        <v>723</v>
      </c>
      <c r="C339" s="2" t="s">
        <v>49</v>
      </c>
      <c r="D339" s="2">
        <v>57</v>
      </c>
      <c r="E339" s="2" t="str">
        <f>_xlfn.IFS(Table1[[#This Row],[Age]]&lt;30, "18-29", D339&lt;=45,"30-45", D339&lt;=55, "46-55", TRUE, "55+")</f>
        <v>55+</v>
      </c>
      <c r="F339" s="2" t="s">
        <v>37</v>
      </c>
      <c r="G339" s="2" t="s">
        <v>38</v>
      </c>
      <c r="H339" s="2" t="s">
        <v>29</v>
      </c>
      <c r="I339" s="5">
        <v>2</v>
      </c>
      <c r="J339" s="5" t="str">
        <f>_xlfn.IFS(Table1[[#This Row],[Experience(Years)]]&lt;5, "Junior", I339&lt;=12, "Mid-Level", I339&lt;=20, "Senior", I339&lt;=30, "Super Senior", TRUE, "Expert")</f>
        <v>Junior</v>
      </c>
      <c r="K339" s="7">
        <v>40</v>
      </c>
      <c r="L339" s="7">
        <f>Table1[[#This Row],[Hourly Rate]]*1000</f>
        <v>40000</v>
      </c>
      <c r="M339" s="7" t="str">
        <f t="shared" si="5"/>
        <v>Standard</v>
      </c>
      <c r="N339" s="2">
        <f>IF(ISNUMBER(#REF!),#REF!, _xlfn.IFS( I339&gt;=30, 5, I339&gt;=25, 4.8, I339&gt;=15, 4, I339&gt;=10, 3.8, I339&gt;=5, 3, I339&gt;=2, 2.5, I339&gt;=0, 1.8, TRUE, 1.3))</f>
        <v>2.5</v>
      </c>
      <c r="O339" s="2" t="s">
        <v>2052</v>
      </c>
      <c r="P339" s="10">
        <v>0.6</v>
      </c>
      <c r="Q339" s="10" t="str">
        <f>_xlfn.IFS(Table1[[#This Row],[Rating]]&gt;=4, "Top Performer", Table1[[#This Row],[Rating]]&gt;=3, "Average", TRUE, "Needs Imporovement")</f>
        <v>Needs Imporovement</v>
      </c>
    </row>
    <row r="340" spans="1:17" x14ac:dyDescent="0.3">
      <c r="A340" s="2" t="s">
        <v>724</v>
      </c>
      <c r="B340" s="2" t="s">
        <v>725</v>
      </c>
      <c r="C340" s="2" t="s">
        <v>68</v>
      </c>
      <c r="D340" s="2">
        <v>36</v>
      </c>
      <c r="E340" s="2" t="str">
        <f>_xlfn.IFS(Table1[[#This Row],[Age]]&lt;30, "18-29", D340&lt;=45,"30-45", D340&lt;=55, "46-55", TRUE, "55+")</f>
        <v>30-45</v>
      </c>
      <c r="F340" s="2" t="s">
        <v>81</v>
      </c>
      <c r="G340" s="2" t="s">
        <v>82</v>
      </c>
      <c r="H340" s="2" t="s">
        <v>14</v>
      </c>
      <c r="I340" s="5">
        <v>6</v>
      </c>
      <c r="J340" s="5" t="str">
        <f>_xlfn.IFS(Table1[[#This Row],[Experience(Years)]]&lt;5, "Junior", I340&lt;=12, "Mid-Level", I340&lt;=20, "Senior", I340&lt;=30, "Super Senior", TRUE, "Expert")</f>
        <v>Mid-Level</v>
      </c>
      <c r="K340" s="7">
        <v>20</v>
      </c>
      <c r="L340" s="7">
        <f>Table1[[#This Row],[Hourly Rate]]*1000</f>
        <v>20000</v>
      </c>
      <c r="M340" s="7" t="str">
        <f t="shared" si="5"/>
        <v>Budget</v>
      </c>
      <c r="N340" s="2">
        <f>IF(ISNUMBER(#REF!),#REF!, _xlfn.IFS( I340&gt;=30, 5, I340&gt;=25, 4.8, I340&gt;=15, 4, I340&gt;=10, 3.8, I340&gt;=5, 3, I340&gt;=2, 2.5, I340&gt;=0, 1.8, TRUE, 1.3))</f>
        <v>3</v>
      </c>
      <c r="O340" s="2" t="s">
        <v>2053</v>
      </c>
      <c r="P340" s="10">
        <v>0.64</v>
      </c>
      <c r="Q340" s="10" t="str">
        <f>_xlfn.IFS(Table1[[#This Row],[Rating]]&gt;=4, "Top Performer", Table1[[#This Row],[Rating]]&gt;=3, "Average", TRUE, "Needs Imporovement")</f>
        <v>Average</v>
      </c>
    </row>
    <row r="341" spans="1:17" x14ac:dyDescent="0.3">
      <c r="A341" s="2" t="s">
        <v>726</v>
      </c>
      <c r="B341" s="2" t="s">
        <v>727</v>
      </c>
      <c r="C341" s="2" t="s">
        <v>68</v>
      </c>
      <c r="D341" s="2">
        <v>50</v>
      </c>
      <c r="E341" s="2" t="str">
        <f>_xlfn.IFS(Table1[[#This Row],[Age]]&lt;30, "18-29", D341&lt;=45,"30-45", D341&lt;=55, "46-55", TRUE, "55+")</f>
        <v>46-55</v>
      </c>
      <c r="F341" s="2" t="s">
        <v>12</v>
      </c>
      <c r="G341" s="2" t="s">
        <v>13</v>
      </c>
      <c r="H341" s="2" t="s">
        <v>4</v>
      </c>
      <c r="I341" s="5">
        <v>20</v>
      </c>
      <c r="J341" s="5" t="str">
        <f>_xlfn.IFS(Table1[[#This Row],[Experience(Years)]]&lt;5, "Junior", I341&lt;=12, "Mid-Level", I341&lt;=20, "Senior", I341&lt;=30, "Super Senior", TRUE, "Expert")</f>
        <v>Senior</v>
      </c>
      <c r="K341" s="7">
        <v>30</v>
      </c>
      <c r="L341" s="7">
        <f>Table1[[#This Row],[Hourly Rate]]*1000</f>
        <v>30000</v>
      </c>
      <c r="M341" s="7" t="str">
        <f t="shared" si="5"/>
        <v>Budget</v>
      </c>
      <c r="N341" s="2">
        <f>IF(ISNUMBER(#REF!),#REF!, _xlfn.IFS( I341&gt;=30, 5, I341&gt;=25, 4.8, I341&gt;=15, 4, I341&gt;=10, 3.8, I341&gt;=5, 3, I341&gt;=2, 2.5, I341&gt;=0, 1.8, TRUE, 1.3))</f>
        <v>4</v>
      </c>
      <c r="O341" s="2" t="s">
        <v>2052</v>
      </c>
      <c r="P341" s="10">
        <v>0.85</v>
      </c>
      <c r="Q341" s="10" t="str">
        <f>_xlfn.IFS(Table1[[#This Row],[Rating]]&gt;=4, "Top Performer", Table1[[#This Row],[Rating]]&gt;=3, "Average", TRUE, "Needs Imporovement")</f>
        <v>Top Performer</v>
      </c>
    </row>
    <row r="342" spans="1:17" x14ac:dyDescent="0.3">
      <c r="A342" s="2" t="s">
        <v>728</v>
      </c>
      <c r="B342" s="2" t="s">
        <v>729</v>
      </c>
      <c r="C342" s="2" t="s">
        <v>49</v>
      </c>
      <c r="D342" s="2">
        <v>37</v>
      </c>
      <c r="E342" s="2" t="str">
        <f>_xlfn.IFS(Table1[[#This Row],[Age]]&lt;30, "18-29", D342&lt;=45,"30-45", D342&lt;=55, "46-55", TRUE, "55+")</f>
        <v>30-45</v>
      </c>
      <c r="F342" s="2" t="s">
        <v>96</v>
      </c>
      <c r="G342" s="2" t="s">
        <v>8</v>
      </c>
      <c r="H342" s="2" t="s">
        <v>61</v>
      </c>
      <c r="I342" s="5">
        <v>5</v>
      </c>
      <c r="J342" s="5" t="str">
        <f>_xlfn.IFS(Table1[[#This Row],[Experience(Years)]]&lt;5, "Junior", I342&lt;=12, "Mid-Level", I342&lt;=20, "Senior", I342&lt;=30, "Super Senior", TRUE, "Expert")</f>
        <v>Mid-Level</v>
      </c>
      <c r="K342" s="7">
        <v>20</v>
      </c>
      <c r="L342" s="7">
        <f>Table1[[#This Row],[Hourly Rate]]*1000</f>
        <v>20000</v>
      </c>
      <c r="M342" s="7" t="str">
        <f t="shared" si="5"/>
        <v>Budget</v>
      </c>
      <c r="N342" s="2">
        <f>IF(ISNUMBER(#REF!),#REF!, _xlfn.IFS( I342&gt;=30, 5, I342&gt;=25, 4.8, I342&gt;=15, 4, I342&gt;=10, 3.8, I342&gt;=5, 3, I342&gt;=2, 2.5, I342&gt;=0, 1.8, TRUE, 1.3))</f>
        <v>3</v>
      </c>
      <c r="O342" s="2" t="s">
        <v>2052</v>
      </c>
      <c r="P342" s="10">
        <v>0.6</v>
      </c>
      <c r="Q342" s="10" t="str">
        <f>_xlfn.IFS(Table1[[#This Row],[Rating]]&gt;=4, "Top Performer", Table1[[#This Row],[Rating]]&gt;=3, "Average", TRUE, "Needs Imporovement")</f>
        <v>Average</v>
      </c>
    </row>
    <row r="343" spans="1:17" x14ac:dyDescent="0.3">
      <c r="A343" s="2" t="s">
        <v>730</v>
      </c>
      <c r="B343" s="2" t="s">
        <v>731</v>
      </c>
      <c r="C343" s="2" t="s">
        <v>68</v>
      </c>
      <c r="D343" s="2">
        <v>53</v>
      </c>
      <c r="E343" s="2" t="str">
        <f>_xlfn.IFS(Table1[[#This Row],[Age]]&lt;30, "18-29", D343&lt;=45,"30-45", D343&lt;=55, "46-55", TRUE, "55+")</f>
        <v>46-55</v>
      </c>
      <c r="F343" s="2" t="s">
        <v>2</v>
      </c>
      <c r="G343" s="2" t="s">
        <v>3</v>
      </c>
      <c r="H343" s="2" t="s">
        <v>24</v>
      </c>
      <c r="I343" s="5">
        <v>4</v>
      </c>
      <c r="J343" s="5" t="str">
        <f>_xlfn.IFS(Table1[[#This Row],[Experience(Years)]]&lt;5, "Junior", I343&lt;=12, "Mid-Level", I343&lt;=20, "Senior", I343&lt;=30, "Super Senior", TRUE, "Expert")</f>
        <v>Junior</v>
      </c>
      <c r="K343" s="7">
        <v>30</v>
      </c>
      <c r="L343" s="7">
        <f>Table1[[#This Row],[Hourly Rate]]*1000</f>
        <v>30000</v>
      </c>
      <c r="M343" s="7" t="str">
        <f t="shared" si="5"/>
        <v>Budget</v>
      </c>
      <c r="N343" s="2">
        <f>IF(ISNUMBER(#REF!),#REF!, _xlfn.IFS( I343&gt;=30, 5, I343&gt;=25, 4.8, I343&gt;=15, 4, I343&gt;=10, 3.8, I343&gt;=5, 3, I343&gt;=2, 2.5, I343&gt;=0, 1.8, TRUE, 1.3))</f>
        <v>2.5</v>
      </c>
      <c r="O343" s="2" t="s">
        <v>2052</v>
      </c>
      <c r="P343" s="10">
        <v>0.99</v>
      </c>
      <c r="Q343" s="10" t="str">
        <f>_xlfn.IFS(Table1[[#This Row],[Rating]]&gt;=4, "Top Performer", Table1[[#This Row],[Rating]]&gt;=3, "Average", TRUE, "Needs Imporovement")</f>
        <v>Needs Imporovement</v>
      </c>
    </row>
    <row r="344" spans="1:17" x14ac:dyDescent="0.3">
      <c r="A344" s="2" t="s">
        <v>732</v>
      </c>
      <c r="B344" s="2" t="s">
        <v>733</v>
      </c>
      <c r="C344" s="2" t="s">
        <v>49</v>
      </c>
      <c r="D344" s="2">
        <v>22</v>
      </c>
      <c r="E344" s="2" t="str">
        <f>_xlfn.IFS(Table1[[#This Row],[Age]]&lt;30, "18-29", D344&lt;=45,"30-45", D344&lt;=55, "46-55", TRUE, "55+")</f>
        <v>18-29</v>
      </c>
      <c r="F344" s="2" t="s">
        <v>2</v>
      </c>
      <c r="G344" s="2" t="s">
        <v>3</v>
      </c>
      <c r="H344" s="2" t="s">
        <v>4</v>
      </c>
      <c r="I344" s="5">
        <v>3</v>
      </c>
      <c r="J344" s="5" t="str">
        <f>_xlfn.IFS(Table1[[#This Row],[Experience(Years)]]&lt;5, "Junior", I344&lt;=12, "Mid-Level", I344&lt;=20, "Senior", I344&lt;=30, "Super Senior", TRUE, "Expert")</f>
        <v>Junior</v>
      </c>
      <c r="K344" s="7">
        <v>40</v>
      </c>
      <c r="L344" s="7">
        <f>Table1[[#This Row],[Hourly Rate]]*1000</f>
        <v>40000</v>
      </c>
      <c r="M344" s="7" t="str">
        <f t="shared" si="5"/>
        <v>Standard</v>
      </c>
      <c r="N344" s="2">
        <f>IF(ISNUMBER(#REF!),#REF!, _xlfn.IFS( I344&gt;=30, 5, I344&gt;=25, 4.8, I344&gt;=15, 4, I344&gt;=10, 3.8, I344&gt;=5, 3, I344&gt;=2, 2.5, I344&gt;=0, 1.8, TRUE, 1.3))</f>
        <v>2.5</v>
      </c>
      <c r="O344" s="2" t="s">
        <v>2052</v>
      </c>
      <c r="P344" s="10">
        <v>0.35</v>
      </c>
      <c r="Q344" s="10" t="str">
        <f>_xlfn.IFS(Table1[[#This Row],[Rating]]&gt;=4, "Top Performer", Table1[[#This Row],[Rating]]&gt;=3, "Average", TRUE, "Needs Imporovement")</f>
        <v>Needs Imporovement</v>
      </c>
    </row>
    <row r="345" spans="1:17" x14ac:dyDescent="0.3">
      <c r="A345" s="2" t="s">
        <v>734</v>
      </c>
      <c r="B345" s="2" t="s">
        <v>735</v>
      </c>
      <c r="C345" s="2" t="s">
        <v>49</v>
      </c>
      <c r="D345" s="2">
        <v>55</v>
      </c>
      <c r="E345" s="2" t="str">
        <f>_xlfn.IFS(Table1[[#This Row],[Age]]&lt;30, "18-29", D345&lt;=45,"30-45", D345&lt;=55, "46-55", TRUE, "55+")</f>
        <v>46-55</v>
      </c>
      <c r="F345" s="2" t="s">
        <v>22</v>
      </c>
      <c r="G345" s="2" t="s">
        <v>23</v>
      </c>
      <c r="H345" s="2" t="s">
        <v>9</v>
      </c>
      <c r="I345" s="5">
        <v>33</v>
      </c>
      <c r="J345" s="5" t="str">
        <f>_xlfn.IFS(Table1[[#This Row],[Experience(Years)]]&lt;5, "Junior", I345&lt;=12, "Mid-Level", I345&lt;=20, "Senior", I345&lt;=30, "Super Senior", TRUE, "Expert")</f>
        <v>Expert</v>
      </c>
      <c r="K345" s="7">
        <v>40</v>
      </c>
      <c r="L345" s="7">
        <f>Table1[[#This Row],[Hourly Rate]]*1000</f>
        <v>40000</v>
      </c>
      <c r="M345" s="7" t="str">
        <f t="shared" si="5"/>
        <v>Standard</v>
      </c>
      <c r="N345" s="2">
        <f>IF(ISNUMBER(#REF!),#REF!, _xlfn.IFS( I345&gt;=30, 5, I345&gt;=25, 4.8, I345&gt;=15, 4, I345&gt;=10, 3.8, I345&gt;=5, 3, I345&gt;=2, 2.5, I345&gt;=0, 1.8, TRUE, 1.3))</f>
        <v>5</v>
      </c>
      <c r="O345" s="2" t="s">
        <v>2053</v>
      </c>
      <c r="P345" s="10">
        <v>0.71</v>
      </c>
      <c r="Q345" s="10" t="str">
        <f>_xlfn.IFS(Table1[[#This Row],[Rating]]&gt;=4, "Top Performer", Table1[[#This Row],[Rating]]&gt;=3, "Average", TRUE, "Needs Imporovement")</f>
        <v>Top Performer</v>
      </c>
    </row>
    <row r="346" spans="1:17" x14ac:dyDescent="0.3">
      <c r="A346" s="2" t="s">
        <v>736</v>
      </c>
      <c r="B346" s="2" t="s">
        <v>737</v>
      </c>
      <c r="C346" s="2" t="s">
        <v>68</v>
      </c>
      <c r="D346" s="2">
        <v>22</v>
      </c>
      <c r="E346" s="2" t="str">
        <f>_xlfn.IFS(Table1[[#This Row],[Age]]&lt;30, "18-29", D346&lt;=45,"30-45", D346&lt;=55, "46-55", TRUE, "55+")</f>
        <v>18-29</v>
      </c>
      <c r="F346" s="2" t="s">
        <v>7</v>
      </c>
      <c r="G346" s="2" t="s">
        <v>8</v>
      </c>
      <c r="H346" s="2" t="s">
        <v>50</v>
      </c>
      <c r="I346" s="5">
        <v>1</v>
      </c>
      <c r="J346" s="5" t="str">
        <f>_xlfn.IFS(Table1[[#This Row],[Experience(Years)]]&lt;5, "Junior", I346&lt;=12, "Mid-Level", I346&lt;=20, "Senior", I346&lt;=30, "Super Senior", TRUE, "Expert")</f>
        <v>Junior</v>
      </c>
      <c r="K346" s="7">
        <v>50</v>
      </c>
      <c r="L346" s="7">
        <f>Table1[[#This Row],[Hourly Rate]]*1000</f>
        <v>50000</v>
      </c>
      <c r="M346" s="7" t="str">
        <f t="shared" si="5"/>
        <v>Standard</v>
      </c>
      <c r="N346" s="2">
        <f>IF(ISNUMBER(#REF!),#REF!, _xlfn.IFS( I346&gt;=30, 5, I346&gt;=25, 4.8, I346&gt;=15, 4, I346&gt;=10, 3.8, I346&gt;=5, 3, I346&gt;=2, 2.5, I346&gt;=0, 1.8, TRUE, 1.3))</f>
        <v>1.8</v>
      </c>
      <c r="O346" s="2" t="s">
        <v>2052</v>
      </c>
      <c r="P346" s="10">
        <v>0.72</v>
      </c>
      <c r="Q346" s="10" t="str">
        <f>_xlfn.IFS(Table1[[#This Row],[Rating]]&gt;=4, "Top Performer", Table1[[#This Row],[Rating]]&gt;=3, "Average", TRUE, "Needs Imporovement")</f>
        <v>Needs Imporovement</v>
      </c>
    </row>
    <row r="347" spans="1:17" x14ac:dyDescent="0.3">
      <c r="A347" s="2" t="s">
        <v>738</v>
      </c>
      <c r="B347" s="2" t="s">
        <v>739</v>
      </c>
      <c r="C347" s="2" t="s">
        <v>49</v>
      </c>
      <c r="D347" s="2">
        <v>45</v>
      </c>
      <c r="E347" s="2" t="str">
        <f>_xlfn.IFS(Table1[[#This Row],[Age]]&lt;30, "18-29", D347&lt;=45,"30-45", D347&lt;=55, "46-55", TRUE, "55+")</f>
        <v>30-45</v>
      </c>
      <c r="F347" s="2" t="s">
        <v>37</v>
      </c>
      <c r="G347" s="2" t="s">
        <v>38</v>
      </c>
      <c r="H347" s="2" t="s">
        <v>17</v>
      </c>
      <c r="I347" s="5">
        <v>23</v>
      </c>
      <c r="J347" s="5" t="str">
        <f>_xlfn.IFS(Table1[[#This Row],[Experience(Years)]]&lt;5, "Junior", I347&lt;=12, "Mid-Level", I347&lt;=20, "Senior", I347&lt;=30, "Super Senior", TRUE, "Expert")</f>
        <v>Super Senior</v>
      </c>
      <c r="K347" s="7">
        <v>50</v>
      </c>
      <c r="L347" s="7">
        <f>Table1[[#This Row],[Hourly Rate]]*1000</f>
        <v>50000</v>
      </c>
      <c r="M347" s="7" t="str">
        <f t="shared" si="5"/>
        <v>Standard</v>
      </c>
      <c r="N347" s="2">
        <f>IF(ISNUMBER(#REF!),#REF!, _xlfn.IFS( I347&gt;=30, 5, I347&gt;=25, 4.8, I347&gt;=15, 4, I347&gt;=10, 3.8, I347&gt;=5, 3, I347&gt;=2, 2.5, I347&gt;=0, 1.8, TRUE, 1.3))</f>
        <v>4</v>
      </c>
      <c r="O347" s="2" t="s">
        <v>2052</v>
      </c>
      <c r="P347" s="10">
        <v>0.66</v>
      </c>
      <c r="Q347" s="10" t="str">
        <f>_xlfn.IFS(Table1[[#This Row],[Rating]]&gt;=4, "Top Performer", Table1[[#This Row],[Rating]]&gt;=3, "Average", TRUE, "Needs Imporovement")</f>
        <v>Top Performer</v>
      </c>
    </row>
    <row r="348" spans="1:17" x14ac:dyDescent="0.3">
      <c r="A348" s="2" t="s">
        <v>740</v>
      </c>
      <c r="B348" s="2" t="s">
        <v>741</v>
      </c>
      <c r="C348" s="2" t="s">
        <v>68</v>
      </c>
      <c r="D348" s="2">
        <v>36</v>
      </c>
      <c r="E348" s="2" t="str">
        <f>_xlfn.IFS(Table1[[#This Row],[Age]]&lt;30, "18-29", D348&lt;=45,"30-45", D348&lt;=55, "46-55", TRUE, "55+")</f>
        <v>30-45</v>
      </c>
      <c r="F348" s="2" t="s">
        <v>103</v>
      </c>
      <c r="G348" s="2" t="s">
        <v>104</v>
      </c>
      <c r="H348" s="2" t="s">
        <v>29</v>
      </c>
      <c r="I348" s="5">
        <v>13</v>
      </c>
      <c r="J348" s="5" t="str">
        <f>_xlfn.IFS(Table1[[#This Row],[Experience(Years)]]&lt;5, "Junior", I348&lt;=12, "Mid-Level", I348&lt;=20, "Senior", I348&lt;=30, "Super Senior", TRUE, "Expert")</f>
        <v>Senior</v>
      </c>
      <c r="K348" s="7">
        <v>40</v>
      </c>
      <c r="L348" s="7">
        <f>Table1[[#This Row],[Hourly Rate]]*1000</f>
        <v>40000</v>
      </c>
      <c r="M348" s="7" t="str">
        <f t="shared" si="5"/>
        <v>Standard</v>
      </c>
      <c r="N348" s="2">
        <f>IF(ISNUMBER(#REF!),#REF!, _xlfn.IFS( I348&gt;=30, 5, I348&gt;=25, 4.8, I348&gt;=15, 4, I348&gt;=10, 3.8, I348&gt;=5, 3, I348&gt;=2, 2.5, I348&gt;=0, 1.8, TRUE, 1.3))</f>
        <v>3.8</v>
      </c>
      <c r="O348" s="2" t="s">
        <v>2052</v>
      </c>
      <c r="P348" s="10">
        <v>0.78</v>
      </c>
      <c r="Q348" s="10" t="str">
        <f>_xlfn.IFS(Table1[[#This Row],[Rating]]&gt;=4, "Top Performer", Table1[[#This Row],[Rating]]&gt;=3, "Average", TRUE, "Needs Imporovement")</f>
        <v>Average</v>
      </c>
    </row>
    <row r="349" spans="1:17" x14ac:dyDescent="0.3">
      <c r="A349" s="2" t="s">
        <v>742</v>
      </c>
      <c r="B349" s="2" t="s">
        <v>743</v>
      </c>
      <c r="C349" s="2" t="s">
        <v>68</v>
      </c>
      <c r="D349" s="2">
        <v>23</v>
      </c>
      <c r="E349" s="2" t="str">
        <f>_xlfn.IFS(Table1[[#This Row],[Age]]&lt;30, "18-29", D349&lt;=45,"30-45", D349&lt;=55, "46-55", TRUE, "55+")</f>
        <v>18-29</v>
      </c>
      <c r="F349" s="2" t="s">
        <v>7</v>
      </c>
      <c r="G349" s="2" t="s">
        <v>8</v>
      </c>
      <c r="H349" s="2" t="s">
        <v>61</v>
      </c>
      <c r="I349" s="5">
        <v>1</v>
      </c>
      <c r="J349" s="5" t="str">
        <f>_xlfn.IFS(Table1[[#This Row],[Experience(Years)]]&lt;5, "Junior", I349&lt;=12, "Mid-Level", I349&lt;=20, "Senior", I349&lt;=30, "Super Senior", TRUE, "Expert")</f>
        <v>Junior</v>
      </c>
      <c r="K349" s="7">
        <v>20</v>
      </c>
      <c r="L349" s="7">
        <f>Table1[[#This Row],[Hourly Rate]]*1000</f>
        <v>20000</v>
      </c>
      <c r="M349" s="7" t="str">
        <f t="shared" si="5"/>
        <v>Budget</v>
      </c>
      <c r="N349" s="2">
        <f>IF(ISNUMBER(#REF!),#REF!, _xlfn.IFS( I349&gt;=30, 5, I349&gt;=25, 4.8, I349&gt;=15, 4, I349&gt;=10, 3.8, I349&gt;=5, 3, I349&gt;=2, 2.5, I349&gt;=0, 1.8, TRUE, 1.3))</f>
        <v>1.8</v>
      </c>
      <c r="O349" s="2" t="s">
        <v>2053</v>
      </c>
      <c r="P349" s="10">
        <v>1</v>
      </c>
      <c r="Q349" s="10" t="str">
        <f>_xlfn.IFS(Table1[[#This Row],[Rating]]&gt;=4, "Top Performer", Table1[[#This Row],[Rating]]&gt;=3, "Average", TRUE, "Needs Imporovement")</f>
        <v>Needs Imporovement</v>
      </c>
    </row>
    <row r="350" spans="1:17" x14ac:dyDescent="0.3">
      <c r="A350" s="2" t="s">
        <v>744</v>
      </c>
      <c r="B350" s="2" t="s">
        <v>745</v>
      </c>
      <c r="C350" s="2" t="s">
        <v>68</v>
      </c>
      <c r="D350" s="2">
        <v>55</v>
      </c>
      <c r="E350" s="2" t="str">
        <f>_xlfn.IFS(Table1[[#This Row],[Age]]&lt;30, "18-29", D350&lt;=45,"30-45", D350&lt;=55, "46-55", TRUE, "55+")</f>
        <v>46-55</v>
      </c>
      <c r="F350" s="2" t="s">
        <v>2</v>
      </c>
      <c r="G350" s="2" t="s">
        <v>3</v>
      </c>
      <c r="H350" s="2" t="s">
        <v>61</v>
      </c>
      <c r="I350" s="5">
        <v>15</v>
      </c>
      <c r="J350" s="5" t="str">
        <f>_xlfn.IFS(Table1[[#This Row],[Experience(Years)]]&lt;5, "Junior", I350&lt;=12, "Mid-Level", I350&lt;=20, "Senior", I350&lt;=30, "Super Senior", TRUE, "Expert")</f>
        <v>Senior</v>
      </c>
      <c r="K350" s="7">
        <v>40</v>
      </c>
      <c r="L350" s="7">
        <f>Table1[[#This Row],[Hourly Rate]]*1000</f>
        <v>40000</v>
      </c>
      <c r="M350" s="7" t="str">
        <f t="shared" si="5"/>
        <v>Standard</v>
      </c>
      <c r="N350" s="2">
        <f>IF(ISNUMBER(#REF!),#REF!, _xlfn.IFS( I350&gt;=30, 5, I350&gt;=25, 4.8, I350&gt;=15, 4, I350&gt;=10, 3.8, I350&gt;=5, 3, I350&gt;=2, 2.5, I350&gt;=0, 1.8, TRUE, 1.3))</f>
        <v>4</v>
      </c>
      <c r="O350" s="2" t="str">
        <f>IF(AND( Table1[[#This Row],[Rating]]&gt;=3.5, Table1[[#This Row],[Experience(Years)]]&gt;=15), "Active", "Inactive")</f>
        <v>Active</v>
      </c>
      <c r="P350" s="10">
        <v>0.85</v>
      </c>
      <c r="Q350" s="10" t="str">
        <f>_xlfn.IFS(Table1[[#This Row],[Rating]]&gt;=4, "Top Performer", Table1[[#This Row],[Rating]]&gt;=3, "Average", TRUE, "Needs Imporovement")</f>
        <v>Top Performer</v>
      </c>
    </row>
    <row r="351" spans="1:17" x14ac:dyDescent="0.3">
      <c r="A351" s="2" t="s">
        <v>746</v>
      </c>
      <c r="B351" s="2" t="s">
        <v>747</v>
      </c>
      <c r="C351" s="2" t="s">
        <v>49</v>
      </c>
      <c r="D351" s="2">
        <v>50</v>
      </c>
      <c r="E351" s="2" t="str">
        <f>_xlfn.IFS(Table1[[#This Row],[Age]]&lt;30, "18-29", D351&lt;=45,"30-45", D351&lt;=55, "46-55", TRUE, "55+")</f>
        <v>46-55</v>
      </c>
      <c r="F351" s="2" t="s">
        <v>77</v>
      </c>
      <c r="G351" s="2" t="s">
        <v>78</v>
      </c>
      <c r="H351" s="2" t="s">
        <v>9</v>
      </c>
      <c r="I351" s="5">
        <v>18</v>
      </c>
      <c r="J351" s="5" t="str">
        <f>_xlfn.IFS(Table1[[#This Row],[Experience(Years)]]&lt;5, "Junior", I351&lt;=12, "Mid-Level", I351&lt;=20, "Senior", I351&lt;=30, "Super Senior", TRUE, "Expert")</f>
        <v>Senior</v>
      </c>
      <c r="K351" s="7">
        <v>75</v>
      </c>
      <c r="L351" s="7">
        <f>Table1[[#This Row],[Hourly Rate]]*1000</f>
        <v>75000</v>
      </c>
      <c r="M351" s="7" t="str">
        <f t="shared" si="5"/>
        <v>Standard</v>
      </c>
      <c r="N351" s="2">
        <f>IF(ISNUMBER(#REF!),#REF!, _xlfn.IFS( I351&gt;=30, 5, I351&gt;=25, 4.8, I351&gt;=15, 4, I351&gt;=10, 3.8, I351&gt;=5, 3, I351&gt;=2, 2.5, I351&gt;=0, 1.8, TRUE, 1.3))</f>
        <v>4</v>
      </c>
      <c r="O351" s="2" t="s">
        <v>2052</v>
      </c>
      <c r="P351" s="10">
        <v>0.67</v>
      </c>
      <c r="Q351" s="10" t="str">
        <f>_xlfn.IFS(Table1[[#This Row],[Rating]]&gt;=4, "Top Performer", Table1[[#This Row],[Rating]]&gt;=3, "Average", TRUE, "Needs Imporovement")</f>
        <v>Top Performer</v>
      </c>
    </row>
    <row r="352" spans="1:17" x14ac:dyDescent="0.3">
      <c r="A352" s="2" t="s">
        <v>748</v>
      </c>
      <c r="B352" s="2" t="s">
        <v>749</v>
      </c>
      <c r="C352" s="2" t="s">
        <v>68</v>
      </c>
      <c r="D352" s="2">
        <v>48</v>
      </c>
      <c r="E352" s="2" t="str">
        <f>_xlfn.IFS(Table1[[#This Row],[Age]]&lt;30, "18-29", D352&lt;=45,"30-45", D352&lt;=55, "46-55", TRUE, "55+")</f>
        <v>46-55</v>
      </c>
      <c r="F352" s="2" t="s">
        <v>34</v>
      </c>
      <c r="G352" s="2" t="s">
        <v>8</v>
      </c>
      <c r="H352" s="2" t="s">
        <v>83</v>
      </c>
      <c r="I352" s="5">
        <v>21</v>
      </c>
      <c r="J352" s="5" t="str">
        <f>_xlfn.IFS(Table1[[#This Row],[Experience(Years)]]&lt;5, "Junior", I352&lt;=12, "Mid-Level", I352&lt;=20, "Senior", I352&lt;=30, "Super Senior", TRUE, "Expert")</f>
        <v>Super Senior</v>
      </c>
      <c r="K352" s="7">
        <v>50</v>
      </c>
      <c r="L352" s="7">
        <f>Table1[[#This Row],[Hourly Rate]]*1000</f>
        <v>50000</v>
      </c>
      <c r="M352" s="7" t="str">
        <f t="shared" si="5"/>
        <v>Standard</v>
      </c>
      <c r="N352" s="2">
        <f>IF(ISNUMBER(#REF!),#REF!, _xlfn.IFS( I352&gt;=30, 5, I352&gt;=25, 4.8, I352&gt;=15, 4, I352&gt;=10, 3.8, I352&gt;=5, 3, I352&gt;=2, 2.5, I352&gt;=0, 1.8, TRUE, 1.3))</f>
        <v>4</v>
      </c>
      <c r="O352" s="2" t="s">
        <v>2052</v>
      </c>
      <c r="P352" s="10">
        <v>0.78</v>
      </c>
      <c r="Q352" s="10" t="str">
        <f>_xlfn.IFS(Table1[[#This Row],[Rating]]&gt;=4, "Top Performer", Table1[[#This Row],[Rating]]&gt;=3, "Average", TRUE, "Needs Imporovement")</f>
        <v>Top Performer</v>
      </c>
    </row>
    <row r="353" spans="1:17" x14ac:dyDescent="0.3">
      <c r="A353" s="2" t="s">
        <v>750</v>
      </c>
      <c r="B353" s="2" t="s">
        <v>751</v>
      </c>
      <c r="C353" s="2" t="s">
        <v>68</v>
      </c>
      <c r="D353" s="2">
        <v>23</v>
      </c>
      <c r="E353" s="2" t="str">
        <f>_xlfn.IFS(Table1[[#This Row],[Age]]&lt;30, "18-29", D353&lt;=45,"30-45", D353&lt;=55, "46-55", TRUE, "55+")</f>
        <v>18-29</v>
      </c>
      <c r="F353" s="2" t="s">
        <v>22</v>
      </c>
      <c r="G353" s="2" t="s">
        <v>23</v>
      </c>
      <c r="H353" s="2" t="s">
        <v>61</v>
      </c>
      <c r="I353" s="5">
        <v>1</v>
      </c>
      <c r="J353" s="5" t="str">
        <f>_xlfn.IFS(Table1[[#This Row],[Experience(Years)]]&lt;5, "Junior", I353&lt;=12, "Mid-Level", I353&lt;=20, "Senior", I353&lt;=30, "Super Senior", TRUE, "Expert")</f>
        <v>Junior</v>
      </c>
      <c r="K353" s="7">
        <v>40</v>
      </c>
      <c r="L353" s="7">
        <f>Table1[[#This Row],[Hourly Rate]]*1000</f>
        <v>40000</v>
      </c>
      <c r="M353" s="7" t="str">
        <f t="shared" si="5"/>
        <v>Standard</v>
      </c>
      <c r="N353" s="2">
        <f>IF(ISNUMBER(#REF!),#REF!, _xlfn.IFS( I353&gt;=30, 5, I353&gt;=25, 4.8, I353&gt;=15, 4, I353&gt;=10, 3.8, I353&gt;=5, 3, I353&gt;=2, 2.5, I353&gt;=0, 1.8, TRUE, 1.3))</f>
        <v>1.8</v>
      </c>
      <c r="O353" s="2" t="s">
        <v>2053</v>
      </c>
      <c r="P353" s="10">
        <v>0.78</v>
      </c>
      <c r="Q353" s="10" t="str">
        <f>_xlfn.IFS(Table1[[#This Row],[Rating]]&gt;=4, "Top Performer", Table1[[#This Row],[Rating]]&gt;=3, "Average", TRUE, "Needs Imporovement")</f>
        <v>Needs Imporovement</v>
      </c>
    </row>
    <row r="354" spans="1:17" x14ac:dyDescent="0.3">
      <c r="A354" s="2" t="s">
        <v>752</v>
      </c>
      <c r="B354" s="2" t="s">
        <v>753</v>
      </c>
      <c r="C354" s="2" t="s">
        <v>49</v>
      </c>
      <c r="D354" s="2">
        <v>49</v>
      </c>
      <c r="E354" s="2" t="str">
        <f>_xlfn.IFS(Table1[[#This Row],[Age]]&lt;30, "18-29", D354&lt;=45,"30-45", D354&lt;=55, "46-55", TRUE, "55+")</f>
        <v>46-55</v>
      </c>
      <c r="F354" s="2" t="s">
        <v>96</v>
      </c>
      <c r="G354" s="2" t="s">
        <v>8</v>
      </c>
      <c r="H354" s="2" t="s">
        <v>17</v>
      </c>
      <c r="I354" s="5">
        <v>25</v>
      </c>
      <c r="J354" s="5" t="str">
        <f>_xlfn.IFS(Table1[[#This Row],[Experience(Years)]]&lt;5, "Junior", I354&lt;=12, "Mid-Level", I354&lt;=20, "Senior", I354&lt;=30, "Super Senior", TRUE, "Expert")</f>
        <v>Super Senior</v>
      </c>
      <c r="K354" s="7">
        <v>30</v>
      </c>
      <c r="L354" s="7">
        <f>Table1[[#This Row],[Hourly Rate]]*1000</f>
        <v>30000</v>
      </c>
      <c r="M354" s="7" t="str">
        <f t="shared" si="5"/>
        <v>Budget</v>
      </c>
      <c r="N354" s="2">
        <f>IF(ISNUMBER(#REF!),#REF!, _xlfn.IFS( I354&gt;=30, 5, I354&gt;=25, 4.8, I354&gt;=15, 4, I354&gt;=10, 3.8, I354&gt;=5, 3, I354&gt;=2, 2.5, I354&gt;=0, 1.8, TRUE, 1.3))</f>
        <v>4.8</v>
      </c>
      <c r="O354" s="2" t="s">
        <v>2052</v>
      </c>
      <c r="P354" s="10">
        <v>0.75</v>
      </c>
      <c r="Q354" s="10" t="str">
        <f>_xlfn.IFS(Table1[[#This Row],[Rating]]&gt;=4, "Top Performer", Table1[[#This Row],[Rating]]&gt;=3, "Average", TRUE, "Needs Imporovement")</f>
        <v>Top Performer</v>
      </c>
    </row>
    <row r="355" spans="1:17" x14ac:dyDescent="0.3">
      <c r="A355" s="2" t="s">
        <v>754</v>
      </c>
      <c r="B355" s="2" t="s">
        <v>755</v>
      </c>
      <c r="C355" s="2" t="s">
        <v>49</v>
      </c>
      <c r="D355" s="2">
        <v>47</v>
      </c>
      <c r="E355" s="2" t="str">
        <f>_xlfn.IFS(Table1[[#This Row],[Age]]&lt;30, "18-29", D355&lt;=45,"30-45", D355&lt;=55, "46-55", TRUE, "55+")</f>
        <v>46-55</v>
      </c>
      <c r="F355" s="2" t="s">
        <v>2</v>
      </c>
      <c r="G355" s="2" t="s">
        <v>3</v>
      </c>
      <c r="H355" s="2" t="s">
        <v>50</v>
      </c>
      <c r="I355" s="5">
        <v>12</v>
      </c>
      <c r="J355" s="5" t="str">
        <f>_xlfn.IFS(Table1[[#This Row],[Experience(Years)]]&lt;5, "Junior", I355&lt;=12, "Mid-Level", I355&lt;=20, "Senior", I355&lt;=30, "Super Senior", TRUE, "Expert")</f>
        <v>Mid-Level</v>
      </c>
      <c r="K355" s="7">
        <v>50</v>
      </c>
      <c r="L355" s="7">
        <f>Table1[[#This Row],[Hourly Rate]]*1000</f>
        <v>50000</v>
      </c>
      <c r="M355" s="7" t="str">
        <f t="shared" si="5"/>
        <v>Standard</v>
      </c>
      <c r="N355" s="2">
        <f>IF(ISNUMBER(#REF!),#REF!, _xlfn.IFS( I355&gt;=30, 5, I355&gt;=25, 4.8, I355&gt;=15, 4, I355&gt;=10, 3.8, I355&gt;=5, 3, I355&gt;=2, 2.5, I355&gt;=0, 1.8, TRUE, 1.3))</f>
        <v>3.8</v>
      </c>
      <c r="O355" s="2" t="s">
        <v>2053</v>
      </c>
      <c r="P355" s="10">
        <v>0.67</v>
      </c>
      <c r="Q355" s="10" t="str">
        <f>_xlfn.IFS(Table1[[#This Row],[Rating]]&gt;=4, "Top Performer", Table1[[#This Row],[Rating]]&gt;=3, "Average", TRUE, "Needs Imporovement")</f>
        <v>Average</v>
      </c>
    </row>
    <row r="356" spans="1:17" x14ac:dyDescent="0.3">
      <c r="A356" s="2" t="s">
        <v>756</v>
      </c>
      <c r="B356" s="2" t="s">
        <v>757</v>
      </c>
      <c r="C356" s="2" t="s">
        <v>49</v>
      </c>
      <c r="D356" s="2">
        <v>56</v>
      </c>
      <c r="E356" s="2" t="str">
        <f>_xlfn.IFS(Table1[[#This Row],[Age]]&lt;30, "18-29", D356&lt;=45,"30-45", D356&lt;=55, "46-55", TRUE, "55+")</f>
        <v>55+</v>
      </c>
      <c r="F356" s="2" t="s">
        <v>57</v>
      </c>
      <c r="G356" s="2" t="s">
        <v>58</v>
      </c>
      <c r="H356" s="2" t="s">
        <v>14</v>
      </c>
      <c r="I356" s="5">
        <v>32</v>
      </c>
      <c r="J356" s="5" t="str">
        <f>_xlfn.IFS(Table1[[#This Row],[Experience(Years)]]&lt;5, "Junior", I356&lt;=12, "Mid-Level", I356&lt;=20, "Senior", I356&lt;=30, "Super Senior", TRUE, "Expert")</f>
        <v>Expert</v>
      </c>
      <c r="K356" s="7">
        <v>40</v>
      </c>
      <c r="L356" s="7">
        <f>Table1[[#This Row],[Hourly Rate]]*1000</f>
        <v>40000</v>
      </c>
      <c r="M356" s="7" t="str">
        <f t="shared" si="5"/>
        <v>Standard</v>
      </c>
      <c r="N356" s="2">
        <f>IF(ISNUMBER(#REF!),#REF!, _xlfn.IFS( I356&gt;=30, 5, I356&gt;=25, 4.8, I356&gt;=15, 4, I356&gt;=10, 3.8, I356&gt;=5, 3, I356&gt;=2, 2.5, I356&gt;=0, 1.8, TRUE, 1.3))</f>
        <v>5</v>
      </c>
      <c r="O356" s="2" t="s">
        <v>2053</v>
      </c>
      <c r="P356" s="10">
        <v>0.86</v>
      </c>
      <c r="Q356" s="10" t="str">
        <f>_xlfn.IFS(Table1[[#This Row],[Rating]]&gt;=4, "Top Performer", Table1[[#This Row],[Rating]]&gt;=3, "Average", TRUE, "Needs Imporovement")</f>
        <v>Top Performer</v>
      </c>
    </row>
    <row r="357" spans="1:17" x14ac:dyDescent="0.3">
      <c r="A357" s="2" t="s">
        <v>758</v>
      </c>
      <c r="B357" s="2" t="s">
        <v>759</v>
      </c>
      <c r="C357" s="2" t="s">
        <v>68</v>
      </c>
      <c r="D357" s="2">
        <v>58</v>
      </c>
      <c r="E357" s="2" t="str">
        <f>_xlfn.IFS(Table1[[#This Row],[Age]]&lt;30, "18-29", D357&lt;=45,"30-45", D357&lt;=55, "46-55", TRUE, "55+")</f>
        <v>55+</v>
      </c>
      <c r="F357" s="2" t="s">
        <v>44</v>
      </c>
      <c r="G357" s="2" t="s">
        <v>45</v>
      </c>
      <c r="H357" s="2" t="s">
        <v>46</v>
      </c>
      <c r="I357" s="5">
        <v>30</v>
      </c>
      <c r="J357" s="5" t="str">
        <f>_xlfn.IFS(Table1[[#This Row],[Experience(Years)]]&lt;5, "Junior", I357&lt;=12, "Mid-Level", I357&lt;=20, "Senior", I357&lt;=30, "Super Senior", TRUE, "Expert")</f>
        <v>Super Senior</v>
      </c>
      <c r="K357" s="7">
        <v>100</v>
      </c>
      <c r="L357" s="7">
        <f>Table1[[#This Row],[Hourly Rate]]*1000</f>
        <v>100000</v>
      </c>
      <c r="M357" s="7" t="str">
        <f t="shared" si="5"/>
        <v>Premium</v>
      </c>
      <c r="N357" s="2">
        <f>IF(ISNUMBER(#REF!),#REF!, _xlfn.IFS( I357&gt;=30, 5, I357&gt;=25, 4.8, I357&gt;=15, 4, I357&gt;=10, 3.8, I357&gt;=5, 3, I357&gt;=2, 2.5, I357&gt;=0, 1.8, TRUE, 1.3))</f>
        <v>5</v>
      </c>
      <c r="O357" s="2" t="s">
        <v>2052</v>
      </c>
      <c r="P357" s="10">
        <v>0.77</v>
      </c>
      <c r="Q357" s="10" t="str">
        <f>_xlfn.IFS(Table1[[#This Row],[Rating]]&gt;=4, "Top Performer", Table1[[#This Row],[Rating]]&gt;=3, "Average", TRUE, "Needs Imporovement")</f>
        <v>Top Performer</v>
      </c>
    </row>
    <row r="358" spans="1:17" x14ac:dyDescent="0.3">
      <c r="A358" s="2" t="s">
        <v>760</v>
      </c>
      <c r="B358" s="2" t="s">
        <v>761</v>
      </c>
      <c r="C358" s="2" t="s">
        <v>68</v>
      </c>
      <c r="D358" s="2">
        <v>32</v>
      </c>
      <c r="E358" s="2" t="str">
        <f>_xlfn.IFS(Table1[[#This Row],[Age]]&lt;30, "18-29", D358&lt;=45,"30-45", D358&lt;=55, "46-55", TRUE, "55+")</f>
        <v>30-45</v>
      </c>
      <c r="F358" s="2" t="s">
        <v>81</v>
      </c>
      <c r="G358" s="2" t="s">
        <v>82</v>
      </c>
      <c r="H358" s="2" t="s">
        <v>46</v>
      </c>
      <c r="I358" s="5">
        <v>10</v>
      </c>
      <c r="J358" s="5" t="str">
        <f>_xlfn.IFS(Table1[[#This Row],[Experience(Years)]]&lt;5, "Junior", I358&lt;=12, "Mid-Level", I358&lt;=20, "Senior", I358&lt;=30, "Super Senior", TRUE, "Expert")</f>
        <v>Mid-Level</v>
      </c>
      <c r="K358" s="7">
        <v>30</v>
      </c>
      <c r="L358" s="7">
        <f>Table1[[#This Row],[Hourly Rate]]*1000</f>
        <v>30000</v>
      </c>
      <c r="M358" s="7" t="str">
        <f t="shared" si="5"/>
        <v>Budget</v>
      </c>
      <c r="N358" s="2">
        <f>IF(ISNUMBER(#REF!),#REF!, _xlfn.IFS( I358&gt;=30, 5, I358&gt;=25, 4.8, I358&gt;=15, 4, I358&gt;=10, 3.8, I358&gt;=5, 3, I358&gt;=2, 2.5, I358&gt;=0, 1.8, TRUE, 1.3))</f>
        <v>3.8</v>
      </c>
      <c r="O358" s="2" t="s">
        <v>2052</v>
      </c>
      <c r="P358" s="10">
        <v>0.61</v>
      </c>
      <c r="Q358" s="10" t="str">
        <f>_xlfn.IFS(Table1[[#This Row],[Rating]]&gt;=4, "Top Performer", Table1[[#This Row],[Rating]]&gt;=3, "Average", TRUE, "Needs Imporovement")</f>
        <v>Average</v>
      </c>
    </row>
    <row r="359" spans="1:17" x14ac:dyDescent="0.3">
      <c r="A359" s="2" t="s">
        <v>762</v>
      </c>
      <c r="B359" s="2" t="s">
        <v>763</v>
      </c>
      <c r="C359" s="2" t="s">
        <v>49</v>
      </c>
      <c r="D359" s="2">
        <v>52</v>
      </c>
      <c r="E359" s="2" t="str">
        <f>_xlfn.IFS(Table1[[#This Row],[Age]]&lt;30, "18-29", D359&lt;=45,"30-45", D359&lt;=55, "46-55", TRUE, "55+")</f>
        <v>46-55</v>
      </c>
      <c r="F359" s="2" t="s">
        <v>64</v>
      </c>
      <c r="G359" s="2" t="s">
        <v>65</v>
      </c>
      <c r="H359" s="2" t="s">
        <v>46</v>
      </c>
      <c r="I359" s="5">
        <v>0</v>
      </c>
      <c r="J359" s="5" t="str">
        <f>_xlfn.IFS(Table1[[#This Row],[Experience(Years)]]&lt;5, "Junior", I359&lt;=12, "Mid-Level", I359&lt;=20, "Senior", I359&lt;=30, "Super Senior", TRUE, "Expert")</f>
        <v>Junior</v>
      </c>
      <c r="K359" s="7">
        <v>40</v>
      </c>
      <c r="L359" s="7">
        <f>Table1[[#This Row],[Hourly Rate]]*1000</f>
        <v>40000</v>
      </c>
      <c r="M359" s="7" t="str">
        <f t="shared" si="5"/>
        <v>Standard</v>
      </c>
      <c r="N359" s="2">
        <f>IF(ISNUMBER(#REF!),#REF!, _xlfn.IFS( I359&gt;=30, 5, I359&gt;=25, 4.8, I359&gt;=15, 4, I359&gt;=10, 3.8, I359&gt;=5, 3, I359&gt;=2, 2.5, I359&gt;=0, 1.8, TRUE, 1.3))</f>
        <v>1.8</v>
      </c>
      <c r="O359" s="2" t="s">
        <v>2052</v>
      </c>
      <c r="P359" s="10">
        <v>0.9</v>
      </c>
      <c r="Q359" s="10" t="str">
        <f>_xlfn.IFS(Table1[[#This Row],[Rating]]&gt;=4, "Top Performer", Table1[[#This Row],[Rating]]&gt;=3, "Average", TRUE, "Needs Imporovement")</f>
        <v>Needs Imporovement</v>
      </c>
    </row>
    <row r="360" spans="1:17" x14ac:dyDescent="0.3">
      <c r="A360" s="2" t="s">
        <v>764</v>
      </c>
      <c r="B360" s="2" t="s">
        <v>765</v>
      </c>
      <c r="C360" s="2" t="s">
        <v>49</v>
      </c>
      <c r="D360" s="2">
        <v>22</v>
      </c>
      <c r="E360" s="2" t="str">
        <f>_xlfn.IFS(Table1[[#This Row],[Age]]&lt;30, "18-29", D360&lt;=45,"30-45", D360&lt;=55, "46-55", TRUE, "55+")</f>
        <v>18-29</v>
      </c>
      <c r="F360" s="2" t="s">
        <v>141</v>
      </c>
      <c r="G360" s="2" t="s">
        <v>142</v>
      </c>
      <c r="H360" s="2" t="s">
        <v>29</v>
      </c>
      <c r="I360" s="5">
        <v>1</v>
      </c>
      <c r="J360" s="5" t="str">
        <f>_xlfn.IFS(Table1[[#This Row],[Experience(Years)]]&lt;5, "Junior", I360&lt;=12, "Mid-Level", I360&lt;=20, "Senior", I360&lt;=30, "Super Senior", TRUE, "Expert")</f>
        <v>Junior</v>
      </c>
      <c r="K360" s="7">
        <v>50</v>
      </c>
      <c r="L360" s="7">
        <f>Table1[[#This Row],[Hourly Rate]]*1000</f>
        <v>50000</v>
      </c>
      <c r="M360" s="7" t="str">
        <f t="shared" si="5"/>
        <v>Standard</v>
      </c>
      <c r="N360" s="2">
        <f>IF(ISNUMBER(#REF!),#REF!, _xlfn.IFS( I360&gt;=30, 5, I360&gt;=25, 4.8, I360&gt;=15, 4, I360&gt;=10, 3.8, I360&gt;=5, 3, I360&gt;=2, 2.5, I360&gt;=0, 1.8, TRUE, 1.3))</f>
        <v>1.8</v>
      </c>
      <c r="O360" s="2" t="str">
        <f>IF(AND( Table1[[#This Row],[Rating]]&gt;=3.5, Table1[[#This Row],[Experience(Years)]]&gt;=15), "Active", "Inactive")</f>
        <v>Inactive</v>
      </c>
      <c r="P360" s="10">
        <v>0.98</v>
      </c>
      <c r="Q360" s="10" t="str">
        <f>_xlfn.IFS(Table1[[#This Row],[Rating]]&gt;=4, "Top Performer", Table1[[#This Row],[Rating]]&gt;=3, "Average", TRUE, "Needs Imporovement")</f>
        <v>Needs Imporovement</v>
      </c>
    </row>
    <row r="361" spans="1:17" x14ac:dyDescent="0.3">
      <c r="A361" s="2" t="s">
        <v>766</v>
      </c>
      <c r="B361" s="2" t="s">
        <v>767</v>
      </c>
      <c r="C361" s="2" t="s">
        <v>68</v>
      </c>
      <c r="D361" s="2">
        <v>20</v>
      </c>
      <c r="E361" s="2" t="str">
        <f>_xlfn.IFS(Table1[[#This Row],[Age]]&lt;30, "18-29", D361&lt;=45,"30-45", D361&lt;=55, "46-55", TRUE, "55+")</f>
        <v>18-29</v>
      </c>
      <c r="F361" s="2" t="s">
        <v>64</v>
      </c>
      <c r="G361" s="2" t="s">
        <v>65</v>
      </c>
      <c r="H361" s="2" t="s">
        <v>50</v>
      </c>
      <c r="I361" s="5">
        <v>2</v>
      </c>
      <c r="J361" s="5" t="str">
        <f>_xlfn.IFS(Table1[[#This Row],[Experience(Years)]]&lt;5, "Junior", I361&lt;=12, "Mid-Level", I361&lt;=20, "Senior", I361&lt;=30, "Super Senior", TRUE, "Expert")</f>
        <v>Junior</v>
      </c>
      <c r="K361" s="7">
        <v>30</v>
      </c>
      <c r="L361" s="7">
        <f>Table1[[#This Row],[Hourly Rate]]*1000</f>
        <v>30000</v>
      </c>
      <c r="M361" s="7" t="str">
        <f t="shared" si="5"/>
        <v>Budget</v>
      </c>
      <c r="N361" s="2">
        <f>IF(ISNUMBER(#REF!),#REF!, _xlfn.IFS( I361&gt;=30, 5, I361&gt;=25, 4.8, I361&gt;=15, 4, I361&gt;=10, 3.8, I361&gt;=5, 3, I361&gt;=2, 2.5, I361&gt;=0, 1.8, TRUE, 1.3))</f>
        <v>2.5</v>
      </c>
      <c r="O361" s="2" t="s">
        <v>2053</v>
      </c>
      <c r="P361" s="10">
        <v>0.99</v>
      </c>
      <c r="Q361" s="10" t="str">
        <f>_xlfn.IFS(Table1[[#This Row],[Rating]]&gt;=4, "Top Performer", Table1[[#This Row],[Rating]]&gt;=3, "Average", TRUE, "Needs Imporovement")</f>
        <v>Needs Imporovement</v>
      </c>
    </row>
    <row r="362" spans="1:17" x14ac:dyDescent="0.3">
      <c r="A362" s="2" t="s">
        <v>768</v>
      </c>
      <c r="B362" s="2" t="s">
        <v>769</v>
      </c>
      <c r="C362" s="2" t="s">
        <v>68</v>
      </c>
      <c r="D362" s="2">
        <v>56</v>
      </c>
      <c r="E362" s="2" t="str">
        <f>_xlfn.IFS(Table1[[#This Row],[Age]]&lt;30, "18-29", D362&lt;=45,"30-45", D362&lt;=55, "46-55", TRUE, "55+")</f>
        <v>55+</v>
      </c>
      <c r="F362" s="2" t="s">
        <v>22</v>
      </c>
      <c r="G362" s="2" t="s">
        <v>23</v>
      </c>
      <c r="H362" s="2" t="s">
        <v>29</v>
      </c>
      <c r="I362" s="5">
        <v>9</v>
      </c>
      <c r="J362" s="5" t="str">
        <f>_xlfn.IFS(Table1[[#This Row],[Experience(Years)]]&lt;5, "Junior", I362&lt;=12, "Mid-Level", I362&lt;=20, "Senior", I362&lt;=30, "Super Senior", TRUE, "Expert")</f>
        <v>Mid-Level</v>
      </c>
      <c r="K362" s="7">
        <v>40</v>
      </c>
      <c r="L362" s="7">
        <f>Table1[[#This Row],[Hourly Rate]]*1000</f>
        <v>40000</v>
      </c>
      <c r="M362" s="7" t="str">
        <f t="shared" si="5"/>
        <v>Standard</v>
      </c>
      <c r="N362" s="2">
        <f>IF(ISNUMBER(#REF!),#REF!, _xlfn.IFS( I362&gt;=30, 5, I362&gt;=25, 4.8, I362&gt;=15, 4, I362&gt;=10, 3.8, I362&gt;=5, 3, I362&gt;=2, 2.5, I362&gt;=0, 1.8, TRUE, 1.3))</f>
        <v>3</v>
      </c>
      <c r="O362" s="2" t="s">
        <v>2052</v>
      </c>
      <c r="P362" s="10">
        <v>0.61</v>
      </c>
      <c r="Q362" s="10" t="str">
        <f>_xlfn.IFS(Table1[[#This Row],[Rating]]&gt;=4, "Top Performer", Table1[[#This Row],[Rating]]&gt;=3, "Average", TRUE, "Needs Imporovement")</f>
        <v>Average</v>
      </c>
    </row>
    <row r="363" spans="1:17" x14ac:dyDescent="0.3">
      <c r="A363" s="2" t="s">
        <v>770</v>
      </c>
      <c r="B363" s="2" t="s">
        <v>771</v>
      </c>
      <c r="C363" s="2" t="s">
        <v>68</v>
      </c>
      <c r="D363" s="2">
        <v>41</v>
      </c>
      <c r="E363" s="2" t="str">
        <f>_xlfn.IFS(Table1[[#This Row],[Age]]&lt;30, "18-29", D363&lt;=45,"30-45", D363&lt;=55, "46-55", TRUE, "55+")</f>
        <v>30-45</v>
      </c>
      <c r="F363" s="2" t="s">
        <v>57</v>
      </c>
      <c r="G363" s="2" t="s">
        <v>58</v>
      </c>
      <c r="H363" s="2" t="s">
        <v>29</v>
      </c>
      <c r="I363" s="5">
        <v>22</v>
      </c>
      <c r="J363" s="5" t="str">
        <f>_xlfn.IFS(Table1[[#This Row],[Experience(Years)]]&lt;5, "Junior", I363&lt;=12, "Mid-Level", I363&lt;=20, "Senior", I363&lt;=30, "Super Senior", TRUE, "Expert")</f>
        <v>Super Senior</v>
      </c>
      <c r="K363" s="7">
        <v>50</v>
      </c>
      <c r="L363" s="7">
        <f>Table1[[#This Row],[Hourly Rate]]*1000</f>
        <v>50000</v>
      </c>
      <c r="M363" s="7" t="str">
        <f t="shared" si="5"/>
        <v>Standard</v>
      </c>
      <c r="N363" s="2">
        <f>IF(ISNUMBER(#REF!),#REF!, _xlfn.IFS( I363&gt;=30, 5, I363&gt;=25, 4.8, I363&gt;=15, 4, I363&gt;=10, 3.8, I363&gt;=5, 3, I363&gt;=2, 2.5, I363&gt;=0, 1.8, TRUE, 1.3))</f>
        <v>4</v>
      </c>
      <c r="O363" s="2" t="s">
        <v>2053</v>
      </c>
      <c r="P363" s="10">
        <v>0.61</v>
      </c>
      <c r="Q363" s="10" t="str">
        <f>_xlfn.IFS(Table1[[#This Row],[Rating]]&gt;=4, "Top Performer", Table1[[#This Row],[Rating]]&gt;=3, "Average", TRUE, "Needs Imporovement")</f>
        <v>Top Performer</v>
      </c>
    </row>
    <row r="364" spans="1:17" x14ac:dyDescent="0.3">
      <c r="A364" s="2" t="s">
        <v>772</v>
      </c>
      <c r="B364" s="2" t="s">
        <v>773</v>
      </c>
      <c r="C364" s="2" t="s">
        <v>68</v>
      </c>
      <c r="D364" s="2">
        <v>25</v>
      </c>
      <c r="E364" s="2" t="str">
        <f>_xlfn.IFS(Table1[[#This Row],[Age]]&lt;30, "18-29", D364&lt;=45,"30-45", D364&lt;=55, "46-55", TRUE, "55+")</f>
        <v>18-29</v>
      </c>
      <c r="F364" s="2" t="s">
        <v>44</v>
      </c>
      <c r="G364" s="2" t="s">
        <v>45</v>
      </c>
      <c r="H364" s="2" t="s">
        <v>4</v>
      </c>
      <c r="I364" s="5">
        <v>5</v>
      </c>
      <c r="J364" s="5" t="str">
        <f>_xlfn.IFS(Table1[[#This Row],[Experience(Years)]]&lt;5, "Junior", I364&lt;=12, "Mid-Level", I364&lt;=20, "Senior", I364&lt;=30, "Super Senior", TRUE, "Expert")</f>
        <v>Mid-Level</v>
      </c>
      <c r="K364" s="7">
        <v>30</v>
      </c>
      <c r="L364" s="7">
        <f>Table1[[#This Row],[Hourly Rate]]*1000</f>
        <v>30000</v>
      </c>
      <c r="M364" s="7" t="str">
        <f t="shared" si="5"/>
        <v>Budget</v>
      </c>
      <c r="N364" s="2">
        <f>IF(ISNUMBER(#REF!),#REF!, _xlfn.IFS( I364&gt;=30, 5, I364&gt;=25, 4.8, I364&gt;=15, 4, I364&gt;=10, 3.8, I364&gt;=5, 3, I364&gt;=2, 2.5, I364&gt;=0, 1.8, TRUE, 1.3))</f>
        <v>3</v>
      </c>
      <c r="O364" s="2" t="s">
        <v>2052</v>
      </c>
      <c r="P364" s="10">
        <v>0.91</v>
      </c>
      <c r="Q364" s="10" t="str">
        <f>_xlfn.IFS(Table1[[#This Row],[Rating]]&gt;=4, "Top Performer", Table1[[#This Row],[Rating]]&gt;=3, "Average", TRUE, "Needs Imporovement")</f>
        <v>Average</v>
      </c>
    </row>
    <row r="365" spans="1:17" x14ac:dyDescent="0.3">
      <c r="A365" s="2" t="s">
        <v>774</v>
      </c>
      <c r="B365" s="2" t="s">
        <v>775</v>
      </c>
      <c r="C365" s="2" t="s">
        <v>49</v>
      </c>
      <c r="D365" s="2">
        <v>44</v>
      </c>
      <c r="E365" s="2" t="str">
        <f>_xlfn.IFS(Table1[[#This Row],[Age]]&lt;30, "18-29", D365&lt;=45,"30-45", D365&lt;=55, "46-55", TRUE, "55+")</f>
        <v>30-45</v>
      </c>
      <c r="F365" s="2" t="s">
        <v>96</v>
      </c>
      <c r="G365" s="2" t="s">
        <v>8</v>
      </c>
      <c r="H365" s="2" t="s">
        <v>50</v>
      </c>
      <c r="I365" s="5">
        <v>6</v>
      </c>
      <c r="J365" s="5" t="str">
        <f>_xlfn.IFS(Table1[[#This Row],[Experience(Years)]]&lt;5, "Junior", I365&lt;=12, "Mid-Level", I365&lt;=20, "Senior", I365&lt;=30, "Super Senior", TRUE, "Expert")</f>
        <v>Mid-Level</v>
      </c>
      <c r="K365" s="7">
        <v>75</v>
      </c>
      <c r="L365" s="7">
        <f>Table1[[#This Row],[Hourly Rate]]*1000</f>
        <v>75000</v>
      </c>
      <c r="M365" s="7" t="str">
        <f t="shared" si="5"/>
        <v>Standard</v>
      </c>
      <c r="N365" s="2">
        <f>IF(ISNUMBER(#REF!),#REF!, _xlfn.IFS( I365&gt;=30, 5, I365&gt;=25, 4.8, I365&gt;=15, 4, I365&gt;=10, 3.8, I365&gt;=5, 3, I365&gt;=2, 2.5, I365&gt;=0, 1.8, TRUE, 1.3))</f>
        <v>3</v>
      </c>
      <c r="O365" s="2" t="s">
        <v>2053</v>
      </c>
      <c r="P365" s="10">
        <v>0.72</v>
      </c>
      <c r="Q365" s="10" t="str">
        <f>_xlfn.IFS(Table1[[#This Row],[Rating]]&gt;=4, "Top Performer", Table1[[#This Row],[Rating]]&gt;=3, "Average", TRUE, "Needs Imporovement")</f>
        <v>Average</v>
      </c>
    </row>
    <row r="366" spans="1:17" x14ac:dyDescent="0.3">
      <c r="A366" s="2" t="s">
        <v>776</v>
      </c>
      <c r="B366" s="2" t="s">
        <v>777</v>
      </c>
      <c r="C366" s="2" t="s">
        <v>49</v>
      </c>
      <c r="D366" s="2">
        <v>46</v>
      </c>
      <c r="E366" s="2" t="str">
        <f>_xlfn.IFS(Table1[[#This Row],[Age]]&lt;30, "18-29", D366&lt;=45,"30-45", D366&lt;=55, "46-55", TRUE, "55+")</f>
        <v>46-55</v>
      </c>
      <c r="F366" s="2" t="s">
        <v>7</v>
      </c>
      <c r="G366" s="2" t="s">
        <v>8</v>
      </c>
      <c r="H366" s="2" t="s">
        <v>17</v>
      </c>
      <c r="I366" s="5">
        <v>26</v>
      </c>
      <c r="J366" s="5" t="str">
        <f>_xlfn.IFS(Table1[[#This Row],[Experience(Years)]]&lt;5, "Junior", I366&lt;=12, "Mid-Level", I366&lt;=20, "Senior", I366&lt;=30, "Super Senior", TRUE, "Expert")</f>
        <v>Super Senior</v>
      </c>
      <c r="K366" s="7">
        <v>100</v>
      </c>
      <c r="L366" s="7">
        <f>Table1[[#This Row],[Hourly Rate]]*1000</f>
        <v>100000</v>
      </c>
      <c r="M366" s="7" t="str">
        <f t="shared" si="5"/>
        <v>Premium</v>
      </c>
      <c r="N366" s="2">
        <f>IF(ISNUMBER(#REF!),#REF!, _xlfn.IFS( I366&gt;=30, 5, I366&gt;=25, 4.8, I366&gt;=15, 4, I366&gt;=10, 3.8, I366&gt;=5, 3, I366&gt;=2, 2.5, I366&gt;=0, 1.8, TRUE, 1.3))</f>
        <v>4.8</v>
      </c>
      <c r="O366" s="2" t="str">
        <f>IF(AND( Table1[[#This Row],[Rating]]&gt;=3.5, Table1[[#This Row],[Experience(Years)]]&gt;=15), "Active", "Inactive")</f>
        <v>Active</v>
      </c>
      <c r="P366" s="10">
        <v>0.9</v>
      </c>
      <c r="Q366" s="10" t="str">
        <f>_xlfn.IFS(Table1[[#This Row],[Rating]]&gt;=4, "Top Performer", Table1[[#This Row],[Rating]]&gt;=3, "Average", TRUE, "Needs Imporovement")</f>
        <v>Top Performer</v>
      </c>
    </row>
    <row r="367" spans="1:17" x14ac:dyDescent="0.3">
      <c r="A367" s="2" t="s">
        <v>778</v>
      </c>
      <c r="B367" s="2" t="s">
        <v>779</v>
      </c>
      <c r="C367" s="2" t="s">
        <v>49</v>
      </c>
      <c r="D367" s="2">
        <v>40</v>
      </c>
      <c r="E367" s="2" t="str">
        <f>_xlfn.IFS(Table1[[#This Row],[Age]]&lt;30, "18-29", D367&lt;=45,"30-45", D367&lt;=55, "46-55", TRUE, "55+")</f>
        <v>30-45</v>
      </c>
      <c r="F367" s="2" t="s">
        <v>81</v>
      </c>
      <c r="G367" s="2" t="s">
        <v>82</v>
      </c>
      <c r="H367" s="2" t="s">
        <v>4</v>
      </c>
      <c r="I367" s="5">
        <v>2</v>
      </c>
      <c r="J367" s="5" t="str">
        <f>_xlfn.IFS(Table1[[#This Row],[Experience(Years)]]&lt;5, "Junior", I367&lt;=12, "Mid-Level", I367&lt;=20, "Senior", I367&lt;=30, "Super Senior", TRUE, "Expert")</f>
        <v>Junior</v>
      </c>
      <c r="K367" s="7">
        <v>40</v>
      </c>
      <c r="L367" s="7">
        <f>Table1[[#This Row],[Hourly Rate]]*1000</f>
        <v>40000</v>
      </c>
      <c r="M367" s="7" t="str">
        <f t="shared" si="5"/>
        <v>Standard</v>
      </c>
      <c r="N367" s="2">
        <f>IF(ISNUMBER(#REF!),#REF!, _xlfn.IFS( I367&gt;=30, 5, I367&gt;=25, 4.8, I367&gt;=15, 4, I367&gt;=10, 3.8, I367&gt;=5, 3, I367&gt;=2, 2.5, I367&gt;=0, 1.8, TRUE, 1.3))</f>
        <v>2.5</v>
      </c>
      <c r="O367" s="2" t="s">
        <v>2052</v>
      </c>
      <c r="P367" s="10">
        <v>0.96</v>
      </c>
      <c r="Q367" s="10" t="str">
        <f>_xlfn.IFS(Table1[[#This Row],[Rating]]&gt;=4, "Top Performer", Table1[[#This Row],[Rating]]&gt;=3, "Average", TRUE, "Needs Imporovement")</f>
        <v>Needs Imporovement</v>
      </c>
    </row>
    <row r="368" spans="1:17" x14ac:dyDescent="0.3">
      <c r="A368" s="2" t="s">
        <v>780</v>
      </c>
      <c r="B368" s="2" t="s">
        <v>781</v>
      </c>
      <c r="C368" s="2" t="s">
        <v>68</v>
      </c>
      <c r="D368" s="2">
        <v>31</v>
      </c>
      <c r="E368" s="2" t="str">
        <f>_xlfn.IFS(Table1[[#This Row],[Age]]&lt;30, "18-29", D368&lt;=45,"30-45", D368&lt;=55, "46-55", TRUE, "55+")</f>
        <v>30-45</v>
      </c>
      <c r="F368" s="2" t="s">
        <v>141</v>
      </c>
      <c r="G368" s="2" t="s">
        <v>142</v>
      </c>
      <c r="H368" s="2" t="s">
        <v>24</v>
      </c>
      <c r="I368" s="5">
        <v>9</v>
      </c>
      <c r="J368" s="5" t="str">
        <f>_xlfn.IFS(Table1[[#This Row],[Experience(Years)]]&lt;5, "Junior", I368&lt;=12, "Mid-Level", I368&lt;=20, "Senior", I368&lt;=30, "Super Senior", TRUE, "Expert")</f>
        <v>Mid-Level</v>
      </c>
      <c r="K368" s="7">
        <v>40</v>
      </c>
      <c r="L368" s="7">
        <f>Table1[[#This Row],[Hourly Rate]]*1000</f>
        <v>40000</v>
      </c>
      <c r="M368" s="7" t="str">
        <f t="shared" si="5"/>
        <v>Standard</v>
      </c>
      <c r="N368" s="2">
        <f>IF(ISNUMBER(#REF!),#REF!, _xlfn.IFS( I368&gt;=30, 5, I368&gt;=25, 4.8, I368&gt;=15, 4, I368&gt;=10, 3.8, I368&gt;=5, 3, I368&gt;=2, 2.5, I368&gt;=0, 1.8, TRUE, 1.3))</f>
        <v>3</v>
      </c>
      <c r="O368" s="2" t="s">
        <v>2053</v>
      </c>
      <c r="P368" s="10">
        <v>0.72</v>
      </c>
      <c r="Q368" s="10" t="str">
        <f>_xlfn.IFS(Table1[[#This Row],[Rating]]&gt;=4, "Top Performer", Table1[[#This Row],[Rating]]&gt;=3, "Average", TRUE, "Needs Imporovement")</f>
        <v>Average</v>
      </c>
    </row>
    <row r="369" spans="1:17" x14ac:dyDescent="0.3">
      <c r="A369" s="2" t="s">
        <v>782</v>
      </c>
      <c r="B369" s="2" t="s">
        <v>783</v>
      </c>
      <c r="C369" s="2" t="s">
        <v>68</v>
      </c>
      <c r="D369" s="2">
        <v>31</v>
      </c>
      <c r="E369" s="2" t="str">
        <f>_xlfn.IFS(Table1[[#This Row],[Age]]&lt;30, "18-29", D369&lt;=45,"30-45", D369&lt;=55, "46-55", TRUE, "55+")</f>
        <v>30-45</v>
      </c>
      <c r="F369" s="2" t="s">
        <v>57</v>
      </c>
      <c r="G369" s="2" t="s">
        <v>58</v>
      </c>
      <c r="H369" s="2" t="s">
        <v>29</v>
      </c>
      <c r="I369" s="5">
        <v>11</v>
      </c>
      <c r="J369" s="5" t="str">
        <f>_xlfn.IFS(Table1[[#This Row],[Experience(Years)]]&lt;5, "Junior", I369&lt;=12, "Mid-Level", I369&lt;=20, "Senior", I369&lt;=30, "Super Senior", TRUE, "Expert")</f>
        <v>Mid-Level</v>
      </c>
      <c r="K369" s="7">
        <v>60</v>
      </c>
      <c r="L369" s="7">
        <f>Table1[[#This Row],[Hourly Rate]]*1000</f>
        <v>60000</v>
      </c>
      <c r="M369" s="7" t="str">
        <f t="shared" si="5"/>
        <v>Standard</v>
      </c>
      <c r="N369" s="2">
        <f>IF(ISNUMBER(#REF!),#REF!, _xlfn.IFS( I369&gt;=30, 5, I369&gt;=25, 4.8, I369&gt;=15, 4, I369&gt;=10, 3.8, I369&gt;=5, 3, I369&gt;=2, 2.5, I369&gt;=0, 1.8, TRUE, 1.3))</f>
        <v>3.8</v>
      </c>
      <c r="O369" s="2" t="s">
        <v>2052</v>
      </c>
      <c r="P369" s="10">
        <v>0.75</v>
      </c>
      <c r="Q369" s="10" t="str">
        <f>_xlfn.IFS(Table1[[#This Row],[Rating]]&gt;=4, "Top Performer", Table1[[#This Row],[Rating]]&gt;=3, "Average", TRUE, "Needs Imporovement")</f>
        <v>Average</v>
      </c>
    </row>
    <row r="370" spans="1:17" x14ac:dyDescent="0.3">
      <c r="A370" s="2" t="s">
        <v>784</v>
      </c>
      <c r="B370" s="2" t="s">
        <v>785</v>
      </c>
      <c r="C370" s="2" t="s">
        <v>68</v>
      </c>
      <c r="D370" s="2">
        <v>33</v>
      </c>
      <c r="E370" s="2" t="str">
        <f>_xlfn.IFS(Table1[[#This Row],[Age]]&lt;30, "18-29", D370&lt;=45,"30-45", D370&lt;=55, "46-55", TRUE, "55+")</f>
        <v>30-45</v>
      </c>
      <c r="F370" s="2" t="s">
        <v>81</v>
      </c>
      <c r="G370" s="2" t="s">
        <v>82</v>
      </c>
      <c r="H370" s="2" t="s">
        <v>83</v>
      </c>
      <c r="I370" s="5">
        <v>9</v>
      </c>
      <c r="J370" s="5" t="str">
        <f>_xlfn.IFS(Table1[[#This Row],[Experience(Years)]]&lt;5, "Junior", I370&lt;=12, "Mid-Level", I370&lt;=20, "Senior", I370&lt;=30, "Super Senior", TRUE, "Expert")</f>
        <v>Mid-Level</v>
      </c>
      <c r="K370" s="7">
        <v>40</v>
      </c>
      <c r="L370" s="7">
        <f>Table1[[#This Row],[Hourly Rate]]*1000</f>
        <v>40000</v>
      </c>
      <c r="M370" s="7" t="str">
        <f t="shared" si="5"/>
        <v>Standard</v>
      </c>
      <c r="N370" s="2">
        <f>IF(ISNUMBER(#REF!),#REF!, _xlfn.IFS( I370&gt;=30, 5, I370&gt;=25, 4.8, I370&gt;=15, 4, I370&gt;=10, 3.8, I370&gt;=5, 3, I370&gt;=2, 2.5, I370&gt;=0, 1.8, TRUE, 1.3))</f>
        <v>3</v>
      </c>
      <c r="O370" s="2" t="s">
        <v>2053</v>
      </c>
      <c r="P370" s="10">
        <v>0.63</v>
      </c>
      <c r="Q370" s="10" t="str">
        <f>_xlfn.IFS(Table1[[#This Row],[Rating]]&gt;=4, "Top Performer", Table1[[#This Row],[Rating]]&gt;=3, "Average", TRUE, "Needs Imporovement")</f>
        <v>Average</v>
      </c>
    </row>
    <row r="371" spans="1:17" x14ac:dyDescent="0.3">
      <c r="A371" s="2" t="s">
        <v>786</v>
      </c>
      <c r="B371" s="2" t="s">
        <v>787</v>
      </c>
      <c r="C371" s="2" t="s">
        <v>49</v>
      </c>
      <c r="D371" s="2">
        <v>31</v>
      </c>
      <c r="E371" s="2" t="str">
        <f>_xlfn.IFS(Table1[[#This Row],[Age]]&lt;30, "18-29", D371&lt;=45,"30-45", D371&lt;=55, "46-55", TRUE, "55+")</f>
        <v>30-45</v>
      </c>
      <c r="F371" s="2" t="s">
        <v>77</v>
      </c>
      <c r="G371" s="2" t="s">
        <v>78</v>
      </c>
      <c r="H371" s="2" t="s">
        <v>83</v>
      </c>
      <c r="I371" s="5">
        <v>3</v>
      </c>
      <c r="J371" s="5" t="str">
        <f>_xlfn.IFS(Table1[[#This Row],[Experience(Years)]]&lt;5, "Junior", I371&lt;=12, "Mid-Level", I371&lt;=20, "Senior", I371&lt;=30, "Super Senior", TRUE, "Expert")</f>
        <v>Junior</v>
      </c>
      <c r="K371" s="7">
        <v>20</v>
      </c>
      <c r="L371" s="7">
        <f>Table1[[#This Row],[Hourly Rate]]*1000</f>
        <v>20000</v>
      </c>
      <c r="M371" s="7" t="str">
        <f t="shared" si="5"/>
        <v>Budget</v>
      </c>
      <c r="N371" s="2">
        <f>IF(ISNUMBER(#REF!),#REF!, _xlfn.IFS( I371&gt;=30, 5, I371&gt;=25, 4.8, I371&gt;=15, 4, I371&gt;=10, 3.8, I371&gt;=5, 3, I371&gt;=2, 2.5, I371&gt;=0, 1.8, TRUE, 1.3))</f>
        <v>2.5</v>
      </c>
      <c r="O371" s="2" t="s">
        <v>2052</v>
      </c>
      <c r="P371" s="10">
        <v>0.35</v>
      </c>
      <c r="Q371" s="10" t="str">
        <f>_xlfn.IFS(Table1[[#This Row],[Rating]]&gt;=4, "Top Performer", Table1[[#This Row],[Rating]]&gt;=3, "Average", TRUE, "Needs Imporovement")</f>
        <v>Needs Imporovement</v>
      </c>
    </row>
    <row r="372" spans="1:17" x14ac:dyDescent="0.3">
      <c r="A372" s="2" t="s">
        <v>788</v>
      </c>
      <c r="B372" s="2" t="s">
        <v>789</v>
      </c>
      <c r="C372" s="2" t="s">
        <v>49</v>
      </c>
      <c r="D372" s="2">
        <v>49</v>
      </c>
      <c r="E372" s="2" t="str">
        <f>_xlfn.IFS(Table1[[#This Row],[Age]]&lt;30, "18-29", D372&lt;=45,"30-45", D372&lt;=55, "46-55", TRUE, "55+")</f>
        <v>46-55</v>
      </c>
      <c r="F372" s="2" t="s">
        <v>2</v>
      </c>
      <c r="G372" s="2" t="s">
        <v>3</v>
      </c>
      <c r="H372" s="2" t="s">
        <v>29</v>
      </c>
      <c r="I372" s="5">
        <v>15</v>
      </c>
      <c r="J372" s="5" t="str">
        <f>_xlfn.IFS(Table1[[#This Row],[Experience(Years)]]&lt;5, "Junior", I372&lt;=12, "Mid-Level", I372&lt;=20, "Senior", I372&lt;=30, "Super Senior", TRUE, "Expert")</f>
        <v>Senior</v>
      </c>
      <c r="K372" s="7">
        <v>75</v>
      </c>
      <c r="L372" s="7">
        <f>Table1[[#This Row],[Hourly Rate]]*1000</f>
        <v>75000</v>
      </c>
      <c r="M372" s="7" t="str">
        <f t="shared" si="5"/>
        <v>Standard</v>
      </c>
      <c r="N372" s="2">
        <f>IF(ISNUMBER(#REF!),#REF!, _xlfn.IFS( I372&gt;=30, 5, I372&gt;=25, 4.8, I372&gt;=15, 4, I372&gt;=10, 3.8, I372&gt;=5, 3, I372&gt;=2, 2.5, I372&gt;=0, 1.8, TRUE, 1.3))</f>
        <v>4</v>
      </c>
      <c r="O372" s="2" t="s">
        <v>2052</v>
      </c>
      <c r="P372" s="10">
        <v>0.83</v>
      </c>
      <c r="Q372" s="10" t="str">
        <f>_xlfn.IFS(Table1[[#This Row],[Rating]]&gt;=4, "Top Performer", Table1[[#This Row],[Rating]]&gt;=3, "Average", TRUE, "Needs Imporovement")</f>
        <v>Top Performer</v>
      </c>
    </row>
    <row r="373" spans="1:17" x14ac:dyDescent="0.3">
      <c r="A373" s="2" t="s">
        <v>790</v>
      </c>
      <c r="B373" s="2" t="s">
        <v>791</v>
      </c>
      <c r="C373" s="2" t="s">
        <v>68</v>
      </c>
      <c r="D373" s="2">
        <v>35</v>
      </c>
      <c r="E373" s="2" t="str">
        <f>_xlfn.IFS(Table1[[#This Row],[Age]]&lt;30, "18-29", D373&lt;=45,"30-45", D373&lt;=55, "46-55", TRUE, "55+")</f>
        <v>30-45</v>
      </c>
      <c r="F373" s="2" t="s">
        <v>145</v>
      </c>
      <c r="G373" s="2" t="s">
        <v>45</v>
      </c>
      <c r="H373" s="2" t="s">
        <v>14</v>
      </c>
      <c r="I373" s="5">
        <v>12</v>
      </c>
      <c r="J373" s="5" t="str">
        <f>_xlfn.IFS(Table1[[#This Row],[Experience(Years)]]&lt;5, "Junior", I373&lt;=12, "Mid-Level", I373&lt;=20, "Senior", I373&lt;=30, "Super Senior", TRUE, "Expert")</f>
        <v>Mid-Level</v>
      </c>
      <c r="K373" s="7">
        <v>20</v>
      </c>
      <c r="L373" s="7">
        <f>Table1[[#This Row],[Hourly Rate]]*1000</f>
        <v>20000</v>
      </c>
      <c r="M373" s="7" t="str">
        <f t="shared" si="5"/>
        <v>Budget</v>
      </c>
      <c r="N373" s="2">
        <f>IF(ISNUMBER(#REF!),#REF!, _xlfn.IFS( I373&gt;=30, 5, I373&gt;=25, 4.8, I373&gt;=15, 4, I373&gt;=10, 3.8, I373&gt;=5, 3, I373&gt;=2, 2.5, I373&gt;=0, 1.8, TRUE, 1.3))</f>
        <v>3.8</v>
      </c>
      <c r="O373" s="2" t="str">
        <f>IF(AND( Table1[[#This Row],[Rating]]&gt;=3.5, Table1[[#This Row],[Experience(Years)]]&gt;=15), "Active", "Inactive")</f>
        <v>Inactive</v>
      </c>
      <c r="P373" s="10">
        <v>0.94</v>
      </c>
      <c r="Q373" s="10" t="str">
        <f>_xlfn.IFS(Table1[[#This Row],[Rating]]&gt;=4, "Top Performer", Table1[[#This Row],[Rating]]&gt;=3, "Average", TRUE, "Needs Imporovement")</f>
        <v>Average</v>
      </c>
    </row>
    <row r="374" spans="1:17" x14ac:dyDescent="0.3">
      <c r="A374" s="2" t="s">
        <v>792</v>
      </c>
      <c r="B374" s="2" t="s">
        <v>793</v>
      </c>
      <c r="C374" s="2" t="s">
        <v>68</v>
      </c>
      <c r="D374" s="2">
        <v>45</v>
      </c>
      <c r="E374" s="2" t="str">
        <f>_xlfn.IFS(Table1[[#This Row],[Age]]&lt;30, "18-29", D374&lt;=45,"30-45", D374&lt;=55, "46-55", TRUE, "55+")</f>
        <v>30-45</v>
      </c>
      <c r="F374" s="2" t="s">
        <v>64</v>
      </c>
      <c r="G374" s="2" t="s">
        <v>65</v>
      </c>
      <c r="H374" s="2" t="s">
        <v>29</v>
      </c>
      <c r="I374" s="5">
        <v>19</v>
      </c>
      <c r="J374" s="5" t="str">
        <f>_xlfn.IFS(Table1[[#This Row],[Experience(Years)]]&lt;5, "Junior", I374&lt;=12, "Mid-Level", I374&lt;=20, "Senior", I374&lt;=30, "Super Senior", TRUE, "Expert")</f>
        <v>Senior</v>
      </c>
      <c r="K374" s="7">
        <v>40</v>
      </c>
      <c r="L374" s="7">
        <f>Table1[[#This Row],[Hourly Rate]]*1000</f>
        <v>40000</v>
      </c>
      <c r="M374" s="7" t="str">
        <f t="shared" si="5"/>
        <v>Standard</v>
      </c>
      <c r="N374" s="2">
        <f>IF(ISNUMBER(#REF!),#REF!, _xlfn.IFS( I374&gt;=30, 5, I374&gt;=25, 4.8, I374&gt;=15, 4, I374&gt;=10, 3.8, I374&gt;=5, 3, I374&gt;=2, 2.5, I374&gt;=0, 1.8, TRUE, 1.3))</f>
        <v>4</v>
      </c>
      <c r="O374" s="2" t="s">
        <v>2053</v>
      </c>
      <c r="P374" s="10">
        <v>0.78</v>
      </c>
      <c r="Q374" s="10" t="str">
        <f>_xlfn.IFS(Table1[[#This Row],[Rating]]&gt;=4, "Top Performer", Table1[[#This Row],[Rating]]&gt;=3, "Average", TRUE, "Needs Imporovement")</f>
        <v>Top Performer</v>
      </c>
    </row>
    <row r="375" spans="1:17" x14ac:dyDescent="0.3">
      <c r="A375" s="2" t="s">
        <v>794</v>
      </c>
      <c r="B375" s="2" t="s">
        <v>795</v>
      </c>
      <c r="C375" s="2" t="s">
        <v>49</v>
      </c>
      <c r="D375" s="2">
        <v>39</v>
      </c>
      <c r="E375" s="2" t="str">
        <f>_xlfn.IFS(Table1[[#This Row],[Age]]&lt;30, "18-29", D375&lt;=45,"30-45", D375&lt;=55, "46-55", TRUE, "55+")</f>
        <v>30-45</v>
      </c>
      <c r="F375" s="2" t="s">
        <v>22</v>
      </c>
      <c r="G375" s="2" t="s">
        <v>23</v>
      </c>
      <c r="H375" s="2" t="s">
        <v>29</v>
      </c>
      <c r="I375" s="5">
        <v>13</v>
      </c>
      <c r="J375" s="5" t="str">
        <f>_xlfn.IFS(Table1[[#This Row],[Experience(Years)]]&lt;5, "Junior", I375&lt;=12, "Mid-Level", I375&lt;=20, "Senior", I375&lt;=30, "Super Senior", TRUE, "Expert")</f>
        <v>Senior</v>
      </c>
      <c r="K375" s="7">
        <v>30</v>
      </c>
      <c r="L375" s="7">
        <f>Table1[[#This Row],[Hourly Rate]]*1000</f>
        <v>30000</v>
      </c>
      <c r="M375" s="7" t="str">
        <f t="shared" si="5"/>
        <v>Budget</v>
      </c>
      <c r="N375" s="2">
        <f>IF(ISNUMBER(#REF!),#REF!, _xlfn.IFS( I375&gt;=30, 5, I375&gt;=25, 4.8, I375&gt;=15, 4, I375&gt;=10, 3.8, I375&gt;=5, 3, I375&gt;=2, 2.5, I375&gt;=0, 1.8, TRUE, 1.3))</f>
        <v>3.8</v>
      </c>
      <c r="O375" s="2" t="s">
        <v>2053</v>
      </c>
      <c r="P375" s="10">
        <v>0.75</v>
      </c>
      <c r="Q375" s="10" t="str">
        <f>_xlfn.IFS(Table1[[#This Row],[Rating]]&gt;=4, "Top Performer", Table1[[#This Row],[Rating]]&gt;=3, "Average", TRUE, "Needs Imporovement")</f>
        <v>Average</v>
      </c>
    </row>
    <row r="376" spans="1:17" x14ac:dyDescent="0.3">
      <c r="A376" s="2" t="s">
        <v>796</v>
      </c>
      <c r="B376" s="2" t="s">
        <v>797</v>
      </c>
      <c r="C376" s="2" t="s">
        <v>68</v>
      </c>
      <c r="D376" s="2">
        <v>24</v>
      </c>
      <c r="E376" s="2" t="str">
        <f>_xlfn.IFS(Table1[[#This Row],[Age]]&lt;30, "18-29", D376&lt;=45,"30-45", D376&lt;=55, "46-55", TRUE, "55+")</f>
        <v>18-29</v>
      </c>
      <c r="F376" s="2" t="s">
        <v>44</v>
      </c>
      <c r="G376" s="2" t="s">
        <v>45</v>
      </c>
      <c r="H376" s="2" t="s">
        <v>4</v>
      </c>
      <c r="I376" s="5">
        <v>1</v>
      </c>
      <c r="J376" s="5" t="str">
        <f>_xlfn.IFS(Table1[[#This Row],[Experience(Years)]]&lt;5, "Junior", I376&lt;=12, "Mid-Level", I376&lt;=20, "Senior", I376&lt;=30, "Super Senior", TRUE, "Expert")</f>
        <v>Junior</v>
      </c>
      <c r="K376" s="7">
        <v>50</v>
      </c>
      <c r="L376" s="7">
        <f>Table1[[#This Row],[Hourly Rate]]*1000</f>
        <v>50000</v>
      </c>
      <c r="M376" s="7" t="str">
        <f t="shared" si="5"/>
        <v>Standard</v>
      </c>
      <c r="N376" s="2">
        <f>IF(ISNUMBER(#REF!),#REF!, _xlfn.IFS( I376&gt;=30, 5, I376&gt;=25, 4.8, I376&gt;=15, 4, I376&gt;=10, 3.8, I376&gt;=5, 3, I376&gt;=2, 2.5, I376&gt;=0, 1.8, TRUE, 1.3))</f>
        <v>1.8</v>
      </c>
      <c r="O376" s="2" t="s">
        <v>2053</v>
      </c>
      <c r="P376" s="10">
        <v>0.82</v>
      </c>
      <c r="Q376" s="10" t="str">
        <f>_xlfn.IFS(Table1[[#This Row],[Rating]]&gt;=4, "Top Performer", Table1[[#This Row],[Rating]]&gt;=3, "Average", TRUE, "Needs Imporovement")</f>
        <v>Needs Imporovement</v>
      </c>
    </row>
    <row r="377" spans="1:17" x14ac:dyDescent="0.3">
      <c r="A377" s="2" t="s">
        <v>798</v>
      </c>
      <c r="B377" s="2" t="s">
        <v>799</v>
      </c>
      <c r="C377" s="2" t="s">
        <v>68</v>
      </c>
      <c r="D377" s="2">
        <v>24</v>
      </c>
      <c r="E377" s="2" t="str">
        <f>_xlfn.IFS(Table1[[#This Row],[Age]]&lt;30, "18-29", D377&lt;=45,"30-45", D377&lt;=55, "46-55", TRUE, "55+")</f>
        <v>18-29</v>
      </c>
      <c r="F377" s="2" t="s">
        <v>12</v>
      </c>
      <c r="G377" s="2" t="s">
        <v>13</v>
      </c>
      <c r="H377" s="2" t="s">
        <v>50</v>
      </c>
      <c r="I377" s="5">
        <v>3</v>
      </c>
      <c r="J377" s="5" t="str">
        <f>_xlfn.IFS(Table1[[#This Row],[Experience(Years)]]&lt;5, "Junior", I377&lt;=12, "Mid-Level", I377&lt;=20, "Senior", I377&lt;=30, "Super Senior", TRUE, "Expert")</f>
        <v>Junior</v>
      </c>
      <c r="K377" s="7">
        <v>30</v>
      </c>
      <c r="L377" s="7">
        <f>Table1[[#This Row],[Hourly Rate]]*1000</f>
        <v>30000</v>
      </c>
      <c r="M377" s="7" t="str">
        <f t="shared" si="5"/>
        <v>Budget</v>
      </c>
      <c r="N377" s="2">
        <f>IF(ISNUMBER(#REF!),#REF!, _xlfn.IFS( I377&gt;=30, 5, I377&gt;=25, 4.8, I377&gt;=15, 4, I377&gt;=10, 3.8, I377&gt;=5, 3, I377&gt;=2, 2.5, I377&gt;=0, 1.8, TRUE, 1.3))</f>
        <v>2.5</v>
      </c>
      <c r="O377" s="2" t="s">
        <v>2052</v>
      </c>
      <c r="P377" s="10">
        <v>0.66</v>
      </c>
      <c r="Q377" s="10" t="str">
        <f>_xlfn.IFS(Table1[[#This Row],[Rating]]&gt;=4, "Top Performer", Table1[[#This Row],[Rating]]&gt;=3, "Average", TRUE, "Needs Imporovement")</f>
        <v>Needs Imporovement</v>
      </c>
    </row>
    <row r="378" spans="1:17" x14ac:dyDescent="0.3">
      <c r="A378" s="2" t="s">
        <v>800</v>
      </c>
      <c r="B378" s="2" t="s">
        <v>801</v>
      </c>
      <c r="C378" s="2" t="s">
        <v>68</v>
      </c>
      <c r="D378" s="2">
        <v>50</v>
      </c>
      <c r="E378" s="2" t="str">
        <f>_xlfn.IFS(Table1[[#This Row],[Age]]&lt;30, "18-29", D378&lt;=45,"30-45", D378&lt;=55, "46-55", TRUE, "55+")</f>
        <v>46-55</v>
      </c>
      <c r="F378" s="2" t="s">
        <v>7</v>
      </c>
      <c r="G378" s="2" t="s">
        <v>8</v>
      </c>
      <c r="H378" s="2" t="s">
        <v>14</v>
      </c>
      <c r="I378" s="5">
        <v>26</v>
      </c>
      <c r="J378" s="5" t="str">
        <f>_xlfn.IFS(Table1[[#This Row],[Experience(Years)]]&lt;5, "Junior", I378&lt;=12, "Mid-Level", I378&lt;=20, "Senior", I378&lt;=30, "Super Senior", TRUE, "Expert")</f>
        <v>Super Senior</v>
      </c>
      <c r="K378" s="7">
        <v>100</v>
      </c>
      <c r="L378" s="7">
        <f>Table1[[#This Row],[Hourly Rate]]*1000</f>
        <v>100000</v>
      </c>
      <c r="M378" s="7" t="str">
        <f t="shared" si="5"/>
        <v>Premium</v>
      </c>
      <c r="N378" s="2">
        <f>IF(ISNUMBER(#REF!),#REF!, _xlfn.IFS( I378&gt;=30, 5, I378&gt;=25, 4.8, I378&gt;=15, 4, I378&gt;=10, 3.8, I378&gt;=5, 3, I378&gt;=2, 2.5, I378&gt;=0, 1.8, TRUE, 1.3))</f>
        <v>4.8</v>
      </c>
      <c r="O378" s="2" t="s">
        <v>2053</v>
      </c>
      <c r="P378" s="10">
        <v>0.82</v>
      </c>
      <c r="Q378" s="10" t="str">
        <f>_xlfn.IFS(Table1[[#This Row],[Rating]]&gt;=4, "Top Performer", Table1[[#This Row],[Rating]]&gt;=3, "Average", TRUE, "Needs Imporovement")</f>
        <v>Top Performer</v>
      </c>
    </row>
    <row r="379" spans="1:17" x14ac:dyDescent="0.3">
      <c r="A379" s="2" t="s">
        <v>802</v>
      </c>
      <c r="B379" s="2" t="s">
        <v>803</v>
      </c>
      <c r="C379" s="2" t="s">
        <v>49</v>
      </c>
      <c r="D379" s="2">
        <v>23</v>
      </c>
      <c r="E379" s="2" t="str">
        <f>_xlfn.IFS(Table1[[#This Row],[Age]]&lt;30, "18-29", D379&lt;=45,"30-45", D379&lt;=55, "46-55", TRUE, "55+")</f>
        <v>18-29</v>
      </c>
      <c r="F379" s="2" t="s">
        <v>12</v>
      </c>
      <c r="G379" s="2" t="s">
        <v>13</v>
      </c>
      <c r="H379" s="2" t="s">
        <v>83</v>
      </c>
      <c r="I379" s="5">
        <v>4</v>
      </c>
      <c r="J379" s="5" t="str">
        <f>_xlfn.IFS(Table1[[#This Row],[Experience(Years)]]&lt;5, "Junior", I379&lt;=12, "Mid-Level", I379&lt;=20, "Senior", I379&lt;=30, "Super Senior", TRUE, "Expert")</f>
        <v>Junior</v>
      </c>
      <c r="K379" s="7">
        <v>20</v>
      </c>
      <c r="L379" s="7">
        <f>Table1[[#This Row],[Hourly Rate]]*1000</f>
        <v>20000</v>
      </c>
      <c r="M379" s="7" t="str">
        <f t="shared" si="5"/>
        <v>Budget</v>
      </c>
      <c r="N379" s="2">
        <f>IF(ISNUMBER(#REF!),#REF!, _xlfn.IFS( I379&gt;=30, 5, I379&gt;=25, 4.8, I379&gt;=15, 4, I379&gt;=10, 3.8, I379&gt;=5, 3, I379&gt;=2, 2.5, I379&gt;=0, 1.8, TRUE, 1.3))</f>
        <v>2.5</v>
      </c>
      <c r="O379" s="2" t="s">
        <v>2053</v>
      </c>
      <c r="P379" s="10">
        <v>0.84</v>
      </c>
      <c r="Q379" s="10" t="str">
        <f>_xlfn.IFS(Table1[[#This Row],[Rating]]&gt;=4, "Top Performer", Table1[[#This Row],[Rating]]&gt;=3, "Average", TRUE, "Needs Imporovement")</f>
        <v>Needs Imporovement</v>
      </c>
    </row>
    <row r="380" spans="1:17" x14ac:dyDescent="0.3">
      <c r="A380" s="2" t="s">
        <v>804</v>
      </c>
      <c r="B380" s="2" t="s">
        <v>805</v>
      </c>
      <c r="C380" s="2" t="s">
        <v>68</v>
      </c>
      <c r="D380" s="2">
        <v>27</v>
      </c>
      <c r="E380" s="2" t="str">
        <f>_xlfn.IFS(Table1[[#This Row],[Age]]&lt;30, "18-29", D380&lt;=45,"30-45", D380&lt;=55, "46-55", TRUE, "55+")</f>
        <v>18-29</v>
      </c>
      <c r="F380" s="2" t="s">
        <v>96</v>
      </c>
      <c r="G380" s="2" t="s">
        <v>8</v>
      </c>
      <c r="H380" s="2" t="s">
        <v>50</v>
      </c>
      <c r="I380" s="5">
        <v>8</v>
      </c>
      <c r="J380" s="5" t="str">
        <f>_xlfn.IFS(Table1[[#This Row],[Experience(Years)]]&lt;5, "Junior", I380&lt;=12, "Mid-Level", I380&lt;=20, "Senior", I380&lt;=30, "Super Senior", TRUE, "Expert")</f>
        <v>Mid-Level</v>
      </c>
      <c r="K380" s="7">
        <v>20</v>
      </c>
      <c r="L380" s="7">
        <f>Table1[[#This Row],[Hourly Rate]]*1000</f>
        <v>20000</v>
      </c>
      <c r="M380" s="7" t="str">
        <f t="shared" si="5"/>
        <v>Budget</v>
      </c>
      <c r="N380" s="2">
        <f>IF(ISNUMBER(#REF!),#REF!, _xlfn.IFS( I380&gt;=30, 5, I380&gt;=25, 4.8, I380&gt;=15, 4, I380&gt;=10, 3.8, I380&gt;=5, 3, I380&gt;=2, 2.5, I380&gt;=0, 1.8, TRUE, 1.3))</f>
        <v>3</v>
      </c>
      <c r="O380" s="2" t="s">
        <v>2052</v>
      </c>
      <c r="P380" s="10">
        <v>0.81</v>
      </c>
      <c r="Q380" s="10" t="str">
        <f>_xlfn.IFS(Table1[[#This Row],[Rating]]&gt;=4, "Top Performer", Table1[[#This Row],[Rating]]&gt;=3, "Average", TRUE, "Needs Imporovement")</f>
        <v>Average</v>
      </c>
    </row>
    <row r="381" spans="1:17" x14ac:dyDescent="0.3">
      <c r="A381" s="2" t="s">
        <v>806</v>
      </c>
      <c r="B381" s="2" t="s">
        <v>807</v>
      </c>
      <c r="C381" s="2" t="s">
        <v>68</v>
      </c>
      <c r="D381" s="2">
        <v>58</v>
      </c>
      <c r="E381" s="2" t="str">
        <f>_xlfn.IFS(Table1[[#This Row],[Age]]&lt;30, "18-29", D381&lt;=45,"30-45", D381&lt;=55, "46-55", TRUE, "55+")</f>
        <v>55+</v>
      </c>
      <c r="F381" s="2" t="s">
        <v>121</v>
      </c>
      <c r="G381" s="2" t="s">
        <v>122</v>
      </c>
      <c r="H381" s="2" t="s">
        <v>24</v>
      </c>
      <c r="I381" s="5">
        <v>10</v>
      </c>
      <c r="J381" s="5" t="str">
        <f>_xlfn.IFS(Table1[[#This Row],[Experience(Years)]]&lt;5, "Junior", I381&lt;=12, "Mid-Level", I381&lt;=20, "Senior", I381&lt;=30, "Super Senior", TRUE, "Expert")</f>
        <v>Mid-Level</v>
      </c>
      <c r="K381" s="7">
        <v>75</v>
      </c>
      <c r="L381" s="7">
        <f>Table1[[#This Row],[Hourly Rate]]*1000</f>
        <v>75000</v>
      </c>
      <c r="M381" s="7" t="str">
        <f t="shared" si="5"/>
        <v>Standard</v>
      </c>
      <c r="N381" s="2">
        <f>IF(ISNUMBER(#REF!),#REF!, _xlfn.IFS( I381&gt;=30, 5, I381&gt;=25, 4.8, I381&gt;=15, 4, I381&gt;=10, 3.8, I381&gt;=5, 3, I381&gt;=2, 2.5, I381&gt;=0, 1.8, TRUE, 1.3))</f>
        <v>3.8</v>
      </c>
      <c r="O381" s="2" t="s">
        <v>2052</v>
      </c>
      <c r="P381" s="10">
        <v>0.71</v>
      </c>
      <c r="Q381" s="10" t="str">
        <f>_xlfn.IFS(Table1[[#This Row],[Rating]]&gt;=4, "Top Performer", Table1[[#This Row],[Rating]]&gt;=3, "Average", TRUE, "Needs Imporovement")</f>
        <v>Average</v>
      </c>
    </row>
    <row r="382" spans="1:17" x14ac:dyDescent="0.3">
      <c r="A382" s="2" t="s">
        <v>808</v>
      </c>
      <c r="B382" s="2" t="s">
        <v>809</v>
      </c>
      <c r="C382" s="2" t="s">
        <v>68</v>
      </c>
      <c r="D382" s="2">
        <v>37</v>
      </c>
      <c r="E382" s="2" t="str">
        <f>_xlfn.IFS(Table1[[#This Row],[Age]]&lt;30, "18-29", D382&lt;=45,"30-45", D382&lt;=55, "46-55", TRUE, "55+")</f>
        <v>30-45</v>
      </c>
      <c r="F382" s="2" t="s">
        <v>2</v>
      </c>
      <c r="G382" s="2" t="s">
        <v>3</v>
      </c>
      <c r="H382" s="2" t="s">
        <v>83</v>
      </c>
      <c r="I382" s="5">
        <v>5</v>
      </c>
      <c r="J382" s="5" t="str">
        <f>_xlfn.IFS(Table1[[#This Row],[Experience(Years)]]&lt;5, "Junior", I382&lt;=12, "Mid-Level", I382&lt;=20, "Senior", I382&lt;=30, "Super Senior", TRUE, "Expert")</f>
        <v>Mid-Level</v>
      </c>
      <c r="K382" s="7">
        <v>40</v>
      </c>
      <c r="L382" s="7">
        <f>Table1[[#This Row],[Hourly Rate]]*1000</f>
        <v>40000</v>
      </c>
      <c r="M382" s="7" t="str">
        <f t="shared" si="5"/>
        <v>Standard</v>
      </c>
      <c r="N382" s="2">
        <f>IF(ISNUMBER(#REF!),#REF!, _xlfn.IFS( I382&gt;=30, 5, I382&gt;=25, 4.8, I382&gt;=15, 4, I382&gt;=10, 3.8, I382&gt;=5, 3, I382&gt;=2, 2.5, I382&gt;=0, 1.8, TRUE, 1.3))</f>
        <v>3</v>
      </c>
      <c r="O382" s="2" t="s">
        <v>2053</v>
      </c>
      <c r="P382" s="10">
        <v>0.61</v>
      </c>
      <c r="Q382" s="10" t="str">
        <f>_xlfn.IFS(Table1[[#This Row],[Rating]]&gt;=4, "Top Performer", Table1[[#This Row],[Rating]]&gt;=3, "Average", TRUE, "Needs Imporovement")</f>
        <v>Average</v>
      </c>
    </row>
    <row r="383" spans="1:17" x14ac:dyDescent="0.3">
      <c r="A383" s="2" t="s">
        <v>810</v>
      </c>
      <c r="B383" s="2" t="s">
        <v>811</v>
      </c>
      <c r="C383" s="2" t="s">
        <v>68</v>
      </c>
      <c r="D383" s="2">
        <v>39</v>
      </c>
      <c r="E383" s="2" t="str">
        <f>_xlfn.IFS(Table1[[#This Row],[Age]]&lt;30, "18-29", D383&lt;=45,"30-45", D383&lt;=55, "46-55", TRUE, "55+")</f>
        <v>30-45</v>
      </c>
      <c r="F383" s="2" t="s">
        <v>156</v>
      </c>
      <c r="G383" s="2" t="s">
        <v>45</v>
      </c>
      <c r="H383" s="2" t="s">
        <v>4</v>
      </c>
      <c r="I383" s="5">
        <v>18</v>
      </c>
      <c r="J383" s="5" t="str">
        <f>_xlfn.IFS(Table1[[#This Row],[Experience(Years)]]&lt;5, "Junior", I383&lt;=12, "Mid-Level", I383&lt;=20, "Senior", I383&lt;=30, "Super Senior", TRUE, "Expert")</f>
        <v>Senior</v>
      </c>
      <c r="K383" s="7">
        <v>75</v>
      </c>
      <c r="L383" s="7">
        <f>Table1[[#This Row],[Hourly Rate]]*1000</f>
        <v>75000</v>
      </c>
      <c r="M383" s="7" t="str">
        <f t="shared" si="5"/>
        <v>Standard</v>
      </c>
      <c r="N383" s="2">
        <f>IF(ISNUMBER(#REF!),#REF!, _xlfn.IFS( I383&gt;=30, 5, I383&gt;=25, 4.8, I383&gt;=15, 4, I383&gt;=10, 3.8, I383&gt;=5, 3, I383&gt;=2, 2.5, I383&gt;=0, 1.8, TRUE, 1.3))</f>
        <v>4</v>
      </c>
      <c r="O383" s="2" t="s">
        <v>2053</v>
      </c>
      <c r="P383" s="10">
        <v>0.66</v>
      </c>
      <c r="Q383" s="10" t="str">
        <f>_xlfn.IFS(Table1[[#This Row],[Rating]]&gt;=4, "Top Performer", Table1[[#This Row],[Rating]]&gt;=3, "Average", TRUE, "Needs Imporovement")</f>
        <v>Top Performer</v>
      </c>
    </row>
    <row r="384" spans="1:17" x14ac:dyDescent="0.3">
      <c r="A384" s="2" t="s">
        <v>812</v>
      </c>
      <c r="B384" s="2" t="s">
        <v>813</v>
      </c>
      <c r="C384" s="2" t="s">
        <v>49</v>
      </c>
      <c r="D384" s="2">
        <v>46</v>
      </c>
      <c r="E384" s="2" t="str">
        <f>_xlfn.IFS(Table1[[#This Row],[Age]]&lt;30, "18-29", D384&lt;=45,"30-45", D384&lt;=55, "46-55", TRUE, "55+")</f>
        <v>46-55</v>
      </c>
      <c r="F384" s="2" t="s">
        <v>107</v>
      </c>
      <c r="G384" s="2" t="s">
        <v>108</v>
      </c>
      <c r="H384" s="2" t="s">
        <v>29</v>
      </c>
      <c r="I384" s="5">
        <v>10</v>
      </c>
      <c r="J384" s="5" t="str">
        <f>_xlfn.IFS(Table1[[#This Row],[Experience(Years)]]&lt;5, "Junior", I384&lt;=12, "Mid-Level", I384&lt;=20, "Senior", I384&lt;=30, "Super Senior", TRUE, "Expert")</f>
        <v>Mid-Level</v>
      </c>
      <c r="K384" s="7">
        <v>20</v>
      </c>
      <c r="L384" s="7">
        <f>Table1[[#This Row],[Hourly Rate]]*1000</f>
        <v>20000</v>
      </c>
      <c r="M384" s="7" t="str">
        <f t="shared" si="5"/>
        <v>Budget</v>
      </c>
      <c r="N384" s="2">
        <f>IF(ISNUMBER(#REF!),#REF!, _xlfn.IFS( I384&gt;=30, 5, I384&gt;=25, 4.8, I384&gt;=15, 4, I384&gt;=10, 3.8, I384&gt;=5, 3, I384&gt;=2, 2.5, I384&gt;=0, 1.8, TRUE, 1.3))</f>
        <v>3.8</v>
      </c>
      <c r="O384" s="2" t="s">
        <v>2053</v>
      </c>
      <c r="P384" s="10">
        <v>0.97</v>
      </c>
      <c r="Q384" s="10" t="str">
        <f>_xlfn.IFS(Table1[[#This Row],[Rating]]&gt;=4, "Top Performer", Table1[[#This Row],[Rating]]&gt;=3, "Average", TRUE, "Needs Imporovement")</f>
        <v>Average</v>
      </c>
    </row>
    <row r="385" spans="1:17" x14ac:dyDescent="0.3">
      <c r="A385" s="2" t="s">
        <v>814</v>
      </c>
      <c r="B385" s="2" t="s">
        <v>815</v>
      </c>
      <c r="C385" s="2" t="s">
        <v>49</v>
      </c>
      <c r="D385" s="2">
        <v>22</v>
      </c>
      <c r="E385" s="2" t="str">
        <f>_xlfn.IFS(Table1[[#This Row],[Age]]&lt;30, "18-29", D385&lt;=45,"30-45", D385&lt;=55, "46-55", TRUE, "55+")</f>
        <v>18-29</v>
      </c>
      <c r="F385" s="2" t="s">
        <v>41</v>
      </c>
      <c r="G385" s="2" t="s">
        <v>8</v>
      </c>
      <c r="H385" s="2" t="s">
        <v>46</v>
      </c>
      <c r="I385" s="5">
        <v>0</v>
      </c>
      <c r="J385" s="5" t="str">
        <f>_xlfn.IFS(Table1[[#This Row],[Experience(Years)]]&lt;5, "Junior", I385&lt;=12, "Mid-Level", I385&lt;=20, "Senior", I385&lt;=30, "Super Senior", TRUE, "Expert")</f>
        <v>Junior</v>
      </c>
      <c r="K385" s="7">
        <v>20</v>
      </c>
      <c r="L385" s="7">
        <f>Table1[[#This Row],[Hourly Rate]]*1000</f>
        <v>20000</v>
      </c>
      <c r="M385" s="7" t="str">
        <f t="shared" si="5"/>
        <v>Budget</v>
      </c>
      <c r="N385" s="2">
        <f>IF(ISNUMBER(#REF!),#REF!, _xlfn.IFS( I385&gt;=30, 5, I385&gt;=25, 4.8, I385&gt;=15, 4, I385&gt;=10, 3.8, I385&gt;=5, 3, I385&gt;=2, 2.5, I385&gt;=0, 1.8, TRUE, 1.3))</f>
        <v>1.8</v>
      </c>
      <c r="O385" s="2" t="s">
        <v>2052</v>
      </c>
      <c r="P385" s="10">
        <v>0.74</v>
      </c>
      <c r="Q385" s="10" t="str">
        <f>_xlfn.IFS(Table1[[#This Row],[Rating]]&gt;=4, "Top Performer", Table1[[#This Row],[Rating]]&gt;=3, "Average", TRUE, "Needs Imporovement")</f>
        <v>Needs Imporovement</v>
      </c>
    </row>
    <row r="386" spans="1:17" x14ac:dyDescent="0.3">
      <c r="A386" s="2" t="s">
        <v>816</v>
      </c>
      <c r="B386" s="2" t="s">
        <v>817</v>
      </c>
      <c r="C386" s="2" t="s">
        <v>49</v>
      </c>
      <c r="D386" s="2">
        <v>39</v>
      </c>
      <c r="E386" s="2" t="str">
        <f>_xlfn.IFS(Table1[[#This Row],[Age]]&lt;30, "18-29", D386&lt;=45,"30-45", D386&lt;=55, "46-55", TRUE, "55+")</f>
        <v>30-45</v>
      </c>
      <c r="F386" s="2" t="s">
        <v>145</v>
      </c>
      <c r="G386" s="2" t="s">
        <v>45</v>
      </c>
      <c r="H386" s="2" t="s">
        <v>4</v>
      </c>
      <c r="I386" s="5">
        <v>21</v>
      </c>
      <c r="J386" s="5" t="str">
        <f>_xlfn.IFS(Table1[[#This Row],[Experience(Years)]]&lt;5, "Junior", I386&lt;=12, "Mid-Level", I386&lt;=20, "Senior", I386&lt;=30, "Super Senior", TRUE, "Expert")</f>
        <v>Super Senior</v>
      </c>
      <c r="K386" s="7">
        <v>30</v>
      </c>
      <c r="L386" s="7">
        <f>Table1[[#This Row],[Hourly Rate]]*1000</f>
        <v>30000</v>
      </c>
      <c r="M386" s="7" t="str">
        <f t="shared" ref="M386:M449" si="6">_xlfn.IFS(K386&lt;40, "Budget", K386&lt;=80, "Standard", TRUE, "Premium")</f>
        <v>Budget</v>
      </c>
      <c r="N386" s="2">
        <f>IF(ISNUMBER(#REF!),#REF!, _xlfn.IFS( I386&gt;=30, 5, I386&gt;=25, 4.8, I386&gt;=15, 4, I386&gt;=10, 3.8, I386&gt;=5, 3, I386&gt;=2, 2.5, I386&gt;=0, 1.8, TRUE, 1.3))</f>
        <v>4</v>
      </c>
      <c r="O386" s="2" t="s">
        <v>2052</v>
      </c>
      <c r="P386" s="10">
        <v>0.61</v>
      </c>
      <c r="Q386" s="10" t="str">
        <f>_xlfn.IFS(Table1[[#This Row],[Rating]]&gt;=4, "Top Performer", Table1[[#This Row],[Rating]]&gt;=3, "Average", TRUE, "Needs Imporovement")</f>
        <v>Top Performer</v>
      </c>
    </row>
    <row r="387" spans="1:17" x14ac:dyDescent="0.3">
      <c r="A387" s="2" t="s">
        <v>818</v>
      </c>
      <c r="B387" s="2" t="s">
        <v>819</v>
      </c>
      <c r="C387" s="2" t="s">
        <v>68</v>
      </c>
      <c r="D387" s="2">
        <v>59</v>
      </c>
      <c r="E387" s="2" t="str">
        <f>_xlfn.IFS(Table1[[#This Row],[Age]]&lt;30, "18-29", D387&lt;=45,"30-45", D387&lt;=55, "46-55", TRUE, "55+")</f>
        <v>55+</v>
      </c>
      <c r="F387" s="2" t="s">
        <v>107</v>
      </c>
      <c r="G387" s="2" t="s">
        <v>108</v>
      </c>
      <c r="H387" s="2" t="s">
        <v>4</v>
      </c>
      <c r="I387" s="5">
        <v>25</v>
      </c>
      <c r="J387" s="5" t="str">
        <f>_xlfn.IFS(Table1[[#This Row],[Experience(Years)]]&lt;5, "Junior", I387&lt;=12, "Mid-Level", I387&lt;=20, "Senior", I387&lt;=30, "Super Senior", TRUE, "Expert")</f>
        <v>Super Senior</v>
      </c>
      <c r="K387" s="7">
        <v>20</v>
      </c>
      <c r="L387" s="7">
        <f>Table1[[#This Row],[Hourly Rate]]*1000</f>
        <v>20000</v>
      </c>
      <c r="M387" s="7" t="str">
        <f t="shared" si="6"/>
        <v>Budget</v>
      </c>
      <c r="N387" s="2">
        <f>IF(ISNUMBER(#REF!),#REF!, _xlfn.IFS( I387&gt;=30, 5, I387&gt;=25, 4.8, I387&gt;=15, 4, I387&gt;=10, 3.8, I387&gt;=5, 3, I387&gt;=2, 2.5, I387&gt;=0, 1.8, TRUE, 1.3))</f>
        <v>4.8</v>
      </c>
      <c r="O387" s="2" t="s">
        <v>2052</v>
      </c>
      <c r="P387" s="10">
        <v>0.9</v>
      </c>
      <c r="Q387" s="10" t="str">
        <f>_xlfn.IFS(Table1[[#This Row],[Rating]]&gt;=4, "Top Performer", Table1[[#This Row],[Rating]]&gt;=3, "Average", TRUE, "Needs Imporovement")</f>
        <v>Top Performer</v>
      </c>
    </row>
    <row r="388" spans="1:17" x14ac:dyDescent="0.3">
      <c r="A388" s="2" t="s">
        <v>820</v>
      </c>
      <c r="B388" s="2" t="s">
        <v>821</v>
      </c>
      <c r="C388" s="2" t="s">
        <v>68</v>
      </c>
      <c r="D388" s="2">
        <v>21</v>
      </c>
      <c r="E388" s="2" t="str">
        <f>_xlfn.IFS(Table1[[#This Row],[Age]]&lt;30, "18-29", D388&lt;=45,"30-45", D388&lt;=55, "46-55", TRUE, "55+")</f>
        <v>18-29</v>
      </c>
      <c r="F388" s="2" t="s">
        <v>22</v>
      </c>
      <c r="G388" s="2" t="s">
        <v>23</v>
      </c>
      <c r="H388" s="2" t="s">
        <v>61</v>
      </c>
      <c r="I388" s="5">
        <v>0</v>
      </c>
      <c r="J388" s="5" t="str">
        <f>_xlfn.IFS(Table1[[#This Row],[Experience(Years)]]&lt;5, "Junior", I388&lt;=12, "Mid-Level", I388&lt;=20, "Senior", I388&lt;=30, "Super Senior", TRUE, "Expert")</f>
        <v>Junior</v>
      </c>
      <c r="K388" s="7">
        <v>40</v>
      </c>
      <c r="L388" s="7">
        <f>Table1[[#This Row],[Hourly Rate]]*1000</f>
        <v>40000</v>
      </c>
      <c r="M388" s="7" t="str">
        <f t="shared" si="6"/>
        <v>Standard</v>
      </c>
      <c r="N388" s="2">
        <f>IF(ISNUMBER(#REF!),#REF!, _xlfn.IFS( I388&gt;=30, 5, I388&gt;=25, 4.8, I388&gt;=15, 4, I388&gt;=10, 3.8, I388&gt;=5, 3, I388&gt;=2, 2.5, I388&gt;=0, 1.8, TRUE, 1.3))</f>
        <v>1.8</v>
      </c>
      <c r="O388" s="2" t="s">
        <v>2053</v>
      </c>
      <c r="P388" s="10">
        <v>0.97</v>
      </c>
      <c r="Q388" s="10" t="str">
        <f>_xlfn.IFS(Table1[[#This Row],[Rating]]&gt;=4, "Top Performer", Table1[[#This Row],[Rating]]&gt;=3, "Average", TRUE, "Needs Imporovement")</f>
        <v>Needs Imporovement</v>
      </c>
    </row>
    <row r="389" spans="1:17" x14ac:dyDescent="0.3">
      <c r="A389" s="2" t="s">
        <v>822</v>
      </c>
      <c r="B389" s="2" t="s">
        <v>823</v>
      </c>
      <c r="C389" s="2" t="s">
        <v>49</v>
      </c>
      <c r="D389" s="2">
        <v>23</v>
      </c>
      <c r="E389" s="2" t="str">
        <f>_xlfn.IFS(Table1[[#This Row],[Age]]&lt;30, "18-29", D389&lt;=45,"30-45", D389&lt;=55, "46-55", TRUE, "55+")</f>
        <v>18-29</v>
      </c>
      <c r="F389" s="2" t="s">
        <v>96</v>
      </c>
      <c r="G389" s="2" t="s">
        <v>8</v>
      </c>
      <c r="H389" s="2" t="s">
        <v>61</v>
      </c>
      <c r="I389" s="5">
        <v>5</v>
      </c>
      <c r="J389" s="5" t="str">
        <f>_xlfn.IFS(Table1[[#This Row],[Experience(Years)]]&lt;5, "Junior", I389&lt;=12, "Mid-Level", I389&lt;=20, "Senior", I389&lt;=30, "Super Senior", TRUE, "Expert")</f>
        <v>Mid-Level</v>
      </c>
      <c r="K389" s="7">
        <v>100</v>
      </c>
      <c r="L389" s="7">
        <f>Table1[[#This Row],[Hourly Rate]]*1000</f>
        <v>100000</v>
      </c>
      <c r="M389" s="7" t="str">
        <f t="shared" si="6"/>
        <v>Premium</v>
      </c>
      <c r="N389" s="2">
        <f>IF(ISNUMBER(#REF!),#REF!, _xlfn.IFS( I389&gt;=30, 5, I389&gt;=25, 4.8, I389&gt;=15, 4, I389&gt;=10, 3.8, I389&gt;=5, 3, I389&gt;=2, 2.5, I389&gt;=0, 1.8, TRUE, 1.3))</f>
        <v>3</v>
      </c>
      <c r="O389" s="2" t="s">
        <v>2053</v>
      </c>
      <c r="P389" s="10">
        <v>0.6</v>
      </c>
      <c r="Q389" s="10" t="str">
        <f>_xlfn.IFS(Table1[[#This Row],[Rating]]&gt;=4, "Top Performer", Table1[[#This Row],[Rating]]&gt;=3, "Average", TRUE, "Needs Imporovement")</f>
        <v>Average</v>
      </c>
    </row>
    <row r="390" spans="1:17" x14ac:dyDescent="0.3">
      <c r="A390" s="2" t="s">
        <v>824</v>
      </c>
      <c r="B390" s="2" t="s">
        <v>825</v>
      </c>
      <c r="C390" s="2" t="s">
        <v>68</v>
      </c>
      <c r="D390" s="2">
        <v>27</v>
      </c>
      <c r="E390" s="2" t="str">
        <f>_xlfn.IFS(Table1[[#This Row],[Age]]&lt;30, "18-29", D390&lt;=45,"30-45", D390&lt;=55, "46-55", TRUE, "55+")</f>
        <v>18-29</v>
      </c>
      <c r="F390" s="2" t="s">
        <v>107</v>
      </c>
      <c r="G390" s="2" t="s">
        <v>108</v>
      </c>
      <c r="H390" s="2" t="s">
        <v>17</v>
      </c>
      <c r="I390" s="5">
        <v>1</v>
      </c>
      <c r="J390" s="5" t="str">
        <f>_xlfn.IFS(Table1[[#This Row],[Experience(Years)]]&lt;5, "Junior", I390&lt;=12, "Mid-Level", I390&lt;=20, "Senior", I390&lt;=30, "Super Senior", TRUE, "Expert")</f>
        <v>Junior</v>
      </c>
      <c r="K390" s="7">
        <v>20</v>
      </c>
      <c r="L390" s="7">
        <f>Table1[[#This Row],[Hourly Rate]]*1000</f>
        <v>20000</v>
      </c>
      <c r="M390" s="7" t="str">
        <f t="shared" si="6"/>
        <v>Budget</v>
      </c>
      <c r="N390" s="2">
        <f>IF(ISNUMBER(#REF!),#REF!, _xlfn.IFS( I390&gt;=30, 5, I390&gt;=25, 4.8, I390&gt;=15, 4, I390&gt;=10, 3.8, I390&gt;=5, 3, I390&gt;=2, 2.5, I390&gt;=0, 1.8, TRUE, 1.3))</f>
        <v>1.8</v>
      </c>
      <c r="O390" s="2" t="s">
        <v>2052</v>
      </c>
      <c r="P390" s="10">
        <v>0.76</v>
      </c>
      <c r="Q390" s="10" t="str">
        <f>_xlfn.IFS(Table1[[#This Row],[Rating]]&gt;=4, "Top Performer", Table1[[#This Row],[Rating]]&gt;=3, "Average", TRUE, "Needs Imporovement")</f>
        <v>Needs Imporovement</v>
      </c>
    </row>
    <row r="391" spans="1:17" x14ac:dyDescent="0.3">
      <c r="A391" s="2" t="s">
        <v>826</v>
      </c>
      <c r="B391" s="2" t="s">
        <v>827</v>
      </c>
      <c r="C391" s="2" t="s">
        <v>68</v>
      </c>
      <c r="D391" s="2">
        <v>27</v>
      </c>
      <c r="E391" s="2" t="str">
        <f>_xlfn.IFS(Table1[[#This Row],[Age]]&lt;30, "18-29", D391&lt;=45,"30-45", D391&lt;=55, "46-55", TRUE, "55+")</f>
        <v>18-29</v>
      </c>
      <c r="F391" s="2" t="s">
        <v>141</v>
      </c>
      <c r="G391" s="2" t="s">
        <v>142</v>
      </c>
      <c r="H391" s="2" t="s">
        <v>50</v>
      </c>
      <c r="I391" s="5">
        <v>4</v>
      </c>
      <c r="J391" s="5" t="str">
        <f>_xlfn.IFS(Table1[[#This Row],[Experience(Years)]]&lt;5, "Junior", I391&lt;=12, "Mid-Level", I391&lt;=20, "Senior", I391&lt;=30, "Super Senior", TRUE, "Expert")</f>
        <v>Junior</v>
      </c>
      <c r="K391" s="7">
        <v>40</v>
      </c>
      <c r="L391" s="7">
        <f>Table1[[#This Row],[Hourly Rate]]*1000</f>
        <v>40000</v>
      </c>
      <c r="M391" s="7" t="str">
        <f t="shared" si="6"/>
        <v>Standard</v>
      </c>
      <c r="N391" s="2">
        <f>IF(ISNUMBER(#REF!),#REF!, _xlfn.IFS( I391&gt;=30, 5, I391&gt;=25, 4.8, I391&gt;=15, 4, I391&gt;=10, 3.8, I391&gt;=5, 3, I391&gt;=2, 2.5, I391&gt;=0, 1.8, TRUE, 1.3))</f>
        <v>2.5</v>
      </c>
      <c r="O391" s="2" t="s">
        <v>2052</v>
      </c>
      <c r="P391" s="10">
        <v>0.92</v>
      </c>
      <c r="Q391" s="10" t="str">
        <f>_xlfn.IFS(Table1[[#This Row],[Rating]]&gt;=4, "Top Performer", Table1[[#This Row],[Rating]]&gt;=3, "Average", TRUE, "Needs Imporovement")</f>
        <v>Needs Imporovement</v>
      </c>
    </row>
    <row r="392" spans="1:17" x14ac:dyDescent="0.3">
      <c r="A392" s="2" t="s">
        <v>828</v>
      </c>
      <c r="B392" s="2" t="s">
        <v>829</v>
      </c>
      <c r="C392" s="2" t="s">
        <v>49</v>
      </c>
      <c r="D392" s="2">
        <v>48</v>
      </c>
      <c r="E392" s="2" t="str">
        <f>_xlfn.IFS(Table1[[#This Row],[Age]]&lt;30, "18-29", D392&lt;=45,"30-45", D392&lt;=55, "46-55", TRUE, "55+")</f>
        <v>46-55</v>
      </c>
      <c r="F392" s="2" t="s">
        <v>121</v>
      </c>
      <c r="G392" s="2" t="s">
        <v>122</v>
      </c>
      <c r="H392" s="2" t="s">
        <v>29</v>
      </c>
      <c r="I392" s="5">
        <v>21</v>
      </c>
      <c r="J392" s="5" t="str">
        <f>_xlfn.IFS(Table1[[#This Row],[Experience(Years)]]&lt;5, "Junior", I392&lt;=12, "Mid-Level", I392&lt;=20, "Senior", I392&lt;=30, "Super Senior", TRUE, "Expert")</f>
        <v>Super Senior</v>
      </c>
      <c r="K392" s="7">
        <v>40</v>
      </c>
      <c r="L392" s="7">
        <f>Table1[[#This Row],[Hourly Rate]]*1000</f>
        <v>40000</v>
      </c>
      <c r="M392" s="7" t="str">
        <f t="shared" si="6"/>
        <v>Standard</v>
      </c>
      <c r="N392" s="2">
        <f>IF(ISNUMBER(#REF!),#REF!, _xlfn.IFS( I392&gt;=30, 5, I392&gt;=25, 4.8, I392&gt;=15, 4, I392&gt;=10, 3.8, I392&gt;=5, 3, I392&gt;=2, 2.5, I392&gt;=0, 1.8, TRUE, 1.3))</f>
        <v>4</v>
      </c>
      <c r="O392" s="2" t="s">
        <v>2052</v>
      </c>
      <c r="P392" s="10">
        <v>0.85</v>
      </c>
      <c r="Q392" s="10" t="str">
        <f>_xlfn.IFS(Table1[[#This Row],[Rating]]&gt;=4, "Top Performer", Table1[[#This Row],[Rating]]&gt;=3, "Average", TRUE, "Needs Imporovement")</f>
        <v>Top Performer</v>
      </c>
    </row>
    <row r="393" spans="1:17" x14ac:dyDescent="0.3">
      <c r="A393" s="2" t="s">
        <v>830</v>
      </c>
      <c r="B393" s="2" t="s">
        <v>831</v>
      </c>
      <c r="C393" s="2" t="s">
        <v>68</v>
      </c>
      <c r="D393" s="2">
        <v>21</v>
      </c>
      <c r="E393" s="2" t="str">
        <f>_xlfn.IFS(Table1[[#This Row],[Age]]&lt;30, "18-29", D393&lt;=45,"30-45", D393&lt;=55, "46-55", TRUE, "55+")</f>
        <v>18-29</v>
      </c>
      <c r="F393" s="2" t="s">
        <v>121</v>
      </c>
      <c r="G393" s="2" t="s">
        <v>122</v>
      </c>
      <c r="H393" s="2" t="s">
        <v>24</v>
      </c>
      <c r="I393" s="5">
        <v>1</v>
      </c>
      <c r="J393" s="5" t="str">
        <f>_xlfn.IFS(Table1[[#This Row],[Experience(Years)]]&lt;5, "Junior", I393&lt;=12, "Mid-Level", I393&lt;=20, "Senior", I393&lt;=30, "Super Senior", TRUE, "Expert")</f>
        <v>Junior</v>
      </c>
      <c r="K393" s="7">
        <v>20</v>
      </c>
      <c r="L393" s="7">
        <f>Table1[[#This Row],[Hourly Rate]]*1000</f>
        <v>20000</v>
      </c>
      <c r="M393" s="7" t="str">
        <f t="shared" si="6"/>
        <v>Budget</v>
      </c>
      <c r="N393" s="2">
        <f>IF(ISNUMBER(#REF!),#REF!, _xlfn.IFS( I393&gt;=30, 5, I393&gt;=25, 4.8, I393&gt;=15, 4, I393&gt;=10, 3.8, I393&gt;=5, 3, I393&gt;=2, 2.5, I393&gt;=0, 1.8, TRUE, 1.3))</f>
        <v>1.8</v>
      </c>
      <c r="O393" s="2" t="s">
        <v>2053</v>
      </c>
      <c r="P393" s="10">
        <v>0.66</v>
      </c>
      <c r="Q393" s="10" t="str">
        <f>_xlfn.IFS(Table1[[#This Row],[Rating]]&gt;=4, "Top Performer", Table1[[#This Row],[Rating]]&gt;=3, "Average", TRUE, "Needs Imporovement")</f>
        <v>Needs Imporovement</v>
      </c>
    </row>
    <row r="394" spans="1:17" x14ac:dyDescent="0.3">
      <c r="A394" s="2" t="s">
        <v>832</v>
      </c>
      <c r="B394" s="2" t="s">
        <v>833</v>
      </c>
      <c r="C394" s="2" t="s">
        <v>68</v>
      </c>
      <c r="D394" s="2">
        <v>37</v>
      </c>
      <c r="E394" s="2" t="str">
        <f>_xlfn.IFS(Table1[[#This Row],[Age]]&lt;30, "18-29", D394&lt;=45,"30-45", D394&lt;=55, "46-55", TRUE, "55+")</f>
        <v>30-45</v>
      </c>
      <c r="F394" s="2" t="s">
        <v>2</v>
      </c>
      <c r="G394" s="2" t="s">
        <v>3</v>
      </c>
      <c r="H394" s="2" t="s">
        <v>61</v>
      </c>
      <c r="I394" s="5">
        <v>5</v>
      </c>
      <c r="J394" s="5" t="str">
        <f>_xlfn.IFS(Table1[[#This Row],[Experience(Years)]]&lt;5, "Junior", I394&lt;=12, "Mid-Level", I394&lt;=20, "Senior", I394&lt;=30, "Super Senior", TRUE, "Expert")</f>
        <v>Mid-Level</v>
      </c>
      <c r="K394" s="7">
        <v>50</v>
      </c>
      <c r="L394" s="7">
        <f>Table1[[#This Row],[Hourly Rate]]*1000</f>
        <v>50000</v>
      </c>
      <c r="M394" s="7" t="str">
        <f t="shared" si="6"/>
        <v>Standard</v>
      </c>
      <c r="N394" s="2">
        <f>IF(ISNUMBER(#REF!),#REF!, _xlfn.IFS( I394&gt;=30, 5, I394&gt;=25, 4.8, I394&gt;=15, 4, I394&gt;=10, 3.8, I394&gt;=5, 3, I394&gt;=2, 2.5, I394&gt;=0, 1.8, TRUE, 1.3))</f>
        <v>3</v>
      </c>
      <c r="O394" s="2" t="s">
        <v>2052</v>
      </c>
      <c r="P394" s="10">
        <v>0.83</v>
      </c>
      <c r="Q394" s="10" t="str">
        <f>_xlfn.IFS(Table1[[#This Row],[Rating]]&gt;=4, "Top Performer", Table1[[#This Row],[Rating]]&gt;=3, "Average", TRUE, "Needs Imporovement")</f>
        <v>Average</v>
      </c>
    </row>
    <row r="395" spans="1:17" x14ac:dyDescent="0.3">
      <c r="A395" s="2" t="s">
        <v>834</v>
      </c>
      <c r="B395" s="2" t="s">
        <v>835</v>
      </c>
      <c r="C395" s="2" t="s">
        <v>49</v>
      </c>
      <c r="D395" s="2">
        <v>31</v>
      </c>
      <c r="E395" s="2" t="str">
        <f>_xlfn.IFS(Table1[[#This Row],[Age]]&lt;30, "18-29", D395&lt;=45,"30-45", D395&lt;=55, "46-55", TRUE, "55+")</f>
        <v>30-45</v>
      </c>
      <c r="F395" s="2" t="s">
        <v>12</v>
      </c>
      <c r="G395" s="2" t="s">
        <v>13</v>
      </c>
      <c r="H395" s="2" t="s">
        <v>46</v>
      </c>
      <c r="I395" s="5">
        <v>10</v>
      </c>
      <c r="J395" s="5" t="str">
        <f>_xlfn.IFS(Table1[[#This Row],[Experience(Years)]]&lt;5, "Junior", I395&lt;=12, "Mid-Level", I395&lt;=20, "Senior", I395&lt;=30, "Super Senior", TRUE, "Expert")</f>
        <v>Mid-Level</v>
      </c>
      <c r="K395" s="7">
        <v>50</v>
      </c>
      <c r="L395" s="7">
        <f>Table1[[#This Row],[Hourly Rate]]*1000</f>
        <v>50000</v>
      </c>
      <c r="M395" s="7" t="str">
        <f t="shared" si="6"/>
        <v>Standard</v>
      </c>
      <c r="N395" s="2">
        <f>IF(ISNUMBER(#REF!),#REF!, _xlfn.IFS( I395&gt;=30, 5, I395&gt;=25, 4.8, I395&gt;=15, 4, I395&gt;=10, 3.8, I395&gt;=5, 3, I395&gt;=2, 2.5, I395&gt;=0, 1.8, TRUE, 1.3))</f>
        <v>3.8</v>
      </c>
      <c r="O395" s="2" t="s">
        <v>2052</v>
      </c>
      <c r="P395" s="10">
        <v>0.75</v>
      </c>
      <c r="Q395" s="10" t="str">
        <f>_xlfn.IFS(Table1[[#This Row],[Rating]]&gt;=4, "Top Performer", Table1[[#This Row],[Rating]]&gt;=3, "Average", TRUE, "Needs Imporovement")</f>
        <v>Average</v>
      </c>
    </row>
    <row r="396" spans="1:17" x14ac:dyDescent="0.3">
      <c r="A396" s="2" t="s">
        <v>836</v>
      </c>
      <c r="B396" s="2" t="s">
        <v>837</v>
      </c>
      <c r="C396" s="2" t="s">
        <v>49</v>
      </c>
      <c r="D396" s="2">
        <v>41</v>
      </c>
      <c r="E396" s="2" t="str">
        <f>_xlfn.IFS(Table1[[#This Row],[Age]]&lt;30, "18-29", D396&lt;=45,"30-45", D396&lt;=55, "46-55", TRUE, "55+")</f>
        <v>30-45</v>
      </c>
      <c r="F396" s="2" t="s">
        <v>107</v>
      </c>
      <c r="G396" s="2" t="s">
        <v>108</v>
      </c>
      <c r="H396" s="2" t="s">
        <v>4</v>
      </c>
      <c r="I396" s="5">
        <v>21</v>
      </c>
      <c r="J396" s="5" t="str">
        <f>_xlfn.IFS(Table1[[#This Row],[Experience(Years)]]&lt;5, "Junior", I396&lt;=12, "Mid-Level", I396&lt;=20, "Senior", I396&lt;=30, "Super Senior", TRUE, "Expert")</f>
        <v>Super Senior</v>
      </c>
      <c r="K396" s="7">
        <v>70</v>
      </c>
      <c r="L396" s="7">
        <f>Table1[[#This Row],[Hourly Rate]]*1000</f>
        <v>70000</v>
      </c>
      <c r="M396" s="7" t="str">
        <f t="shared" si="6"/>
        <v>Standard</v>
      </c>
      <c r="N396" s="2">
        <f>IF(ISNUMBER(#REF!),#REF!, _xlfn.IFS( I396&gt;=30, 5, I396&gt;=25, 4.8, I396&gt;=15, 4, I396&gt;=10, 3.8, I396&gt;=5, 3, I396&gt;=2, 2.5, I396&gt;=0, 1.8, TRUE, 1.3))</f>
        <v>4</v>
      </c>
      <c r="O396" s="2" t="s">
        <v>2053</v>
      </c>
      <c r="P396" s="10">
        <v>0.85</v>
      </c>
      <c r="Q396" s="10" t="str">
        <f>_xlfn.IFS(Table1[[#This Row],[Rating]]&gt;=4, "Top Performer", Table1[[#This Row],[Rating]]&gt;=3, "Average", TRUE, "Needs Imporovement")</f>
        <v>Top Performer</v>
      </c>
    </row>
    <row r="397" spans="1:17" x14ac:dyDescent="0.3">
      <c r="A397" s="2" t="s">
        <v>838</v>
      </c>
      <c r="B397" s="2" t="s">
        <v>839</v>
      </c>
      <c r="C397" s="2" t="s">
        <v>68</v>
      </c>
      <c r="D397" s="2">
        <v>31</v>
      </c>
      <c r="E397" s="2" t="str">
        <f>_xlfn.IFS(Table1[[#This Row],[Age]]&lt;30, "18-29", D397&lt;=45,"30-45", D397&lt;=55, "46-55", TRUE, "55+")</f>
        <v>30-45</v>
      </c>
      <c r="F397" s="2" t="s">
        <v>92</v>
      </c>
      <c r="G397" s="2" t="s">
        <v>93</v>
      </c>
      <c r="H397" s="2" t="s">
        <v>50</v>
      </c>
      <c r="I397" s="5">
        <v>0</v>
      </c>
      <c r="J397" s="5" t="str">
        <f>_xlfn.IFS(Table1[[#This Row],[Experience(Years)]]&lt;5, "Junior", I397&lt;=12, "Mid-Level", I397&lt;=20, "Senior", I397&lt;=30, "Super Senior", TRUE, "Expert")</f>
        <v>Junior</v>
      </c>
      <c r="K397" s="7">
        <v>20</v>
      </c>
      <c r="L397" s="7">
        <f>Table1[[#This Row],[Hourly Rate]]*1000</f>
        <v>20000</v>
      </c>
      <c r="M397" s="7" t="str">
        <f t="shared" si="6"/>
        <v>Budget</v>
      </c>
      <c r="N397" s="2">
        <f>IF(ISNUMBER(#REF!),#REF!, _xlfn.IFS( I397&gt;=30, 5, I397&gt;=25, 4.8, I397&gt;=15, 4, I397&gt;=10, 3.8, I397&gt;=5, 3, I397&gt;=2, 2.5, I397&gt;=0, 1.8, TRUE, 1.3))</f>
        <v>1.8</v>
      </c>
      <c r="O397" s="2" t="s">
        <v>2053</v>
      </c>
      <c r="P397" s="10">
        <v>0.82</v>
      </c>
      <c r="Q397" s="10" t="str">
        <f>_xlfn.IFS(Table1[[#This Row],[Rating]]&gt;=4, "Top Performer", Table1[[#This Row],[Rating]]&gt;=3, "Average", TRUE, "Needs Imporovement")</f>
        <v>Needs Imporovement</v>
      </c>
    </row>
    <row r="398" spans="1:17" x14ac:dyDescent="0.3">
      <c r="A398" s="2" t="s">
        <v>840</v>
      </c>
      <c r="B398" s="2" t="s">
        <v>841</v>
      </c>
      <c r="C398" s="2" t="s">
        <v>49</v>
      </c>
      <c r="D398" s="2">
        <v>58</v>
      </c>
      <c r="E398" s="2" t="str">
        <f>_xlfn.IFS(Table1[[#This Row],[Age]]&lt;30, "18-29", D398&lt;=45,"30-45", D398&lt;=55, "46-55", TRUE, "55+")</f>
        <v>55+</v>
      </c>
      <c r="F398" s="2" t="s">
        <v>44</v>
      </c>
      <c r="G398" s="2" t="s">
        <v>45</v>
      </c>
      <c r="H398" s="2" t="s">
        <v>29</v>
      </c>
      <c r="I398" s="5">
        <v>0</v>
      </c>
      <c r="J398" s="5" t="str">
        <f>_xlfn.IFS(Table1[[#This Row],[Experience(Years)]]&lt;5, "Junior", I398&lt;=12, "Mid-Level", I398&lt;=20, "Senior", I398&lt;=30, "Super Senior", TRUE, "Expert")</f>
        <v>Junior</v>
      </c>
      <c r="K398" s="7">
        <v>50</v>
      </c>
      <c r="L398" s="7">
        <f>Table1[[#This Row],[Hourly Rate]]*1000</f>
        <v>50000</v>
      </c>
      <c r="M398" s="7" t="str">
        <f t="shared" si="6"/>
        <v>Standard</v>
      </c>
      <c r="N398" s="2">
        <f>IF(ISNUMBER(#REF!),#REF!, _xlfn.IFS( I398&gt;=30, 5, I398&gt;=25, 4.8, I398&gt;=15, 4, I398&gt;=10, 3.8, I398&gt;=5, 3, I398&gt;=2, 2.5, I398&gt;=0, 1.8, TRUE, 1.3))</f>
        <v>1.8</v>
      </c>
      <c r="O398" s="2" t="s">
        <v>2052</v>
      </c>
      <c r="P398" s="10">
        <v>0.77</v>
      </c>
      <c r="Q398" s="10" t="str">
        <f>_xlfn.IFS(Table1[[#This Row],[Rating]]&gt;=4, "Top Performer", Table1[[#This Row],[Rating]]&gt;=3, "Average", TRUE, "Needs Imporovement")</f>
        <v>Needs Imporovement</v>
      </c>
    </row>
    <row r="399" spans="1:17" x14ac:dyDescent="0.3">
      <c r="A399" s="2" t="s">
        <v>842</v>
      </c>
      <c r="B399" s="2" t="s">
        <v>843</v>
      </c>
      <c r="C399" s="2" t="s">
        <v>49</v>
      </c>
      <c r="D399" s="2">
        <v>45</v>
      </c>
      <c r="E399" s="2" t="str">
        <f>_xlfn.IFS(Table1[[#This Row],[Age]]&lt;30, "18-29", D399&lt;=45,"30-45", D399&lt;=55, "46-55", TRUE, "55+")</f>
        <v>30-45</v>
      </c>
      <c r="F399" s="2" t="s">
        <v>22</v>
      </c>
      <c r="G399" s="2" t="s">
        <v>23</v>
      </c>
      <c r="H399" s="2" t="s">
        <v>29</v>
      </c>
      <c r="I399" s="5">
        <v>17</v>
      </c>
      <c r="J399" s="5" t="str">
        <f>_xlfn.IFS(Table1[[#This Row],[Experience(Years)]]&lt;5, "Junior", I399&lt;=12, "Mid-Level", I399&lt;=20, "Senior", I399&lt;=30, "Super Senior", TRUE, "Expert")</f>
        <v>Senior</v>
      </c>
      <c r="K399" s="7">
        <v>50</v>
      </c>
      <c r="L399" s="7">
        <f>Table1[[#This Row],[Hourly Rate]]*1000</f>
        <v>50000</v>
      </c>
      <c r="M399" s="7" t="str">
        <f t="shared" si="6"/>
        <v>Standard</v>
      </c>
      <c r="N399" s="2">
        <f>IF(ISNUMBER(#REF!),#REF!, _xlfn.IFS( I399&gt;=30, 5, I399&gt;=25, 4.8, I399&gt;=15, 4, I399&gt;=10, 3.8, I399&gt;=5, 3, I399&gt;=2, 2.5, I399&gt;=0, 1.8, TRUE, 1.3))</f>
        <v>4</v>
      </c>
      <c r="O399" s="2" t="s">
        <v>2053</v>
      </c>
      <c r="P399" s="10">
        <v>0.73</v>
      </c>
      <c r="Q399" s="10" t="str">
        <f>_xlfn.IFS(Table1[[#This Row],[Rating]]&gt;=4, "Top Performer", Table1[[#This Row],[Rating]]&gt;=3, "Average", TRUE, "Needs Imporovement")</f>
        <v>Top Performer</v>
      </c>
    </row>
    <row r="400" spans="1:17" x14ac:dyDescent="0.3">
      <c r="A400" s="2" t="s">
        <v>844</v>
      </c>
      <c r="B400" s="2" t="s">
        <v>845</v>
      </c>
      <c r="C400" s="2" t="s">
        <v>68</v>
      </c>
      <c r="D400" s="2">
        <v>51</v>
      </c>
      <c r="E400" s="2" t="str">
        <f>_xlfn.IFS(Table1[[#This Row],[Age]]&lt;30, "18-29", D400&lt;=45,"30-45", D400&lt;=55, "46-55", TRUE, "55+")</f>
        <v>46-55</v>
      </c>
      <c r="F400" s="2" t="s">
        <v>81</v>
      </c>
      <c r="G400" s="2" t="s">
        <v>82</v>
      </c>
      <c r="H400" s="2" t="s">
        <v>50</v>
      </c>
      <c r="I400" s="5">
        <v>5</v>
      </c>
      <c r="J400" s="5" t="str">
        <f>_xlfn.IFS(Table1[[#This Row],[Experience(Years)]]&lt;5, "Junior", I400&lt;=12, "Mid-Level", I400&lt;=20, "Senior", I400&lt;=30, "Super Senior", TRUE, "Expert")</f>
        <v>Mid-Level</v>
      </c>
      <c r="K400" s="7">
        <v>80</v>
      </c>
      <c r="L400" s="7">
        <f>Table1[[#This Row],[Hourly Rate]]*1000</f>
        <v>80000</v>
      </c>
      <c r="M400" s="7" t="str">
        <f t="shared" si="6"/>
        <v>Standard</v>
      </c>
      <c r="N400" s="2">
        <f>IF(ISNUMBER(#REF!),#REF!, _xlfn.IFS( I400&gt;=30, 5, I400&gt;=25, 4.8, I400&gt;=15, 4, I400&gt;=10, 3.8, I400&gt;=5, 3, I400&gt;=2, 2.5, I400&gt;=0, 1.8, TRUE, 1.3))</f>
        <v>3</v>
      </c>
      <c r="O400" s="2" t="s">
        <v>2053</v>
      </c>
      <c r="P400" s="10">
        <v>0.88</v>
      </c>
      <c r="Q400" s="10" t="str">
        <f>_xlfn.IFS(Table1[[#This Row],[Rating]]&gt;=4, "Top Performer", Table1[[#This Row],[Rating]]&gt;=3, "Average", TRUE, "Needs Imporovement")</f>
        <v>Average</v>
      </c>
    </row>
    <row r="401" spans="1:17" x14ac:dyDescent="0.3">
      <c r="A401" s="2" t="s">
        <v>846</v>
      </c>
      <c r="B401" s="2" t="s">
        <v>847</v>
      </c>
      <c r="C401" s="2" t="s">
        <v>68</v>
      </c>
      <c r="D401" s="2">
        <v>54</v>
      </c>
      <c r="E401" s="2" t="str">
        <f>_xlfn.IFS(Table1[[#This Row],[Age]]&lt;30, "18-29", D401&lt;=45,"30-45", D401&lt;=55, "46-55", TRUE, "55+")</f>
        <v>46-55</v>
      </c>
      <c r="F401" s="2" t="s">
        <v>34</v>
      </c>
      <c r="G401" s="2" t="s">
        <v>8</v>
      </c>
      <c r="H401" s="2" t="s">
        <v>46</v>
      </c>
      <c r="I401" s="5">
        <v>3</v>
      </c>
      <c r="J401" s="5" t="str">
        <f>_xlfn.IFS(Table1[[#This Row],[Experience(Years)]]&lt;5, "Junior", I401&lt;=12, "Mid-Level", I401&lt;=20, "Senior", I401&lt;=30, "Super Senior", TRUE, "Expert")</f>
        <v>Junior</v>
      </c>
      <c r="K401" s="7">
        <v>30</v>
      </c>
      <c r="L401" s="7">
        <f>Table1[[#This Row],[Hourly Rate]]*1000</f>
        <v>30000</v>
      </c>
      <c r="M401" s="7" t="str">
        <f t="shared" si="6"/>
        <v>Budget</v>
      </c>
      <c r="N401" s="2">
        <f>IF(ISNUMBER(#REF!),#REF!, _xlfn.IFS( I401&gt;=30, 5, I401&gt;=25, 4.8, I401&gt;=15, 4, I401&gt;=10, 3.8, I401&gt;=5, 3, I401&gt;=2, 2.5, I401&gt;=0, 1.8, TRUE, 1.3))</f>
        <v>2.5</v>
      </c>
      <c r="O401" s="2" t="s">
        <v>2052</v>
      </c>
      <c r="P401" s="10">
        <v>0.81</v>
      </c>
      <c r="Q401" s="10" t="str">
        <f>_xlfn.IFS(Table1[[#This Row],[Rating]]&gt;=4, "Top Performer", Table1[[#This Row],[Rating]]&gt;=3, "Average", TRUE, "Needs Imporovement")</f>
        <v>Needs Imporovement</v>
      </c>
    </row>
    <row r="402" spans="1:17" x14ac:dyDescent="0.3">
      <c r="A402" s="2" t="s">
        <v>848</v>
      </c>
      <c r="B402" s="2" t="s">
        <v>849</v>
      </c>
      <c r="C402" s="2" t="s">
        <v>68</v>
      </c>
      <c r="D402" s="2">
        <v>22</v>
      </c>
      <c r="E402" s="2" t="str">
        <f>_xlfn.IFS(Table1[[#This Row],[Age]]&lt;30, "18-29", D402&lt;=45,"30-45", D402&lt;=55, "46-55", TRUE, "55+")</f>
        <v>18-29</v>
      </c>
      <c r="F402" s="2" t="s">
        <v>92</v>
      </c>
      <c r="G402" s="2" t="s">
        <v>93</v>
      </c>
      <c r="H402" s="2" t="s">
        <v>29</v>
      </c>
      <c r="I402" s="5">
        <v>1</v>
      </c>
      <c r="J402" s="5" t="str">
        <f>_xlfn.IFS(Table1[[#This Row],[Experience(Years)]]&lt;5, "Junior", I402&lt;=12, "Mid-Level", I402&lt;=20, "Senior", I402&lt;=30, "Super Senior", TRUE, "Expert")</f>
        <v>Junior</v>
      </c>
      <c r="K402" s="7">
        <v>20</v>
      </c>
      <c r="L402" s="7">
        <f>Table1[[#This Row],[Hourly Rate]]*1000</f>
        <v>20000</v>
      </c>
      <c r="M402" s="7" t="str">
        <f t="shared" si="6"/>
        <v>Budget</v>
      </c>
      <c r="N402" s="2">
        <f>IF(ISNUMBER(#REF!),#REF!, _xlfn.IFS( I402&gt;=30, 5, I402&gt;=25, 4.8, I402&gt;=15, 4, I402&gt;=10, 3.8, I402&gt;=5, 3, I402&gt;=2, 2.5, I402&gt;=0, 1.8, TRUE, 1.3))</f>
        <v>1.8</v>
      </c>
      <c r="O402" s="2" t="s">
        <v>2052</v>
      </c>
      <c r="P402" s="10">
        <v>0.78</v>
      </c>
      <c r="Q402" s="10" t="str">
        <f>_xlfn.IFS(Table1[[#This Row],[Rating]]&gt;=4, "Top Performer", Table1[[#This Row],[Rating]]&gt;=3, "Average", TRUE, "Needs Imporovement")</f>
        <v>Needs Imporovement</v>
      </c>
    </row>
    <row r="403" spans="1:17" x14ac:dyDescent="0.3">
      <c r="A403" s="2" t="s">
        <v>850</v>
      </c>
      <c r="B403" s="2" t="s">
        <v>851</v>
      </c>
      <c r="C403" s="2" t="s">
        <v>68</v>
      </c>
      <c r="D403" s="2">
        <v>36</v>
      </c>
      <c r="E403" s="2" t="str">
        <f>_xlfn.IFS(Table1[[#This Row],[Age]]&lt;30, "18-29", D403&lt;=45,"30-45", D403&lt;=55, "46-55", TRUE, "55+")</f>
        <v>30-45</v>
      </c>
      <c r="F403" s="2" t="s">
        <v>37</v>
      </c>
      <c r="G403" s="2" t="s">
        <v>38</v>
      </c>
      <c r="H403" s="2" t="s">
        <v>50</v>
      </c>
      <c r="I403" s="5">
        <v>2</v>
      </c>
      <c r="J403" s="5" t="str">
        <f>_xlfn.IFS(Table1[[#This Row],[Experience(Years)]]&lt;5, "Junior", I403&lt;=12, "Mid-Level", I403&lt;=20, "Senior", I403&lt;=30, "Super Senior", TRUE, "Expert")</f>
        <v>Junior</v>
      </c>
      <c r="K403" s="7">
        <v>75</v>
      </c>
      <c r="L403" s="7">
        <f>Table1[[#This Row],[Hourly Rate]]*1000</f>
        <v>75000</v>
      </c>
      <c r="M403" s="7" t="str">
        <f t="shared" si="6"/>
        <v>Standard</v>
      </c>
      <c r="N403" s="2">
        <f>IF(ISNUMBER(#REF!),#REF!, _xlfn.IFS( I403&gt;=30, 5, I403&gt;=25, 4.8, I403&gt;=15, 4, I403&gt;=10, 3.8, I403&gt;=5, 3, I403&gt;=2, 2.5, I403&gt;=0, 1.8, TRUE, 1.3))</f>
        <v>2.5</v>
      </c>
      <c r="O403" s="2" t="s">
        <v>2052</v>
      </c>
      <c r="P403" s="10">
        <v>0.92</v>
      </c>
      <c r="Q403" s="10" t="str">
        <f>_xlfn.IFS(Table1[[#This Row],[Rating]]&gt;=4, "Top Performer", Table1[[#This Row],[Rating]]&gt;=3, "Average", TRUE, "Needs Imporovement")</f>
        <v>Needs Imporovement</v>
      </c>
    </row>
    <row r="404" spans="1:17" x14ac:dyDescent="0.3">
      <c r="A404" s="2" t="s">
        <v>852</v>
      </c>
      <c r="B404" s="2" t="s">
        <v>853</v>
      </c>
      <c r="C404" s="2" t="s">
        <v>68</v>
      </c>
      <c r="D404" s="2">
        <v>50</v>
      </c>
      <c r="E404" s="2" t="str">
        <f>_xlfn.IFS(Table1[[#This Row],[Age]]&lt;30, "18-29", D404&lt;=45,"30-45", D404&lt;=55, "46-55", TRUE, "55+")</f>
        <v>46-55</v>
      </c>
      <c r="F404" s="2" t="s">
        <v>12</v>
      </c>
      <c r="G404" s="2" t="s">
        <v>13</v>
      </c>
      <c r="H404" s="2" t="s">
        <v>61</v>
      </c>
      <c r="I404" s="5">
        <v>32</v>
      </c>
      <c r="J404" s="5" t="str">
        <f>_xlfn.IFS(Table1[[#This Row],[Experience(Years)]]&lt;5, "Junior", I404&lt;=12, "Mid-Level", I404&lt;=20, "Senior", I404&lt;=30, "Super Senior", TRUE, "Expert")</f>
        <v>Expert</v>
      </c>
      <c r="K404" s="7">
        <v>30</v>
      </c>
      <c r="L404" s="7">
        <f>Table1[[#This Row],[Hourly Rate]]*1000</f>
        <v>30000</v>
      </c>
      <c r="M404" s="7" t="str">
        <f t="shared" si="6"/>
        <v>Budget</v>
      </c>
      <c r="N404" s="2">
        <f>IF(ISNUMBER(#REF!),#REF!, _xlfn.IFS( I404&gt;=30, 5, I404&gt;=25, 4.8, I404&gt;=15, 4, I404&gt;=10, 3.8, I404&gt;=5, 3, I404&gt;=2, 2.5, I404&gt;=0, 1.8, TRUE, 1.3))</f>
        <v>5</v>
      </c>
      <c r="O404" s="2" t="s">
        <v>2052</v>
      </c>
      <c r="P404" s="10">
        <v>0.64</v>
      </c>
      <c r="Q404" s="10" t="str">
        <f>_xlfn.IFS(Table1[[#This Row],[Rating]]&gt;=4, "Top Performer", Table1[[#This Row],[Rating]]&gt;=3, "Average", TRUE, "Needs Imporovement")</f>
        <v>Top Performer</v>
      </c>
    </row>
    <row r="405" spans="1:17" x14ac:dyDescent="0.3">
      <c r="A405" s="2" t="s">
        <v>854</v>
      </c>
      <c r="B405" s="2" t="s">
        <v>855</v>
      </c>
      <c r="C405" s="2" t="s">
        <v>49</v>
      </c>
      <c r="D405" s="2">
        <v>41</v>
      </c>
      <c r="E405" s="2" t="str">
        <f>_xlfn.IFS(Table1[[#This Row],[Age]]&lt;30, "18-29", D405&lt;=45,"30-45", D405&lt;=55, "46-55", TRUE, "55+")</f>
        <v>30-45</v>
      </c>
      <c r="F405" s="2" t="s">
        <v>7</v>
      </c>
      <c r="G405" s="2" t="s">
        <v>8</v>
      </c>
      <c r="H405" s="2" t="s">
        <v>4</v>
      </c>
      <c r="I405" s="5">
        <v>14</v>
      </c>
      <c r="J405" s="5" t="str">
        <f>_xlfn.IFS(Table1[[#This Row],[Experience(Years)]]&lt;5, "Junior", I405&lt;=12, "Mid-Level", I405&lt;=20, "Senior", I405&lt;=30, "Super Senior", TRUE, "Expert")</f>
        <v>Senior</v>
      </c>
      <c r="K405" s="7">
        <v>30</v>
      </c>
      <c r="L405" s="7">
        <f>Table1[[#This Row],[Hourly Rate]]*1000</f>
        <v>30000</v>
      </c>
      <c r="M405" s="7" t="str">
        <f t="shared" si="6"/>
        <v>Budget</v>
      </c>
      <c r="N405" s="2">
        <f>IF(ISNUMBER(#REF!),#REF!, _xlfn.IFS( I405&gt;=30, 5, I405&gt;=25, 4.8, I405&gt;=15, 4, I405&gt;=10, 3.8, I405&gt;=5, 3, I405&gt;=2, 2.5, I405&gt;=0, 1.8, TRUE, 1.3))</f>
        <v>3.8</v>
      </c>
      <c r="O405" s="2" t="s">
        <v>2053</v>
      </c>
      <c r="P405" s="10">
        <v>0.78</v>
      </c>
      <c r="Q405" s="10" t="str">
        <f>_xlfn.IFS(Table1[[#This Row],[Rating]]&gt;=4, "Top Performer", Table1[[#This Row],[Rating]]&gt;=3, "Average", TRUE, "Needs Imporovement")</f>
        <v>Average</v>
      </c>
    </row>
    <row r="406" spans="1:17" x14ac:dyDescent="0.3">
      <c r="A406" s="2" t="s">
        <v>856</v>
      </c>
      <c r="B406" s="2" t="s">
        <v>857</v>
      </c>
      <c r="C406" s="2" t="s">
        <v>68</v>
      </c>
      <c r="D406" s="2">
        <v>31</v>
      </c>
      <c r="E406" s="2" t="str">
        <f>_xlfn.IFS(Table1[[#This Row],[Age]]&lt;30, "18-29", D406&lt;=45,"30-45", D406&lt;=55, "46-55", TRUE, "55+")</f>
        <v>30-45</v>
      </c>
      <c r="F406" s="2" t="s">
        <v>121</v>
      </c>
      <c r="G406" s="2" t="s">
        <v>122</v>
      </c>
      <c r="H406" s="2" t="s">
        <v>17</v>
      </c>
      <c r="I406" s="5">
        <v>10</v>
      </c>
      <c r="J406" s="5" t="str">
        <f>_xlfn.IFS(Table1[[#This Row],[Experience(Years)]]&lt;5, "Junior", I406&lt;=12, "Mid-Level", I406&lt;=20, "Senior", I406&lt;=30, "Super Senior", TRUE, "Expert")</f>
        <v>Mid-Level</v>
      </c>
      <c r="K406" s="7">
        <v>20</v>
      </c>
      <c r="L406" s="7">
        <f>Table1[[#This Row],[Hourly Rate]]*1000</f>
        <v>20000</v>
      </c>
      <c r="M406" s="7" t="str">
        <f t="shared" si="6"/>
        <v>Budget</v>
      </c>
      <c r="N406" s="2">
        <f>IF(ISNUMBER(#REF!),#REF!, _xlfn.IFS( I406&gt;=30, 5, I406&gt;=25, 4.8, I406&gt;=15, 4, I406&gt;=10, 3.8, I406&gt;=5, 3, I406&gt;=2, 2.5, I406&gt;=0, 1.8, TRUE, 1.3))</f>
        <v>3.8</v>
      </c>
      <c r="O406" s="2" t="s">
        <v>2053</v>
      </c>
      <c r="P406" s="10">
        <v>0.85</v>
      </c>
      <c r="Q406" s="10" t="str">
        <f>_xlfn.IFS(Table1[[#This Row],[Rating]]&gt;=4, "Top Performer", Table1[[#This Row],[Rating]]&gt;=3, "Average", TRUE, "Needs Imporovement")</f>
        <v>Average</v>
      </c>
    </row>
    <row r="407" spans="1:17" x14ac:dyDescent="0.3">
      <c r="A407" s="2" t="s">
        <v>858</v>
      </c>
      <c r="B407" s="2" t="s">
        <v>859</v>
      </c>
      <c r="C407" s="2" t="s">
        <v>49</v>
      </c>
      <c r="D407" s="2">
        <v>51</v>
      </c>
      <c r="E407" s="2" t="str">
        <f>_xlfn.IFS(Table1[[#This Row],[Age]]&lt;30, "18-29", D407&lt;=45,"30-45", D407&lt;=55, "46-55", TRUE, "55+")</f>
        <v>46-55</v>
      </c>
      <c r="F407" s="2" t="s">
        <v>22</v>
      </c>
      <c r="G407" s="2" t="s">
        <v>23</v>
      </c>
      <c r="H407" s="2" t="s">
        <v>50</v>
      </c>
      <c r="I407" s="5">
        <v>27</v>
      </c>
      <c r="J407" s="5" t="str">
        <f>_xlfn.IFS(Table1[[#This Row],[Experience(Years)]]&lt;5, "Junior", I407&lt;=12, "Mid-Level", I407&lt;=20, "Senior", I407&lt;=30, "Super Senior", TRUE, "Expert")</f>
        <v>Super Senior</v>
      </c>
      <c r="K407" s="7">
        <v>50</v>
      </c>
      <c r="L407" s="7">
        <f>Table1[[#This Row],[Hourly Rate]]*1000</f>
        <v>50000</v>
      </c>
      <c r="M407" s="7" t="str">
        <f t="shared" si="6"/>
        <v>Standard</v>
      </c>
      <c r="N407" s="2">
        <f>IF(ISNUMBER(#REF!),#REF!, _xlfn.IFS( I407&gt;=30, 5, I407&gt;=25, 4.8, I407&gt;=15, 4, I407&gt;=10, 3.8, I407&gt;=5, 3, I407&gt;=2, 2.5, I407&gt;=0, 1.8, TRUE, 1.3))</f>
        <v>4.8</v>
      </c>
      <c r="O407" s="2" t="s">
        <v>2052</v>
      </c>
      <c r="P407" s="10">
        <v>0.78</v>
      </c>
      <c r="Q407" s="10" t="str">
        <f>_xlfn.IFS(Table1[[#This Row],[Rating]]&gt;=4, "Top Performer", Table1[[#This Row],[Rating]]&gt;=3, "Average", TRUE, "Needs Imporovement")</f>
        <v>Top Performer</v>
      </c>
    </row>
    <row r="408" spans="1:17" x14ac:dyDescent="0.3">
      <c r="A408" s="2" t="s">
        <v>860</v>
      </c>
      <c r="B408" s="2" t="s">
        <v>861</v>
      </c>
      <c r="C408" s="2" t="s">
        <v>68</v>
      </c>
      <c r="D408" s="2">
        <v>21</v>
      </c>
      <c r="E408" s="2" t="str">
        <f>_xlfn.IFS(Table1[[#This Row],[Age]]&lt;30, "18-29", D408&lt;=45,"30-45", D408&lt;=55, "46-55", TRUE, "55+")</f>
        <v>18-29</v>
      </c>
      <c r="F408" s="2" t="s">
        <v>103</v>
      </c>
      <c r="G408" s="2" t="s">
        <v>104</v>
      </c>
      <c r="H408" s="2" t="s">
        <v>24</v>
      </c>
      <c r="I408" s="5">
        <v>2</v>
      </c>
      <c r="J408" s="5" t="str">
        <f>_xlfn.IFS(Table1[[#This Row],[Experience(Years)]]&lt;5, "Junior", I408&lt;=12, "Mid-Level", I408&lt;=20, "Senior", I408&lt;=30, "Super Senior", TRUE, "Expert")</f>
        <v>Junior</v>
      </c>
      <c r="K408" s="7">
        <v>30</v>
      </c>
      <c r="L408" s="7">
        <f>Table1[[#This Row],[Hourly Rate]]*1000</f>
        <v>30000</v>
      </c>
      <c r="M408" s="7" t="str">
        <f t="shared" si="6"/>
        <v>Budget</v>
      </c>
      <c r="N408" s="2">
        <f>IF(ISNUMBER(#REF!),#REF!, _xlfn.IFS( I408&gt;=30, 5, I408&gt;=25, 4.8, I408&gt;=15, 4, I408&gt;=10, 3.8, I408&gt;=5, 3, I408&gt;=2, 2.5, I408&gt;=0, 1.8, TRUE, 1.3))</f>
        <v>2.5</v>
      </c>
      <c r="O408" s="2" t="s">
        <v>2053</v>
      </c>
      <c r="P408" s="10">
        <v>0.98</v>
      </c>
      <c r="Q408" s="10" t="str">
        <f>_xlfn.IFS(Table1[[#This Row],[Rating]]&gt;=4, "Top Performer", Table1[[#This Row],[Rating]]&gt;=3, "Average", TRUE, "Needs Imporovement")</f>
        <v>Needs Imporovement</v>
      </c>
    </row>
    <row r="409" spans="1:17" x14ac:dyDescent="0.3">
      <c r="A409" s="2" t="s">
        <v>862</v>
      </c>
      <c r="B409" s="2" t="s">
        <v>863</v>
      </c>
      <c r="C409" s="2" t="s">
        <v>68</v>
      </c>
      <c r="D409" s="2">
        <v>51</v>
      </c>
      <c r="E409" s="2" t="str">
        <f>_xlfn.IFS(Table1[[#This Row],[Age]]&lt;30, "18-29", D409&lt;=45,"30-45", D409&lt;=55, "46-55", TRUE, "55+")</f>
        <v>46-55</v>
      </c>
      <c r="F409" s="2" t="s">
        <v>57</v>
      </c>
      <c r="G409" s="2" t="s">
        <v>58</v>
      </c>
      <c r="H409" s="2" t="s">
        <v>24</v>
      </c>
      <c r="I409" s="5">
        <v>33</v>
      </c>
      <c r="J409" s="5" t="str">
        <f>_xlfn.IFS(Table1[[#This Row],[Experience(Years)]]&lt;5, "Junior", I409&lt;=12, "Mid-Level", I409&lt;=20, "Senior", I409&lt;=30, "Super Senior", TRUE, "Expert")</f>
        <v>Expert</v>
      </c>
      <c r="K409" s="7">
        <v>40</v>
      </c>
      <c r="L409" s="7">
        <f>Table1[[#This Row],[Hourly Rate]]*1000</f>
        <v>40000</v>
      </c>
      <c r="M409" s="7" t="str">
        <f t="shared" si="6"/>
        <v>Standard</v>
      </c>
      <c r="N409" s="2">
        <f>IF(ISNUMBER(#REF!),#REF!, _xlfn.IFS( I409&gt;=30, 5, I409&gt;=25, 4.8, I409&gt;=15, 4, I409&gt;=10, 3.8, I409&gt;=5, 3, I409&gt;=2, 2.5, I409&gt;=0, 1.8, TRUE, 1.3))</f>
        <v>5</v>
      </c>
      <c r="O409" s="2" t="s">
        <v>2053</v>
      </c>
      <c r="P409" s="10">
        <v>0.63</v>
      </c>
      <c r="Q409" s="10" t="str">
        <f>_xlfn.IFS(Table1[[#This Row],[Rating]]&gt;=4, "Top Performer", Table1[[#This Row],[Rating]]&gt;=3, "Average", TRUE, "Needs Imporovement")</f>
        <v>Top Performer</v>
      </c>
    </row>
    <row r="410" spans="1:17" x14ac:dyDescent="0.3">
      <c r="A410" s="2" t="s">
        <v>864</v>
      </c>
      <c r="B410" s="2" t="s">
        <v>865</v>
      </c>
      <c r="C410" s="2" t="s">
        <v>49</v>
      </c>
      <c r="D410" s="2">
        <v>37</v>
      </c>
      <c r="E410" s="2" t="str">
        <f>_xlfn.IFS(Table1[[#This Row],[Age]]&lt;30, "18-29", D410&lt;=45,"30-45", D410&lt;=55, "46-55", TRUE, "55+")</f>
        <v>30-45</v>
      </c>
      <c r="F410" s="2" t="s">
        <v>27</v>
      </c>
      <c r="G410" s="2" t="s">
        <v>28</v>
      </c>
      <c r="H410" s="2" t="s">
        <v>14</v>
      </c>
      <c r="I410" s="5">
        <v>11</v>
      </c>
      <c r="J410" s="5" t="str">
        <f>_xlfn.IFS(Table1[[#This Row],[Experience(Years)]]&lt;5, "Junior", I410&lt;=12, "Mid-Level", I410&lt;=20, "Senior", I410&lt;=30, "Super Senior", TRUE, "Expert")</f>
        <v>Mid-Level</v>
      </c>
      <c r="K410" s="7">
        <v>40</v>
      </c>
      <c r="L410" s="7">
        <f>Table1[[#This Row],[Hourly Rate]]*1000</f>
        <v>40000</v>
      </c>
      <c r="M410" s="7" t="str">
        <f t="shared" si="6"/>
        <v>Standard</v>
      </c>
      <c r="N410" s="2">
        <f>IF(ISNUMBER(#REF!),#REF!, _xlfn.IFS( I410&gt;=30, 5, I410&gt;=25, 4.8, I410&gt;=15, 4, I410&gt;=10, 3.8, I410&gt;=5, 3, I410&gt;=2, 2.5, I410&gt;=0, 1.8, TRUE, 1.3))</f>
        <v>3.8</v>
      </c>
      <c r="O410" s="2" t="s">
        <v>2052</v>
      </c>
      <c r="P410" s="10">
        <v>0.73</v>
      </c>
      <c r="Q410" s="10" t="str">
        <f>_xlfn.IFS(Table1[[#This Row],[Rating]]&gt;=4, "Top Performer", Table1[[#This Row],[Rating]]&gt;=3, "Average", TRUE, "Needs Imporovement")</f>
        <v>Average</v>
      </c>
    </row>
    <row r="411" spans="1:17" x14ac:dyDescent="0.3">
      <c r="A411" s="2" t="s">
        <v>866</v>
      </c>
      <c r="B411" s="2" t="s">
        <v>867</v>
      </c>
      <c r="C411" s="2" t="s">
        <v>49</v>
      </c>
      <c r="D411" s="2">
        <v>20</v>
      </c>
      <c r="E411" s="2" t="str">
        <f>_xlfn.IFS(Table1[[#This Row],[Age]]&lt;30, "18-29", D411&lt;=45,"30-45", D411&lt;=55, "46-55", TRUE, "55+")</f>
        <v>18-29</v>
      </c>
      <c r="F411" s="2" t="s">
        <v>156</v>
      </c>
      <c r="G411" s="2" t="s">
        <v>45</v>
      </c>
      <c r="H411" s="2" t="s">
        <v>14</v>
      </c>
      <c r="I411" s="5">
        <v>2</v>
      </c>
      <c r="J411" s="5" t="str">
        <f>_xlfn.IFS(Table1[[#This Row],[Experience(Years)]]&lt;5, "Junior", I411&lt;=12, "Mid-Level", I411&lt;=20, "Senior", I411&lt;=30, "Super Senior", TRUE, "Expert")</f>
        <v>Junior</v>
      </c>
      <c r="K411" s="7">
        <v>30</v>
      </c>
      <c r="L411" s="7">
        <f>Table1[[#This Row],[Hourly Rate]]*1000</f>
        <v>30000</v>
      </c>
      <c r="M411" s="7" t="str">
        <f t="shared" si="6"/>
        <v>Budget</v>
      </c>
      <c r="N411" s="2">
        <f>IF(ISNUMBER(#REF!),#REF!, _xlfn.IFS( I411&gt;=30, 5, I411&gt;=25, 4.8, I411&gt;=15, 4, I411&gt;=10, 3.8, I411&gt;=5, 3, I411&gt;=2, 2.5, I411&gt;=0, 1.8, TRUE, 1.3))</f>
        <v>2.5</v>
      </c>
      <c r="O411" s="2" t="s">
        <v>2052</v>
      </c>
      <c r="P411" s="10">
        <v>0.94</v>
      </c>
      <c r="Q411" s="10" t="str">
        <f>_xlfn.IFS(Table1[[#This Row],[Rating]]&gt;=4, "Top Performer", Table1[[#This Row],[Rating]]&gt;=3, "Average", TRUE, "Needs Imporovement")</f>
        <v>Needs Imporovement</v>
      </c>
    </row>
    <row r="412" spans="1:17" x14ac:dyDescent="0.3">
      <c r="A412" s="2" t="s">
        <v>868</v>
      </c>
      <c r="B412" s="2" t="s">
        <v>869</v>
      </c>
      <c r="C412" s="2" t="s">
        <v>49</v>
      </c>
      <c r="D412" s="2">
        <v>50</v>
      </c>
      <c r="E412" s="2" t="str">
        <f>_xlfn.IFS(Table1[[#This Row],[Age]]&lt;30, "18-29", D412&lt;=45,"30-45", D412&lt;=55, "46-55", TRUE, "55+")</f>
        <v>46-55</v>
      </c>
      <c r="F412" s="2" t="s">
        <v>7</v>
      </c>
      <c r="G412" s="2" t="s">
        <v>8</v>
      </c>
      <c r="H412" s="2" t="s">
        <v>17</v>
      </c>
      <c r="I412" s="5">
        <v>31</v>
      </c>
      <c r="J412" s="5" t="str">
        <f>_xlfn.IFS(Table1[[#This Row],[Experience(Years)]]&lt;5, "Junior", I412&lt;=12, "Mid-Level", I412&lt;=20, "Senior", I412&lt;=30, "Super Senior", TRUE, "Expert")</f>
        <v>Expert</v>
      </c>
      <c r="K412" s="7">
        <v>50</v>
      </c>
      <c r="L412" s="7">
        <f>Table1[[#This Row],[Hourly Rate]]*1000</f>
        <v>50000</v>
      </c>
      <c r="M412" s="7" t="str">
        <f t="shared" si="6"/>
        <v>Standard</v>
      </c>
      <c r="N412" s="2">
        <f>IF(ISNUMBER(#REF!),#REF!, _xlfn.IFS( I412&gt;=30, 5, I412&gt;=25, 4.8, I412&gt;=15, 4, I412&gt;=10, 3.8, I412&gt;=5, 3, I412&gt;=2, 2.5, I412&gt;=0, 1.8, TRUE, 1.3))</f>
        <v>5</v>
      </c>
      <c r="O412" s="2" t="str">
        <f>IF(AND( Table1[[#This Row],[Rating]]&gt;=3.5, Table1[[#This Row],[Experience(Years)]]&gt;=15), "Active", "Inactive")</f>
        <v>Active</v>
      </c>
      <c r="P412" s="10">
        <v>0.81</v>
      </c>
      <c r="Q412" s="10" t="str">
        <f>_xlfn.IFS(Table1[[#This Row],[Rating]]&gt;=4, "Top Performer", Table1[[#This Row],[Rating]]&gt;=3, "Average", TRUE, "Needs Imporovement")</f>
        <v>Top Performer</v>
      </c>
    </row>
    <row r="413" spans="1:17" x14ac:dyDescent="0.3">
      <c r="A413" s="2" t="s">
        <v>870</v>
      </c>
      <c r="B413" s="2" t="s">
        <v>871</v>
      </c>
      <c r="C413" s="2" t="s">
        <v>49</v>
      </c>
      <c r="D413" s="2">
        <v>58</v>
      </c>
      <c r="E413" s="2" t="str">
        <f>_xlfn.IFS(Table1[[#This Row],[Age]]&lt;30, "18-29", D413&lt;=45,"30-45", D413&lt;=55, "46-55", TRUE, "55+")</f>
        <v>55+</v>
      </c>
      <c r="F413" s="2" t="s">
        <v>37</v>
      </c>
      <c r="G413" s="2" t="s">
        <v>38</v>
      </c>
      <c r="H413" s="2" t="s">
        <v>14</v>
      </c>
      <c r="I413" s="5">
        <v>17</v>
      </c>
      <c r="J413" s="5" t="str">
        <f>_xlfn.IFS(Table1[[#This Row],[Experience(Years)]]&lt;5, "Junior", I413&lt;=12, "Mid-Level", I413&lt;=20, "Senior", I413&lt;=30, "Super Senior", TRUE, "Expert")</f>
        <v>Senior</v>
      </c>
      <c r="K413" s="7">
        <v>50</v>
      </c>
      <c r="L413" s="7">
        <f>Table1[[#This Row],[Hourly Rate]]*1000</f>
        <v>50000</v>
      </c>
      <c r="M413" s="7" t="str">
        <f t="shared" si="6"/>
        <v>Standard</v>
      </c>
      <c r="N413" s="2">
        <f>IF(ISNUMBER(#REF!),#REF!, _xlfn.IFS( I413&gt;=30, 5, I413&gt;=25, 4.8, I413&gt;=15, 4, I413&gt;=10, 3.8, I413&gt;=5, 3, I413&gt;=2, 2.5, I413&gt;=0, 1.8, TRUE, 1.3))</f>
        <v>4</v>
      </c>
      <c r="O413" s="2" t="s">
        <v>2053</v>
      </c>
      <c r="P413" s="10">
        <v>0.61</v>
      </c>
      <c r="Q413" s="10" t="str">
        <f>_xlfn.IFS(Table1[[#This Row],[Rating]]&gt;=4, "Top Performer", Table1[[#This Row],[Rating]]&gt;=3, "Average", TRUE, "Needs Imporovement")</f>
        <v>Top Performer</v>
      </c>
    </row>
    <row r="414" spans="1:17" x14ac:dyDescent="0.3">
      <c r="A414" s="2" t="s">
        <v>872</v>
      </c>
      <c r="B414" s="2" t="s">
        <v>873</v>
      </c>
      <c r="C414" s="2" t="s">
        <v>49</v>
      </c>
      <c r="D414" s="2">
        <v>40</v>
      </c>
      <c r="E414" s="2" t="str">
        <f>_xlfn.IFS(Table1[[#This Row],[Age]]&lt;30, "18-29", D414&lt;=45,"30-45", D414&lt;=55, "46-55", TRUE, "55+")</f>
        <v>30-45</v>
      </c>
      <c r="F414" s="2" t="s">
        <v>77</v>
      </c>
      <c r="G414" s="2" t="s">
        <v>78</v>
      </c>
      <c r="H414" s="2" t="s">
        <v>46</v>
      </c>
      <c r="I414" s="5">
        <v>2</v>
      </c>
      <c r="J414" s="5" t="str">
        <f>_xlfn.IFS(Table1[[#This Row],[Experience(Years)]]&lt;5, "Junior", I414&lt;=12, "Mid-Level", I414&lt;=20, "Senior", I414&lt;=30, "Super Senior", TRUE, "Expert")</f>
        <v>Junior</v>
      </c>
      <c r="K414" s="7">
        <v>100</v>
      </c>
      <c r="L414" s="7">
        <f>Table1[[#This Row],[Hourly Rate]]*1000</f>
        <v>100000</v>
      </c>
      <c r="M414" s="7" t="str">
        <f t="shared" si="6"/>
        <v>Premium</v>
      </c>
      <c r="N414" s="2">
        <f>IF(ISNUMBER(#REF!),#REF!, _xlfn.IFS( I414&gt;=30, 5, I414&gt;=25, 4.8, I414&gt;=15, 4, I414&gt;=10, 3.8, I414&gt;=5, 3, I414&gt;=2, 2.5, I414&gt;=0, 1.8, TRUE, 1.3))</f>
        <v>2.5</v>
      </c>
      <c r="O414" s="2" t="s">
        <v>2052</v>
      </c>
      <c r="P414" s="10">
        <v>0.35</v>
      </c>
      <c r="Q414" s="10" t="str">
        <f>_xlfn.IFS(Table1[[#This Row],[Rating]]&gt;=4, "Top Performer", Table1[[#This Row],[Rating]]&gt;=3, "Average", TRUE, "Needs Imporovement")</f>
        <v>Needs Imporovement</v>
      </c>
    </row>
    <row r="415" spans="1:17" x14ac:dyDescent="0.3">
      <c r="A415" s="2" t="s">
        <v>874</v>
      </c>
      <c r="B415" s="2" t="s">
        <v>875</v>
      </c>
      <c r="C415" s="2" t="s">
        <v>49</v>
      </c>
      <c r="D415" s="2">
        <v>26</v>
      </c>
      <c r="E415" s="2" t="str">
        <f>_xlfn.IFS(Table1[[#This Row],[Age]]&lt;30, "18-29", D415&lt;=45,"30-45", D415&lt;=55, "46-55", TRUE, "55+")</f>
        <v>18-29</v>
      </c>
      <c r="F415" s="2" t="s">
        <v>107</v>
      </c>
      <c r="G415" s="2" t="s">
        <v>108</v>
      </c>
      <c r="H415" s="2" t="s">
        <v>17</v>
      </c>
      <c r="I415" s="5">
        <v>2</v>
      </c>
      <c r="J415" s="5" t="str">
        <f>_xlfn.IFS(Table1[[#This Row],[Experience(Years)]]&lt;5, "Junior", I415&lt;=12, "Mid-Level", I415&lt;=20, "Senior", I415&lt;=30, "Super Senior", TRUE, "Expert")</f>
        <v>Junior</v>
      </c>
      <c r="K415" s="7">
        <v>20</v>
      </c>
      <c r="L415" s="7">
        <f>Table1[[#This Row],[Hourly Rate]]*1000</f>
        <v>20000</v>
      </c>
      <c r="M415" s="7" t="str">
        <f t="shared" si="6"/>
        <v>Budget</v>
      </c>
      <c r="N415" s="2">
        <f>IF(ISNUMBER(#REF!),#REF!, _xlfn.IFS( I415&gt;=30, 5, I415&gt;=25, 4.8, I415&gt;=15, 4, I415&gt;=10, 3.8, I415&gt;=5, 3, I415&gt;=2, 2.5, I415&gt;=0, 1.8, TRUE, 1.3))</f>
        <v>2.5</v>
      </c>
      <c r="O415" s="2" t="s">
        <v>2052</v>
      </c>
      <c r="P415" s="10">
        <v>0.83</v>
      </c>
      <c r="Q415" s="10" t="str">
        <f>_xlfn.IFS(Table1[[#This Row],[Rating]]&gt;=4, "Top Performer", Table1[[#This Row],[Rating]]&gt;=3, "Average", TRUE, "Needs Imporovement")</f>
        <v>Needs Imporovement</v>
      </c>
    </row>
    <row r="416" spans="1:17" x14ac:dyDescent="0.3">
      <c r="A416" s="2" t="s">
        <v>876</v>
      </c>
      <c r="B416" s="2" t="s">
        <v>877</v>
      </c>
      <c r="C416" s="2" t="s">
        <v>49</v>
      </c>
      <c r="D416" s="2">
        <v>44</v>
      </c>
      <c r="E416" s="2" t="str">
        <f>_xlfn.IFS(Table1[[#This Row],[Age]]&lt;30, "18-29", D416&lt;=45,"30-45", D416&lt;=55, "46-55", TRUE, "55+")</f>
        <v>30-45</v>
      </c>
      <c r="F416" s="2" t="s">
        <v>81</v>
      </c>
      <c r="G416" s="2" t="s">
        <v>82</v>
      </c>
      <c r="H416" s="2" t="s">
        <v>50</v>
      </c>
      <c r="I416" s="5">
        <v>22</v>
      </c>
      <c r="J416" s="5" t="str">
        <f>_xlfn.IFS(Table1[[#This Row],[Experience(Years)]]&lt;5, "Junior", I416&lt;=12, "Mid-Level", I416&lt;=20, "Senior", I416&lt;=30, "Super Senior", TRUE, "Expert")</f>
        <v>Super Senior</v>
      </c>
      <c r="K416" s="7">
        <v>30</v>
      </c>
      <c r="L416" s="7">
        <f>Table1[[#This Row],[Hourly Rate]]*1000</f>
        <v>30000</v>
      </c>
      <c r="M416" s="7" t="str">
        <f t="shared" si="6"/>
        <v>Budget</v>
      </c>
      <c r="N416" s="2">
        <f>IF(ISNUMBER(#REF!),#REF!, _xlfn.IFS( I416&gt;=30, 5, I416&gt;=25, 4.8, I416&gt;=15, 4, I416&gt;=10, 3.8, I416&gt;=5, 3, I416&gt;=2, 2.5, I416&gt;=0, 1.8, TRUE, 1.3))</f>
        <v>4</v>
      </c>
      <c r="O416" s="2" t="s">
        <v>2053</v>
      </c>
      <c r="P416" s="10">
        <v>0.85</v>
      </c>
      <c r="Q416" s="10" t="str">
        <f>_xlfn.IFS(Table1[[#This Row],[Rating]]&gt;=4, "Top Performer", Table1[[#This Row],[Rating]]&gt;=3, "Average", TRUE, "Needs Imporovement")</f>
        <v>Top Performer</v>
      </c>
    </row>
    <row r="417" spans="1:17" x14ac:dyDescent="0.3">
      <c r="A417" s="2" t="s">
        <v>878</v>
      </c>
      <c r="B417" s="2" t="s">
        <v>879</v>
      </c>
      <c r="C417" s="2" t="s">
        <v>68</v>
      </c>
      <c r="D417" s="2">
        <v>42</v>
      </c>
      <c r="E417" s="2" t="str">
        <f>_xlfn.IFS(Table1[[#This Row],[Age]]&lt;30, "18-29", D417&lt;=45,"30-45", D417&lt;=55, "46-55", TRUE, "55+")</f>
        <v>30-45</v>
      </c>
      <c r="F417" s="2" t="s">
        <v>145</v>
      </c>
      <c r="G417" s="2" t="s">
        <v>45</v>
      </c>
      <c r="H417" s="2" t="s">
        <v>83</v>
      </c>
      <c r="I417" s="5">
        <v>8</v>
      </c>
      <c r="J417" s="5" t="str">
        <f>_xlfn.IFS(Table1[[#This Row],[Experience(Years)]]&lt;5, "Junior", I417&lt;=12, "Mid-Level", I417&lt;=20, "Senior", I417&lt;=30, "Super Senior", TRUE, "Expert")</f>
        <v>Mid-Level</v>
      </c>
      <c r="K417" s="7">
        <v>50</v>
      </c>
      <c r="L417" s="7">
        <f>Table1[[#This Row],[Hourly Rate]]*1000</f>
        <v>50000</v>
      </c>
      <c r="M417" s="7" t="str">
        <f t="shared" si="6"/>
        <v>Standard</v>
      </c>
      <c r="N417" s="2">
        <f>IF(ISNUMBER(#REF!),#REF!, _xlfn.IFS( I417&gt;=30, 5, I417&gt;=25, 4.8, I417&gt;=15, 4, I417&gt;=10, 3.8, I417&gt;=5, 3, I417&gt;=2, 2.5, I417&gt;=0, 1.8, TRUE, 1.3))</f>
        <v>3</v>
      </c>
      <c r="O417" s="2" t="s">
        <v>2052</v>
      </c>
      <c r="P417" s="10">
        <v>0.68</v>
      </c>
      <c r="Q417" s="10" t="str">
        <f>_xlfn.IFS(Table1[[#This Row],[Rating]]&gt;=4, "Top Performer", Table1[[#This Row],[Rating]]&gt;=3, "Average", TRUE, "Needs Imporovement")</f>
        <v>Average</v>
      </c>
    </row>
    <row r="418" spans="1:17" x14ac:dyDescent="0.3">
      <c r="A418" s="2" t="s">
        <v>880</v>
      </c>
      <c r="B418" s="2" t="s">
        <v>300</v>
      </c>
      <c r="C418" s="2" t="s">
        <v>68</v>
      </c>
      <c r="D418" s="2">
        <v>38</v>
      </c>
      <c r="E418" s="2" t="str">
        <f>_xlfn.IFS(Table1[[#This Row],[Age]]&lt;30, "18-29", D418&lt;=45,"30-45", D418&lt;=55, "46-55", TRUE, "55+")</f>
        <v>30-45</v>
      </c>
      <c r="F418" s="2" t="s">
        <v>145</v>
      </c>
      <c r="G418" s="2" t="s">
        <v>45</v>
      </c>
      <c r="H418" s="2" t="s">
        <v>29</v>
      </c>
      <c r="I418" s="5">
        <v>9</v>
      </c>
      <c r="J418" s="5" t="str">
        <f>_xlfn.IFS(Table1[[#This Row],[Experience(Years)]]&lt;5, "Junior", I418&lt;=12, "Mid-Level", I418&lt;=20, "Senior", I418&lt;=30, "Super Senior", TRUE, "Expert")</f>
        <v>Mid-Level</v>
      </c>
      <c r="K418" s="7">
        <v>50</v>
      </c>
      <c r="L418" s="7">
        <f>Table1[[#This Row],[Hourly Rate]]*1000</f>
        <v>50000</v>
      </c>
      <c r="M418" s="7" t="str">
        <f t="shared" si="6"/>
        <v>Standard</v>
      </c>
      <c r="N418" s="2">
        <f>IF(ISNUMBER(#REF!),#REF!, _xlfn.IFS( I418&gt;=30, 5, I418&gt;=25, 4.8, I418&gt;=15, 4, I418&gt;=10, 3.8, I418&gt;=5, 3, I418&gt;=2, 2.5, I418&gt;=0, 1.8, TRUE, 1.3))</f>
        <v>3</v>
      </c>
      <c r="O418" s="2" t="s">
        <v>2052</v>
      </c>
      <c r="P418" s="10">
        <v>0.74</v>
      </c>
      <c r="Q418" s="10" t="str">
        <f>_xlfn.IFS(Table1[[#This Row],[Rating]]&gt;=4, "Top Performer", Table1[[#This Row],[Rating]]&gt;=3, "Average", TRUE, "Needs Imporovement")</f>
        <v>Average</v>
      </c>
    </row>
    <row r="419" spans="1:17" x14ac:dyDescent="0.3">
      <c r="A419" s="2" t="s">
        <v>881</v>
      </c>
      <c r="B419" s="2" t="s">
        <v>882</v>
      </c>
      <c r="C419" s="2" t="s">
        <v>68</v>
      </c>
      <c r="D419" s="2">
        <v>51</v>
      </c>
      <c r="E419" s="2" t="str">
        <f>_xlfn.IFS(Table1[[#This Row],[Age]]&lt;30, "18-29", D419&lt;=45,"30-45", D419&lt;=55, "46-55", TRUE, "55+")</f>
        <v>46-55</v>
      </c>
      <c r="F419" s="2" t="s">
        <v>107</v>
      </c>
      <c r="G419" s="2" t="s">
        <v>108</v>
      </c>
      <c r="H419" s="2" t="s">
        <v>17</v>
      </c>
      <c r="I419" s="5">
        <v>32</v>
      </c>
      <c r="J419" s="5" t="str">
        <f>_xlfn.IFS(Table1[[#This Row],[Experience(Years)]]&lt;5, "Junior", I419&lt;=12, "Mid-Level", I419&lt;=20, "Senior", I419&lt;=30, "Super Senior", TRUE, "Expert")</f>
        <v>Expert</v>
      </c>
      <c r="K419" s="7">
        <v>100</v>
      </c>
      <c r="L419" s="7">
        <f>Table1[[#This Row],[Hourly Rate]]*1000</f>
        <v>100000</v>
      </c>
      <c r="M419" s="7" t="str">
        <f t="shared" si="6"/>
        <v>Premium</v>
      </c>
      <c r="N419" s="2">
        <f>IF(ISNUMBER(#REF!),#REF!, _xlfn.IFS( I419&gt;=30, 5, I419&gt;=25, 4.8, I419&gt;=15, 4, I419&gt;=10, 3.8, I419&gt;=5, 3, I419&gt;=2, 2.5, I419&gt;=0, 1.8, TRUE, 1.3))</f>
        <v>5</v>
      </c>
      <c r="O419" s="2" t="s">
        <v>2052</v>
      </c>
      <c r="P419" s="10">
        <v>0.91</v>
      </c>
      <c r="Q419" s="10" t="str">
        <f>_xlfn.IFS(Table1[[#This Row],[Rating]]&gt;=4, "Top Performer", Table1[[#This Row],[Rating]]&gt;=3, "Average", TRUE, "Needs Imporovement")</f>
        <v>Top Performer</v>
      </c>
    </row>
    <row r="420" spans="1:17" x14ac:dyDescent="0.3">
      <c r="A420" s="2" t="s">
        <v>883</v>
      </c>
      <c r="B420" s="2" t="s">
        <v>884</v>
      </c>
      <c r="C420" s="2" t="s">
        <v>49</v>
      </c>
      <c r="D420" s="2">
        <v>36</v>
      </c>
      <c r="E420" s="2" t="str">
        <f>_xlfn.IFS(Table1[[#This Row],[Age]]&lt;30, "18-29", D420&lt;=45,"30-45", D420&lt;=55, "46-55", TRUE, "55+")</f>
        <v>30-45</v>
      </c>
      <c r="F420" s="2" t="s">
        <v>103</v>
      </c>
      <c r="G420" s="2" t="s">
        <v>104</v>
      </c>
      <c r="H420" s="2" t="s">
        <v>24</v>
      </c>
      <c r="I420" s="5">
        <v>8</v>
      </c>
      <c r="J420" s="5" t="str">
        <f>_xlfn.IFS(Table1[[#This Row],[Experience(Years)]]&lt;5, "Junior", I420&lt;=12, "Mid-Level", I420&lt;=20, "Senior", I420&lt;=30, "Super Senior", TRUE, "Expert")</f>
        <v>Mid-Level</v>
      </c>
      <c r="K420" s="7">
        <v>100</v>
      </c>
      <c r="L420" s="7">
        <f>Table1[[#This Row],[Hourly Rate]]*1000</f>
        <v>100000</v>
      </c>
      <c r="M420" s="7" t="str">
        <f t="shared" si="6"/>
        <v>Premium</v>
      </c>
      <c r="N420" s="2">
        <f>IF(ISNUMBER(#REF!),#REF!, _xlfn.IFS( I420&gt;=30, 5, I420&gt;=25, 4.8, I420&gt;=15, 4, I420&gt;=10, 3.8, I420&gt;=5, 3, I420&gt;=2, 2.5, I420&gt;=0, 1.8, TRUE, 1.3))</f>
        <v>3</v>
      </c>
      <c r="O420" s="2" t="s">
        <v>2053</v>
      </c>
      <c r="P420" s="10">
        <v>0.97</v>
      </c>
      <c r="Q420" s="10" t="str">
        <f>_xlfn.IFS(Table1[[#This Row],[Rating]]&gt;=4, "Top Performer", Table1[[#This Row],[Rating]]&gt;=3, "Average", TRUE, "Needs Imporovement")</f>
        <v>Average</v>
      </c>
    </row>
    <row r="421" spans="1:17" x14ac:dyDescent="0.3">
      <c r="A421" s="2" t="s">
        <v>885</v>
      </c>
      <c r="B421" s="2" t="s">
        <v>886</v>
      </c>
      <c r="C421" s="2" t="s">
        <v>49</v>
      </c>
      <c r="D421" s="2">
        <v>37</v>
      </c>
      <c r="E421" s="2" t="str">
        <f>_xlfn.IFS(Table1[[#This Row],[Age]]&lt;30, "18-29", D421&lt;=45,"30-45", D421&lt;=55, "46-55", TRUE, "55+")</f>
        <v>30-45</v>
      </c>
      <c r="F421" s="2" t="s">
        <v>7</v>
      </c>
      <c r="G421" s="2" t="s">
        <v>8</v>
      </c>
      <c r="H421" s="2" t="s">
        <v>9</v>
      </c>
      <c r="I421" s="5">
        <v>10</v>
      </c>
      <c r="J421" s="5" t="str">
        <f>_xlfn.IFS(Table1[[#This Row],[Experience(Years)]]&lt;5, "Junior", I421&lt;=12, "Mid-Level", I421&lt;=20, "Senior", I421&lt;=30, "Super Senior", TRUE, "Expert")</f>
        <v>Mid-Level</v>
      </c>
      <c r="K421" s="7">
        <v>30</v>
      </c>
      <c r="L421" s="7">
        <f>Table1[[#This Row],[Hourly Rate]]*1000</f>
        <v>30000</v>
      </c>
      <c r="M421" s="7" t="str">
        <f t="shared" si="6"/>
        <v>Budget</v>
      </c>
      <c r="N421" s="2">
        <f>IF(ISNUMBER(#REF!),#REF!, _xlfn.IFS( I421&gt;=30, 5, I421&gt;=25, 4.8, I421&gt;=15, 4, I421&gt;=10, 3.8, I421&gt;=5, 3, I421&gt;=2, 2.5, I421&gt;=0, 1.8, TRUE, 1.3))</f>
        <v>3.8</v>
      </c>
      <c r="O421" s="2" t="s">
        <v>2052</v>
      </c>
      <c r="P421" s="10">
        <v>0.96</v>
      </c>
      <c r="Q421" s="10" t="str">
        <f>_xlfn.IFS(Table1[[#This Row],[Rating]]&gt;=4, "Top Performer", Table1[[#This Row],[Rating]]&gt;=3, "Average", TRUE, "Needs Imporovement")</f>
        <v>Average</v>
      </c>
    </row>
    <row r="422" spans="1:17" x14ac:dyDescent="0.3">
      <c r="A422" s="2" t="s">
        <v>887</v>
      </c>
      <c r="B422" s="2" t="s">
        <v>888</v>
      </c>
      <c r="C422" s="2" t="s">
        <v>68</v>
      </c>
      <c r="D422" s="2">
        <v>31</v>
      </c>
      <c r="E422" s="2" t="str">
        <f>_xlfn.IFS(Table1[[#This Row],[Age]]&lt;30, "18-29", D422&lt;=45,"30-45", D422&lt;=55, "46-55", TRUE, "55+")</f>
        <v>30-45</v>
      </c>
      <c r="F422" s="2" t="s">
        <v>121</v>
      </c>
      <c r="G422" s="2" t="s">
        <v>122</v>
      </c>
      <c r="H422" s="2" t="s">
        <v>61</v>
      </c>
      <c r="I422" s="5">
        <v>0</v>
      </c>
      <c r="J422" s="5" t="str">
        <f>_xlfn.IFS(Table1[[#This Row],[Experience(Years)]]&lt;5, "Junior", I422&lt;=12, "Mid-Level", I422&lt;=20, "Senior", I422&lt;=30, "Super Senior", TRUE, "Expert")</f>
        <v>Junior</v>
      </c>
      <c r="K422" s="7">
        <v>50</v>
      </c>
      <c r="L422" s="7">
        <f>Table1[[#This Row],[Hourly Rate]]*1000</f>
        <v>50000</v>
      </c>
      <c r="M422" s="7" t="str">
        <f t="shared" si="6"/>
        <v>Standard</v>
      </c>
      <c r="N422" s="2">
        <f>IF(ISNUMBER(#REF!),#REF!, _xlfn.IFS( I422&gt;=30, 5, I422&gt;=25, 4.8, I422&gt;=15, 4, I422&gt;=10, 3.8, I422&gt;=5, 3, I422&gt;=2, 2.5, I422&gt;=0, 1.8, TRUE, 1.3))</f>
        <v>1.8</v>
      </c>
      <c r="O422" s="2" t="s">
        <v>2053</v>
      </c>
      <c r="P422" s="10">
        <v>0.73</v>
      </c>
      <c r="Q422" s="10" t="str">
        <f>_xlfn.IFS(Table1[[#This Row],[Rating]]&gt;=4, "Top Performer", Table1[[#This Row],[Rating]]&gt;=3, "Average", TRUE, "Needs Imporovement")</f>
        <v>Needs Imporovement</v>
      </c>
    </row>
    <row r="423" spans="1:17" x14ac:dyDescent="0.3">
      <c r="A423" s="2" t="s">
        <v>889</v>
      </c>
      <c r="B423" s="2" t="s">
        <v>890</v>
      </c>
      <c r="C423" s="2" t="s">
        <v>49</v>
      </c>
      <c r="D423" s="2">
        <v>47</v>
      </c>
      <c r="E423" s="2" t="str">
        <f>_xlfn.IFS(Table1[[#This Row],[Age]]&lt;30, "18-29", D423&lt;=45,"30-45", D423&lt;=55, "46-55", TRUE, "55+")</f>
        <v>46-55</v>
      </c>
      <c r="F423" s="2" t="s">
        <v>64</v>
      </c>
      <c r="G423" s="2" t="s">
        <v>65</v>
      </c>
      <c r="H423" s="2" t="s">
        <v>50</v>
      </c>
      <c r="I423" s="5">
        <v>22</v>
      </c>
      <c r="J423" s="5" t="str">
        <f>_xlfn.IFS(Table1[[#This Row],[Experience(Years)]]&lt;5, "Junior", I423&lt;=12, "Mid-Level", I423&lt;=20, "Senior", I423&lt;=30, "Super Senior", TRUE, "Expert")</f>
        <v>Super Senior</v>
      </c>
      <c r="K423" s="7">
        <v>90</v>
      </c>
      <c r="L423" s="7">
        <f>Table1[[#This Row],[Hourly Rate]]*1000</f>
        <v>90000</v>
      </c>
      <c r="M423" s="7" t="str">
        <f t="shared" si="6"/>
        <v>Premium</v>
      </c>
      <c r="N423" s="2">
        <f>IF(ISNUMBER(#REF!),#REF!, _xlfn.IFS( I423&gt;=30, 5, I423&gt;=25, 4.8, I423&gt;=15, 4, I423&gt;=10, 3.8, I423&gt;=5, 3, I423&gt;=2, 2.5, I423&gt;=0, 1.8, TRUE, 1.3))</f>
        <v>4</v>
      </c>
      <c r="O423" s="2" t="s">
        <v>2053</v>
      </c>
      <c r="P423" s="10">
        <v>0.72</v>
      </c>
      <c r="Q423" s="10" t="str">
        <f>_xlfn.IFS(Table1[[#This Row],[Rating]]&gt;=4, "Top Performer", Table1[[#This Row],[Rating]]&gt;=3, "Average", TRUE, "Needs Imporovement")</f>
        <v>Top Performer</v>
      </c>
    </row>
    <row r="424" spans="1:17" x14ac:dyDescent="0.3">
      <c r="A424" s="2" t="s">
        <v>891</v>
      </c>
      <c r="B424" s="2" t="s">
        <v>892</v>
      </c>
      <c r="C424" s="2" t="s">
        <v>49</v>
      </c>
      <c r="D424" s="2">
        <v>60</v>
      </c>
      <c r="E424" s="2" t="str">
        <f>_xlfn.IFS(Table1[[#This Row],[Age]]&lt;30, "18-29", D424&lt;=45,"30-45", D424&lt;=55, "46-55", TRUE, "55+")</f>
        <v>55+</v>
      </c>
      <c r="F424" s="2" t="s">
        <v>145</v>
      </c>
      <c r="G424" s="2" t="s">
        <v>45</v>
      </c>
      <c r="H424" s="2" t="s">
        <v>46</v>
      </c>
      <c r="I424" s="5">
        <v>34</v>
      </c>
      <c r="J424" s="5" t="str">
        <f>_xlfn.IFS(Table1[[#This Row],[Experience(Years)]]&lt;5, "Junior", I424&lt;=12, "Mid-Level", I424&lt;=20, "Senior", I424&lt;=30, "Super Senior", TRUE, "Expert")</f>
        <v>Expert</v>
      </c>
      <c r="K424" s="7">
        <v>100</v>
      </c>
      <c r="L424" s="7">
        <f>Table1[[#This Row],[Hourly Rate]]*1000</f>
        <v>100000</v>
      </c>
      <c r="M424" s="7" t="str">
        <f t="shared" si="6"/>
        <v>Premium</v>
      </c>
      <c r="N424" s="2">
        <f>IF(ISNUMBER(#REF!),#REF!, _xlfn.IFS( I424&gt;=30, 5, I424&gt;=25, 4.8, I424&gt;=15, 4, I424&gt;=10, 3.8, I424&gt;=5, 3, I424&gt;=2, 2.5, I424&gt;=0, 1.8, TRUE, 1.3))</f>
        <v>5</v>
      </c>
      <c r="O424" s="2" t="s">
        <v>2053</v>
      </c>
      <c r="P424" s="10">
        <v>0.74</v>
      </c>
      <c r="Q424" s="10" t="str">
        <f>_xlfn.IFS(Table1[[#This Row],[Rating]]&gt;=4, "Top Performer", Table1[[#This Row],[Rating]]&gt;=3, "Average", TRUE, "Needs Imporovement")</f>
        <v>Top Performer</v>
      </c>
    </row>
    <row r="425" spans="1:17" x14ac:dyDescent="0.3">
      <c r="A425" s="2" t="s">
        <v>893</v>
      </c>
      <c r="B425" s="2" t="s">
        <v>894</v>
      </c>
      <c r="C425" s="2" t="s">
        <v>49</v>
      </c>
      <c r="D425" s="2">
        <v>48</v>
      </c>
      <c r="E425" s="2" t="str">
        <f>_xlfn.IFS(Table1[[#This Row],[Age]]&lt;30, "18-29", D425&lt;=45,"30-45", D425&lt;=55, "46-55", TRUE, "55+")</f>
        <v>46-55</v>
      </c>
      <c r="F425" s="2" t="s">
        <v>44</v>
      </c>
      <c r="G425" s="2" t="s">
        <v>45</v>
      </c>
      <c r="H425" s="2" t="s">
        <v>9</v>
      </c>
      <c r="I425" s="5">
        <v>5</v>
      </c>
      <c r="J425" s="5" t="str">
        <f>_xlfn.IFS(Table1[[#This Row],[Experience(Years)]]&lt;5, "Junior", I425&lt;=12, "Mid-Level", I425&lt;=20, "Senior", I425&lt;=30, "Super Senior", TRUE, "Expert")</f>
        <v>Mid-Level</v>
      </c>
      <c r="K425" s="7">
        <v>30</v>
      </c>
      <c r="L425" s="7">
        <f>Table1[[#This Row],[Hourly Rate]]*1000</f>
        <v>30000</v>
      </c>
      <c r="M425" s="7" t="str">
        <f t="shared" si="6"/>
        <v>Budget</v>
      </c>
      <c r="N425" s="2">
        <f>IF(ISNUMBER(#REF!),#REF!, _xlfn.IFS( I425&gt;=30, 5, I425&gt;=25, 4.8, I425&gt;=15, 4, I425&gt;=10, 3.8, I425&gt;=5, 3, I425&gt;=2, 2.5, I425&gt;=0, 1.8, TRUE, 1.3))</f>
        <v>3</v>
      </c>
      <c r="O425" s="2" t="s">
        <v>2052</v>
      </c>
      <c r="P425" s="10">
        <v>0.6</v>
      </c>
      <c r="Q425" s="10" t="str">
        <f>_xlfn.IFS(Table1[[#This Row],[Rating]]&gt;=4, "Top Performer", Table1[[#This Row],[Rating]]&gt;=3, "Average", TRUE, "Needs Imporovement")</f>
        <v>Average</v>
      </c>
    </row>
    <row r="426" spans="1:17" x14ac:dyDescent="0.3">
      <c r="A426" s="2" t="s">
        <v>895</v>
      </c>
      <c r="B426" s="2" t="s">
        <v>896</v>
      </c>
      <c r="C426" s="2" t="s">
        <v>49</v>
      </c>
      <c r="D426" s="2">
        <v>24</v>
      </c>
      <c r="E426" s="2" t="str">
        <f>_xlfn.IFS(Table1[[#This Row],[Age]]&lt;30, "18-29", D426&lt;=45,"30-45", D426&lt;=55, "46-55", TRUE, "55+")</f>
        <v>18-29</v>
      </c>
      <c r="F426" s="2" t="s">
        <v>64</v>
      </c>
      <c r="G426" s="2" t="s">
        <v>65</v>
      </c>
      <c r="H426" s="2" t="s">
        <v>24</v>
      </c>
      <c r="I426" s="5">
        <v>3</v>
      </c>
      <c r="J426" s="5" t="str">
        <f>_xlfn.IFS(Table1[[#This Row],[Experience(Years)]]&lt;5, "Junior", I426&lt;=12, "Mid-Level", I426&lt;=20, "Senior", I426&lt;=30, "Super Senior", TRUE, "Expert")</f>
        <v>Junior</v>
      </c>
      <c r="K426" s="7">
        <v>20</v>
      </c>
      <c r="L426" s="7">
        <f>Table1[[#This Row],[Hourly Rate]]*1000</f>
        <v>20000</v>
      </c>
      <c r="M426" s="7" t="str">
        <f t="shared" si="6"/>
        <v>Budget</v>
      </c>
      <c r="N426" s="2">
        <f>IF(ISNUMBER(#REF!),#REF!, _xlfn.IFS( I426&gt;=30, 5, I426&gt;=25, 4.8, I426&gt;=15, 4, I426&gt;=10, 3.8, I426&gt;=5, 3, I426&gt;=2, 2.5, I426&gt;=0, 1.8, TRUE, 1.3))</f>
        <v>2.5</v>
      </c>
      <c r="O426" s="2" t="s">
        <v>2053</v>
      </c>
      <c r="P426" s="10">
        <v>0.35</v>
      </c>
      <c r="Q426" s="10" t="str">
        <f>_xlfn.IFS(Table1[[#This Row],[Rating]]&gt;=4, "Top Performer", Table1[[#This Row],[Rating]]&gt;=3, "Average", TRUE, "Needs Imporovement")</f>
        <v>Needs Imporovement</v>
      </c>
    </row>
    <row r="427" spans="1:17" x14ac:dyDescent="0.3">
      <c r="A427" s="2" t="s">
        <v>897</v>
      </c>
      <c r="B427" s="2" t="s">
        <v>898</v>
      </c>
      <c r="C427" s="2" t="s">
        <v>49</v>
      </c>
      <c r="D427" s="2">
        <v>35</v>
      </c>
      <c r="E427" s="2" t="str">
        <f>_xlfn.IFS(Table1[[#This Row],[Age]]&lt;30, "18-29", D427&lt;=45,"30-45", D427&lt;=55, "46-55", TRUE, "55+")</f>
        <v>30-45</v>
      </c>
      <c r="F427" s="2" t="s">
        <v>22</v>
      </c>
      <c r="G427" s="2" t="s">
        <v>23</v>
      </c>
      <c r="H427" s="2" t="s">
        <v>83</v>
      </c>
      <c r="I427" s="5">
        <v>10</v>
      </c>
      <c r="J427" s="5" t="str">
        <f>_xlfn.IFS(Table1[[#This Row],[Experience(Years)]]&lt;5, "Junior", I427&lt;=12, "Mid-Level", I427&lt;=20, "Senior", I427&lt;=30, "Super Senior", TRUE, "Expert")</f>
        <v>Mid-Level</v>
      </c>
      <c r="K427" s="7">
        <v>75</v>
      </c>
      <c r="L427" s="7">
        <f>Table1[[#This Row],[Hourly Rate]]*1000</f>
        <v>75000</v>
      </c>
      <c r="M427" s="7" t="str">
        <f t="shared" si="6"/>
        <v>Standard</v>
      </c>
      <c r="N427" s="2">
        <f>IF(ISNUMBER(#REF!),#REF!, _xlfn.IFS( I427&gt;=30, 5, I427&gt;=25, 4.8, I427&gt;=15, 4, I427&gt;=10, 3.8, I427&gt;=5, 3, I427&gt;=2, 2.5, I427&gt;=0, 1.8, TRUE, 1.3))</f>
        <v>3.8</v>
      </c>
      <c r="O427" s="2" t="str">
        <f>IF(AND( Table1[[#This Row],[Rating]]&gt;=3.5, Table1[[#This Row],[Experience(Years)]]&gt;=15), "Active", "Inactive")</f>
        <v>Inactive</v>
      </c>
      <c r="P427" s="10">
        <v>0.74</v>
      </c>
      <c r="Q427" s="10" t="str">
        <f>_xlfn.IFS(Table1[[#This Row],[Rating]]&gt;=4, "Top Performer", Table1[[#This Row],[Rating]]&gt;=3, "Average", TRUE, "Needs Imporovement")</f>
        <v>Average</v>
      </c>
    </row>
    <row r="428" spans="1:17" x14ac:dyDescent="0.3">
      <c r="A428" s="2" t="s">
        <v>899</v>
      </c>
      <c r="B428" s="2" t="s">
        <v>900</v>
      </c>
      <c r="C428" s="2" t="s">
        <v>68</v>
      </c>
      <c r="D428" s="2">
        <v>35</v>
      </c>
      <c r="E428" s="2" t="str">
        <f>_xlfn.IFS(Table1[[#This Row],[Age]]&lt;30, "18-29", D428&lt;=45,"30-45", D428&lt;=55, "46-55", TRUE, "55+")</f>
        <v>30-45</v>
      </c>
      <c r="F428" s="2" t="s">
        <v>34</v>
      </c>
      <c r="G428" s="2" t="s">
        <v>8</v>
      </c>
      <c r="H428" s="2" t="s">
        <v>61</v>
      </c>
      <c r="I428" s="5">
        <v>15</v>
      </c>
      <c r="J428" s="5" t="str">
        <f>_xlfn.IFS(Table1[[#This Row],[Experience(Years)]]&lt;5, "Junior", I428&lt;=12, "Mid-Level", I428&lt;=20, "Senior", I428&lt;=30, "Super Senior", TRUE, "Expert")</f>
        <v>Senior</v>
      </c>
      <c r="K428" s="7">
        <v>100</v>
      </c>
      <c r="L428" s="7">
        <f>Table1[[#This Row],[Hourly Rate]]*1000</f>
        <v>100000</v>
      </c>
      <c r="M428" s="7" t="str">
        <f t="shared" si="6"/>
        <v>Premium</v>
      </c>
      <c r="N428" s="2">
        <f>IF(ISNUMBER(#REF!),#REF!, _xlfn.IFS( I428&gt;=30, 5, I428&gt;=25, 4.8, I428&gt;=15, 4, I428&gt;=10, 3.8, I428&gt;=5, 3, I428&gt;=2, 2.5, I428&gt;=0, 1.8, TRUE, 1.3))</f>
        <v>4</v>
      </c>
      <c r="O428" s="2" t="s">
        <v>2053</v>
      </c>
      <c r="P428" s="10">
        <v>0.71</v>
      </c>
      <c r="Q428" s="10" t="str">
        <f>_xlfn.IFS(Table1[[#This Row],[Rating]]&gt;=4, "Top Performer", Table1[[#This Row],[Rating]]&gt;=3, "Average", TRUE, "Needs Imporovement")</f>
        <v>Top Performer</v>
      </c>
    </row>
    <row r="429" spans="1:17" x14ac:dyDescent="0.3">
      <c r="A429" s="2" t="s">
        <v>901</v>
      </c>
      <c r="B429" s="2" t="s">
        <v>902</v>
      </c>
      <c r="C429" s="2" t="s">
        <v>49</v>
      </c>
      <c r="D429" s="2">
        <v>29</v>
      </c>
      <c r="E429" s="2" t="str">
        <f>_xlfn.IFS(Table1[[#This Row],[Age]]&lt;30, "18-29", D429&lt;=45,"30-45", D429&lt;=55, "46-55", TRUE, "55+")</f>
        <v>18-29</v>
      </c>
      <c r="F429" s="2" t="s">
        <v>22</v>
      </c>
      <c r="G429" s="2" t="s">
        <v>23</v>
      </c>
      <c r="H429" s="2" t="s">
        <v>46</v>
      </c>
      <c r="I429" s="5">
        <v>6</v>
      </c>
      <c r="J429" s="5" t="str">
        <f>_xlfn.IFS(Table1[[#This Row],[Experience(Years)]]&lt;5, "Junior", I429&lt;=12, "Mid-Level", I429&lt;=20, "Senior", I429&lt;=30, "Super Senior", TRUE, "Expert")</f>
        <v>Mid-Level</v>
      </c>
      <c r="K429" s="7">
        <v>50</v>
      </c>
      <c r="L429" s="7">
        <f>Table1[[#This Row],[Hourly Rate]]*1000</f>
        <v>50000</v>
      </c>
      <c r="M429" s="7" t="str">
        <f t="shared" si="6"/>
        <v>Standard</v>
      </c>
      <c r="N429" s="2">
        <f>IF(ISNUMBER(#REF!),#REF!, _xlfn.IFS( I429&gt;=30, 5, I429&gt;=25, 4.8, I429&gt;=15, 4, I429&gt;=10, 3.8, I429&gt;=5, 3, I429&gt;=2, 2.5, I429&gt;=0, 1.8, TRUE, 1.3))</f>
        <v>3</v>
      </c>
      <c r="O429" s="2" t="s">
        <v>2052</v>
      </c>
      <c r="P429" s="10">
        <v>0.83</v>
      </c>
      <c r="Q429" s="10" t="str">
        <f>_xlfn.IFS(Table1[[#This Row],[Rating]]&gt;=4, "Top Performer", Table1[[#This Row],[Rating]]&gt;=3, "Average", TRUE, "Needs Imporovement")</f>
        <v>Average</v>
      </c>
    </row>
    <row r="430" spans="1:17" x14ac:dyDescent="0.3">
      <c r="A430" s="2" t="s">
        <v>903</v>
      </c>
      <c r="B430" s="2" t="s">
        <v>904</v>
      </c>
      <c r="C430" s="2" t="s">
        <v>49</v>
      </c>
      <c r="D430" s="2">
        <v>36</v>
      </c>
      <c r="E430" s="2" t="str">
        <f>_xlfn.IFS(Table1[[#This Row],[Age]]&lt;30, "18-29", D430&lt;=45,"30-45", D430&lt;=55, "46-55", TRUE, "55+")</f>
        <v>30-45</v>
      </c>
      <c r="F430" s="2" t="s">
        <v>2</v>
      </c>
      <c r="G430" s="2" t="s">
        <v>3</v>
      </c>
      <c r="H430" s="2" t="s">
        <v>83</v>
      </c>
      <c r="I430" s="5">
        <v>1</v>
      </c>
      <c r="J430" s="5" t="str">
        <f>_xlfn.IFS(Table1[[#This Row],[Experience(Years)]]&lt;5, "Junior", I430&lt;=12, "Mid-Level", I430&lt;=20, "Senior", I430&lt;=30, "Super Senior", TRUE, "Expert")</f>
        <v>Junior</v>
      </c>
      <c r="K430" s="7">
        <v>75</v>
      </c>
      <c r="L430" s="7">
        <f>Table1[[#This Row],[Hourly Rate]]*1000</f>
        <v>75000</v>
      </c>
      <c r="M430" s="7" t="str">
        <f t="shared" si="6"/>
        <v>Standard</v>
      </c>
      <c r="N430" s="2">
        <f>IF(ISNUMBER(#REF!),#REF!, _xlfn.IFS( I430&gt;=30, 5, I430&gt;=25, 4.8, I430&gt;=15, 4, I430&gt;=10, 3.8, I430&gt;=5, 3, I430&gt;=2, 2.5, I430&gt;=0, 1.8, TRUE, 1.3))</f>
        <v>1.8</v>
      </c>
      <c r="O430" s="2" t="str">
        <f>IF(AND( Table1[[#This Row],[Rating]]&gt;=3.5, Table1[[#This Row],[Experience(Years)]]&gt;=15), "Active", "Inactive")</f>
        <v>Inactive</v>
      </c>
      <c r="P430" s="10">
        <v>0.63</v>
      </c>
      <c r="Q430" s="10" t="str">
        <f>_xlfn.IFS(Table1[[#This Row],[Rating]]&gt;=4, "Top Performer", Table1[[#This Row],[Rating]]&gt;=3, "Average", TRUE, "Needs Imporovement")</f>
        <v>Needs Imporovement</v>
      </c>
    </row>
    <row r="431" spans="1:17" x14ac:dyDescent="0.3">
      <c r="A431" s="2" t="s">
        <v>905</v>
      </c>
      <c r="B431" s="2" t="s">
        <v>906</v>
      </c>
      <c r="C431" s="2" t="s">
        <v>49</v>
      </c>
      <c r="D431" s="2">
        <v>44</v>
      </c>
      <c r="E431" s="2" t="str">
        <f>_xlfn.IFS(Table1[[#This Row],[Age]]&lt;30, "18-29", D431&lt;=45,"30-45", D431&lt;=55, "46-55", TRUE, "55+")</f>
        <v>30-45</v>
      </c>
      <c r="F431" s="2" t="s">
        <v>96</v>
      </c>
      <c r="G431" s="2" t="s">
        <v>8</v>
      </c>
      <c r="H431" s="2" t="s">
        <v>24</v>
      </c>
      <c r="I431" s="5">
        <v>0</v>
      </c>
      <c r="J431" s="5" t="str">
        <f>_xlfn.IFS(Table1[[#This Row],[Experience(Years)]]&lt;5, "Junior", I431&lt;=12, "Mid-Level", I431&lt;=20, "Senior", I431&lt;=30, "Super Senior", TRUE, "Expert")</f>
        <v>Junior</v>
      </c>
      <c r="K431" s="7">
        <v>20</v>
      </c>
      <c r="L431" s="7">
        <f>Table1[[#This Row],[Hourly Rate]]*1000</f>
        <v>20000</v>
      </c>
      <c r="M431" s="7" t="str">
        <f t="shared" si="6"/>
        <v>Budget</v>
      </c>
      <c r="N431" s="2">
        <f>IF(ISNUMBER(#REF!),#REF!, _xlfn.IFS( I431&gt;=30, 5, I431&gt;=25, 4.8, I431&gt;=15, 4, I431&gt;=10, 3.8, I431&gt;=5, 3, I431&gt;=2, 2.5, I431&gt;=0, 1.8, TRUE, 1.3))</f>
        <v>1.8</v>
      </c>
      <c r="O431" s="2" t="str">
        <f>IF(AND( Table1[[#This Row],[Rating]]&gt;=3.5, Table1[[#This Row],[Experience(Years)]]&gt;=15), "Active", "Inactive")</f>
        <v>Inactive</v>
      </c>
      <c r="P431" s="10">
        <v>0.84</v>
      </c>
      <c r="Q431" s="10" t="str">
        <f>_xlfn.IFS(Table1[[#This Row],[Rating]]&gt;=4, "Top Performer", Table1[[#This Row],[Rating]]&gt;=3, "Average", TRUE, "Needs Imporovement")</f>
        <v>Needs Imporovement</v>
      </c>
    </row>
    <row r="432" spans="1:17" x14ac:dyDescent="0.3">
      <c r="A432" s="2" t="s">
        <v>907</v>
      </c>
      <c r="B432" s="2" t="s">
        <v>908</v>
      </c>
      <c r="C432" s="2" t="s">
        <v>68</v>
      </c>
      <c r="D432" s="2">
        <v>44</v>
      </c>
      <c r="E432" s="2" t="str">
        <f>_xlfn.IFS(Table1[[#This Row],[Age]]&lt;30, "18-29", D432&lt;=45,"30-45", D432&lt;=55, "46-55", TRUE, "55+")</f>
        <v>30-45</v>
      </c>
      <c r="F432" s="2" t="s">
        <v>121</v>
      </c>
      <c r="G432" s="2" t="s">
        <v>122</v>
      </c>
      <c r="H432" s="2" t="s">
        <v>17</v>
      </c>
      <c r="I432" s="5">
        <v>20</v>
      </c>
      <c r="J432" s="5" t="str">
        <f>_xlfn.IFS(Table1[[#This Row],[Experience(Years)]]&lt;5, "Junior", I432&lt;=12, "Mid-Level", I432&lt;=20, "Senior", I432&lt;=30, "Super Senior", TRUE, "Expert")</f>
        <v>Senior</v>
      </c>
      <c r="K432" s="7">
        <v>80</v>
      </c>
      <c r="L432" s="7">
        <f>Table1[[#This Row],[Hourly Rate]]*1000</f>
        <v>80000</v>
      </c>
      <c r="M432" s="7" t="str">
        <f t="shared" si="6"/>
        <v>Standard</v>
      </c>
      <c r="N432" s="2">
        <f>IF(ISNUMBER(#REF!),#REF!, _xlfn.IFS( I432&gt;=30, 5, I432&gt;=25, 4.8, I432&gt;=15, 4, I432&gt;=10, 3.8, I432&gt;=5, 3, I432&gt;=2, 2.5, I432&gt;=0, 1.8, TRUE, 1.3))</f>
        <v>4</v>
      </c>
      <c r="O432" s="2" t="s">
        <v>2052</v>
      </c>
      <c r="P432" s="10">
        <v>0.93</v>
      </c>
      <c r="Q432" s="10" t="str">
        <f>_xlfn.IFS(Table1[[#This Row],[Rating]]&gt;=4, "Top Performer", Table1[[#This Row],[Rating]]&gt;=3, "Average", TRUE, "Needs Imporovement")</f>
        <v>Top Performer</v>
      </c>
    </row>
    <row r="433" spans="1:17" x14ac:dyDescent="0.3">
      <c r="A433" s="2" t="s">
        <v>909</v>
      </c>
      <c r="B433" s="2" t="s">
        <v>910</v>
      </c>
      <c r="C433" s="2" t="s">
        <v>68</v>
      </c>
      <c r="D433" s="2">
        <v>40</v>
      </c>
      <c r="E433" s="2" t="str">
        <f>_xlfn.IFS(Table1[[#This Row],[Age]]&lt;30, "18-29", D433&lt;=45,"30-45", D433&lt;=55, "46-55", TRUE, "55+")</f>
        <v>30-45</v>
      </c>
      <c r="F433" s="2" t="s">
        <v>64</v>
      </c>
      <c r="G433" s="2" t="s">
        <v>65</v>
      </c>
      <c r="H433" s="2" t="s">
        <v>24</v>
      </c>
      <c r="I433" s="5">
        <v>13</v>
      </c>
      <c r="J433" s="5" t="str">
        <f>_xlfn.IFS(Table1[[#This Row],[Experience(Years)]]&lt;5, "Junior", I433&lt;=12, "Mid-Level", I433&lt;=20, "Senior", I433&lt;=30, "Super Senior", TRUE, "Expert")</f>
        <v>Senior</v>
      </c>
      <c r="K433" s="7">
        <v>100</v>
      </c>
      <c r="L433" s="7">
        <f>Table1[[#This Row],[Hourly Rate]]*1000</f>
        <v>100000</v>
      </c>
      <c r="M433" s="7" t="str">
        <f t="shared" si="6"/>
        <v>Premium</v>
      </c>
      <c r="N433" s="2">
        <f>IF(ISNUMBER(#REF!),#REF!, _xlfn.IFS( I433&gt;=30, 5, I433&gt;=25, 4.8, I433&gt;=15, 4, I433&gt;=10, 3.8, I433&gt;=5, 3, I433&gt;=2, 2.5, I433&gt;=0, 1.8, TRUE, 1.3))</f>
        <v>3.8</v>
      </c>
      <c r="O433" s="2" t="s">
        <v>2053</v>
      </c>
      <c r="P433" s="10">
        <v>0.75</v>
      </c>
      <c r="Q433" s="10" t="str">
        <f>_xlfn.IFS(Table1[[#This Row],[Rating]]&gt;=4, "Top Performer", Table1[[#This Row],[Rating]]&gt;=3, "Average", TRUE, "Needs Imporovement")</f>
        <v>Average</v>
      </c>
    </row>
    <row r="434" spans="1:17" x14ac:dyDescent="0.3">
      <c r="A434" s="2" t="s">
        <v>911</v>
      </c>
      <c r="B434" s="2" t="s">
        <v>912</v>
      </c>
      <c r="C434" s="2" t="s">
        <v>49</v>
      </c>
      <c r="D434" s="2">
        <v>53</v>
      </c>
      <c r="E434" s="2" t="str">
        <f>_xlfn.IFS(Table1[[#This Row],[Age]]&lt;30, "18-29", D434&lt;=45,"30-45", D434&lt;=55, "46-55", TRUE, "55+")</f>
        <v>46-55</v>
      </c>
      <c r="F434" s="2" t="s">
        <v>22</v>
      </c>
      <c r="G434" s="2" t="s">
        <v>23</v>
      </c>
      <c r="H434" s="2" t="s">
        <v>83</v>
      </c>
      <c r="I434" s="5">
        <v>13</v>
      </c>
      <c r="J434" s="5" t="str">
        <f>_xlfn.IFS(Table1[[#This Row],[Experience(Years)]]&lt;5, "Junior", I434&lt;=12, "Mid-Level", I434&lt;=20, "Senior", I434&lt;=30, "Super Senior", TRUE, "Expert")</f>
        <v>Senior</v>
      </c>
      <c r="K434" s="7">
        <v>50</v>
      </c>
      <c r="L434" s="7">
        <f>Table1[[#This Row],[Hourly Rate]]*1000</f>
        <v>50000</v>
      </c>
      <c r="M434" s="7" t="str">
        <f t="shared" si="6"/>
        <v>Standard</v>
      </c>
      <c r="N434" s="2">
        <f>IF(ISNUMBER(#REF!),#REF!, _xlfn.IFS( I434&gt;=30, 5, I434&gt;=25, 4.8, I434&gt;=15, 4, I434&gt;=10, 3.8, I434&gt;=5, 3, I434&gt;=2, 2.5, I434&gt;=0, 1.8, TRUE, 1.3))</f>
        <v>3.8</v>
      </c>
      <c r="O434" s="2" t="s">
        <v>2053</v>
      </c>
      <c r="P434" s="10">
        <v>0.93</v>
      </c>
      <c r="Q434" s="10" t="str">
        <f>_xlfn.IFS(Table1[[#This Row],[Rating]]&gt;=4, "Top Performer", Table1[[#This Row],[Rating]]&gt;=3, "Average", TRUE, "Needs Imporovement")</f>
        <v>Average</v>
      </c>
    </row>
    <row r="435" spans="1:17" x14ac:dyDescent="0.3">
      <c r="A435" s="2" t="s">
        <v>913</v>
      </c>
      <c r="B435" s="2" t="s">
        <v>914</v>
      </c>
      <c r="C435" s="2" t="s">
        <v>49</v>
      </c>
      <c r="D435" s="2">
        <v>35</v>
      </c>
      <c r="E435" s="2" t="str">
        <f>_xlfn.IFS(Table1[[#This Row],[Age]]&lt;30, "18-29", D435&lt;=45,"30-45", D435&lt;=55, "46-55", TRUE, "55+")</f>
        <v>30-45</v>
      </c>
      <c r="F435" s="2" t="s">
        <v>12</v>
      </c>
      <c r="G435" s="2" t="s">
        <v>13</v>
      </c>
      <c r="H435" s="2" t="s">
        <v>4</v>
      </c>
      <c r="I435" s="5">
        <v>0</v>
      </c>
      <c r="J435" s="5" t="str">
        <f>_xlfn.IFS(Table1[[#This Row],[Experience(Years)]]&lt;5, "Junior", I435&lt;=12, "Mid-Level", I435&lt;=20, "Senior", I435&lt;=30, "Super Senior", TRUE, "Expert")</f>
        <v>Junior</v>
      </c>
      <c r="K435" s="7">
        <v>30</v>
      </c>
      <c r="L435" s="7">
        <f>Table1[[#This Row],[Hourly Rate]]*1000</f>
        <v>30000</v>
      </c>
      <c r="M435" s="7" t="str">
        <f t="shared" si="6"/>
        <v>Budget</v>
      </c>
      <c r="N435" s="2">
        <f>IF(ISNUMBER(#REF!),#REF!, _xlfn.IFS( I435&gt;=30, 5, I435&gt;=25, 4.8, I435&gt;=15, 4, I435&gt;=10, 3.8, I435&gt;=5, 3, I435&gt;=2, 2.5, I435&gt;=0, 1.8, TRUE, 1.3))</f>
        <v>1.8</v>
      </c>
      <c r="O435" s="2" t="str">
        <f>IF(AND( Table1[[#This Row],[Rating]]&gt;=3.5, Table1[[#This Row],[Experience(Years)]]&gt;=15), "Active", "Inactive")</f>
        <v>Inactive</v>
      </c>
      <c r="P435" s="10">
        <v>0.97</v>
      </c>
      <c r="Q435" s="10" t="str">
        <f>_xlfn.IFS(Table1[[#This Row],[Rating]]&gt;=4, "Top Performer", Table1[[#This Row],[Rating]]&gt;=3, "Average", TRUE, "Needs Imporovement")</f>
        <v>Needs Imporovement</v>
      </c>
    </row>
    <row r="436" spans="1:17" x14ac:dyDescent="0.3">
      <c r="A436" s="2" t="s">
        <v>915</v>
      </c>
      <c r="B436" s="2" t="s">
        <v>916</v>
      </c>
      <c r="C436" s="2" t="s">
        <v>49</v>
      </c>
      <c r="D436" s="2">
        <v>27</v>
      </c>
      <c r="E436" s="2" t="str">
        <f>_xlfn.IFS(Table1[[#This Row],[Age]]&lt;30, "18-29", D436&lt;=45,"30-45", D436&lt;=55, "46-55", TRUE, "55+")</f>
        <v>18-29</v>
      </c>
      <c r="F436" s="2" t="s">
        <v>44</v>
      </c>
      <c r="G436" s="2" t="s">
        <v>45</v>
      </c>
      <c r="H436" s="2" t="s">
        <v>83</v>
      </c>
      <c r="I436" s="5">
        <v>7</v>
      </c>
      <c r="J436" s="5" t="str">
        <f>_xlfn.IFS(Table1[[#This Row],[Experience(Years)]]&lt;5, "Junior", I436&lt;=12, "Mid-Level", I436&lt;=20, "Senior", I436&lt;=30, "Super Senior", TRUE, "Expert")</f>
        <v>Mid-Level</v>
      </c>
      <c r="K436" s="7">
        <v>75</v>
      </c>
      <c r="L436" s="7">
        <f>Table1[[#This Row],[Hourly Rate]]*1000</f>
        <v>75000</v>
      </c>
      <c r="M436" s="7" t="str">
        <f t="shared" si="6"/>
        <v>Standard</v>
      </c>
      <c r="N436" s="2">
        <f>IF(ISNUMBER(#REF!),#REF!, _xlfn.IFS( I436&gt;=30, 5, I436&gt;=25, 4.8, I436&gt;=15, 4, I436&gt;=10, 3.8, I436&gt;=5, 3, I436&gt;=2, 2.5, I436&gt;=0, 1.8, TRUE, 1.3))</f>
        <v>3</v>
      </c>
      <c r="O436" s="2" t="s">
        <v>2053</v>
      </c>
      <c r="P436" s="10">
        <v>0.92</v>
      </c>
      <c r="Q436" s="10" t="str">
        <f>_xlfn.IFS(Table1[[#This Row],[Rating]]&gt;=4, "Top Performer", Table1[[#This Row],[Rating]]&gt;=3, "Average", TRUE, "Needs Imporovement")</f>
        <v>Average</v>
      </c>
    </row>
    <row r="437" spans="1:17" x14ac:dyDescent="0.3">
      <c r="A437" s="2" t="s">
        <v>917</v>
      </c>
      <c r="B437" s="2" t="s">
        <v>918</v>
      </c>
      <c r="C437" s="2" t="s">
        <v>68</v>
      </c>
      <c r="D437" s="2">
        <v>34</v>
      </c>
      <c r="E437" s="2" t="str">
        <f>_xlfn.IFS(Table1[[#This Row],[Age]]&lt;30, "18-29", D437&lt;=45,"30-45", D437&lt;=55, "46-55", TRUE, "55+")</f>
        <v>30-45</v>
      </c>
      <c r="F437" s="2" t="s">
        <v>7</v>
      </c>
      <c r="G437" s="2" t="s">
        <v>8</v>
      </c>
      <c r="H437" s="2" t="s">
        <v>61</v>
      </c>
      <c r="I437" s="5">
        <v>6</v>
      </c>
      <c r="J437" s="5" t="str">
        <f>_xlfn.IFS(Table1[[#This Row],[Experience(Years)]]&lt;5, "Junior", I437&lt;=12, "Mid-Level", I437&lt;=20, "Senior", I437&lt;=30, "Super Senior", TRUE, "Expert")</f>
        <v>Mid-Level</v>
      </c>
      <c r="K437" s="7">
        <v>50</v>
      </c>
      <c r="L437" s="7">
        <f>Table1[[#This Row],[Hourly Rate]]*1000</f>
        <v>50000</v>
      </c>
      <c r="M437" s="7" t="str">
        <f t="shared" si="6"/>
        <v>Standard</v>
      </c>
      <c r="N437" s="2">
        <f>IF(ISNUMBER(#REF!),#REF!, _xlfn.IFS( I437&gt;=30, 5, I437&gt;=25, 4.8, I437&gt;=15, 4, I437&gt;=10, 3.8, I437&gt;=5, 3, I437&gt;=2, 2.5, I437&gt;=0, 1.8, TRUE, 1.3))</f>
        <v>3</v>
      </c>
      <c r="O437" s="2" t="s">
        <v>2053</v>
      </c>
      <c r="P437" s="10">
        <v>0.92</v>
      </c>
      <c r="Q437" s="10" t="str">
        <f>_xlfn.IFS(Table1[[#This Row],[Rating]]&gt;=4, "Top Performer", Table1[[#This Row],[Rating]]&gt;=3, "Average", TRUE, "Needs Imporovement")</f>
        <v>Average</v>
      </c>
    </row>
    <row r="438" spans="1:17" x14ac:dyDescent="0.3">
      <c r="A438" s="2" t="s">
        <v>919</v>
      </c>
      <c r="B438" s="2" t="s">
        <v>920</v>
      </c>
      <c r="C438" s="2" t="s">
        <v>68</v>
      </c>
      <c r="D438" s="2">
        <v>24</v>
      </c>
      <c r="E438" s="2" t="str">
        <f>_xlfn.IFS(Table1[[#This Row],[Age]]&lt;30, "18-29", D438&lt;=45,"30-45", D438&lt;=55, "46-55", TRUE, "55+")</f>
        <v>18-29</v>
      </c>
      <c r="F438" s="2" t="s">
        <v>64</v>
      </c>
      <c r="G438" s="2" t="s">
        <v>65</v>
      </c>
      <c r="H438" s="2" t="s">
        <v>50</v>
      </c>
      <c r="I438" s="5">
        <v>2</v>
      </c>
      <c r="J438" s="5" t="str">
        <f>_xlfn.IFS(Table1[[#This Row],[Experience(Years)]]&lt;5, "Junior", I438&lt;=12, "Mid-Level", I438&lt;=20, "Senior", I438&lt;=30, "Super Senior", TRUE, "Expert")</f>
        <v>Junior</v>
      </c>
      <c r="K438" s="7">
        <v>75</v>
      </c>
      <c r="L438" s="7">
        <f>Table1[[#This Row],[Hourly Rate]]*1000</f>
        <v>75000</v>
      </c>
      <c r="M438" s="7" t="str">
        <f t="shared" si="6"/>
        <v>Standard</v>
      </c>
      <c r="N438" s="2">
        <f>IF(ISNUMBER(#REF!),#REF!, _xlfn.IFS( I438&gt;=30, 5, I438&gt;=25, 4.8, I438&gt;=15, 4, I438&gt;=10, 3.8, I438&gt;=5, 3, I438&gt;=2, 2.5, I438&gt;=0, 1.8, TRUE, 1.3))</f>
        <v>2.5</v>
      </c>
      <c r="O438" s="2" t="s">
        <v>2052</v>
      </c>
      <c r="P438" s="10">
        <v>0.68</v>
      </c>
      <c r="Q438" s="10" t="str">
        <f>_xlfn.IFS(Table1[[#This Row],[Rating]]&gt;=4, "Top Performer", Table1[[#This Row],[Rating]]&gt;=3, "Average", TRUE, "Needs Imporovement")</f>
        <v>Needs Imporovement</v>
      </c>
    </row>
    <row r="439" spans="1:17" x14ac:dyDescent="0.3">
      <c r="A439" s="2" t="s">
        <v>921</v>
      </c>
      <c r="B439" s="2" t="s">
        <v>922</v>
      </c>
      <c r="C439" s="2" t="s">
        <v>68</v>
      </c>
      <c r="D439" s="2">
        <v>57</v>
      </c>
      <c r="E439" s="2" t="str">
        <f>_xlfn.IFS(Table1[[#This Row],[Age]]&lt;30, "18-29", D439&lt;=45,"30-45", D439&lt;=55, "46-55", TRUE, "55+")</f>
        <v>55+</v>
      </c>
      <c r="F439" s="2" t="s">
        <v>34</v>
      </c>
      <c r="G439" s="2" t="s">
        <v>8</v>
      </c>
      <c r="H439" s="2" t="s">
        <v>46</v>
      </c>
      <c r="I439" s="5">
        <v>13</v>
      </c>
      <c r="J439" s="5" t="str">
        <f>_xlfn.IFS(Table1[[#This Row],[Experience(Years)]]&lt;5, "Junior", I439&lt;=12, "Mid-Level", I439&lt;=20, "Senior", I439&lt;=30, "Super Senior", TRUE, "Expert")</f>
        <v>Senior</v>
      </c>
      <c r="K439" s="7">
        <v>100</v>
      </c>
      <c r="L439" s="7">
        <f>Table1[[#This Row],[Hourly Rate]]*1000</f>
        <v>100000</v>
      </c>
      <c r="M439" s="7" t="str">
        <f t="shared" si="6"/>
        <v>Premium</v>
      </c>
      <c r="N439" s="2">
        <f>IF(ISNUMBER(#REF!),#REF!, _xlfn.IFS( I439&gt;=30, 5, I439&gt;=25, 4.8, I439&gt;=15, 4, I439&gt;=10, 3.8, I439&gt;=5, 3, I439&gt;=2, 2.5, I439&gt;=0, 1.8, TRUE, 1.3))</f>
        <v>3.8</v>
      </c>
      <c r="O439" s="2" t="s">
        <v>2052</v>
      </c>
      <c r="P439" s="10">
        <v>0.95</v>
      </c>
      <c r="Q439" s="10" t="str">
        <f>_xlfn.IFS(Table1[[#This Row],[Rating]]&gt;=4, "Top Performer", Table1[[#This Row],[Rating]]&gt;=3, "Average", TRUE, "Needs Imporovement")</f>
        <v>Average</v>
      </c>
    </row>
    <row r="440" spans="1:17" x14ac:dyDescent="0.3">
      <c r="A440" s="2" t="s">
        <v>923</v>
      </c>
      <c r="B440" s="2" t="s">
        <v>924</v>
      </c>
      <c r="C440" s="2" t="s">
        <v>68</v>
      </c>
      <c r="D440" s="2">
        <v>28</v>
      </c>
      <c r="E440" s="2" t="str">
        <f>_xlfn.IFS(Table1[[#This Row],[Age]]&lt;30, "18-29", D440&lt;=45,"30-45", D440&lt;=55, "46-55", TRUE, "55+")</f>
        <v>18-29</v>
      </c>
      <c r="F440" s="2" t="s">
        <v>81</v>
      </c>
      <c r="G440" s="2" t="s">
        <v>82</v>
      </c>
      <c r="H440" s="2" t="s">
        <v>46</v>
      </c>
      <c r="I440" s="5">
        <v>7</v>
      </c>
      <c r="J440" s="5" t="str">
        <f>_xlfn.IFS(Table1[[#This Row],[Experience(Years)]]&lt;5, "Junior", I440&lt;=12, "Mid-Level", I440&lt;=20, "Senior", I440&lt;=30, "Super Senior", TRUE, "Expert")</f>
        <v>Mid-Level</v>
      </c>
      <c r="K440" s="7">
        <v>100</v>
      </c>
      <c r="L440" s="7">
        <f>Table1[[#This Row],[Hourly Rate]]*1000</f>
        <v>100000</v>
      </c>
      <c r="M440" s="7" t="str">
        <f t="shared" si="6"/>
        <v>Premium</v>
      </c>
      <c r="N440" s="2">
        <f>IF(ISNUMBER(#REF!),#REF!, _xlfn.IFS( I440&gt;=30, 5, I440&gt;=25, 4.8, I440&gt;=15, 4, I440&gt;=10, 3.8, I440&gt;=5, 3, I440&gt;=2, 2.5, I440&gt;=0, 1.8, TRUE, 1.3))</f>
        <v>3</v>
      </c>
      <c r="O440" s="2" t="s">
        <v>2052</v>
      </c>
      <c r="P440" s="10">
        <v>0.76</v>
      </c>
      <c r="Q440" s="10" t="str">
        <f>_xlfn.IFS(Table1[[#This Row],[Rating]]&gt;=4, "Top Performer", Table1[[#This Row],[Rating]]&gt;=3, "Average", TRUE, "Needs Imporovement")</f>
        <v>Average</v>
      </c>
    </row>
    <row r="441" spans="1:17" x14ac:dyDescent="0.3">
      <c r="A441" s="2" t="s">
        <v>925</v>
      </c>
      <c r="B441" s="2" t="s">
        <v>926</v>
      </c>
      <c r="C441" s="2" t="s">
        <v>49</v>
      </c>
      <c r="D441" s="2">
        <v>26</v>
      </c>
      <c r="E441" s="2" t="str">
        <f>_xlfn.IFS(Table1[[#This Row],[Age]]&lt;30, "18-29", D441&lt;=45,"30-45", D441&lt;=55, "46-55", TRUE, "55+")</f>
        <v>18-29</v>
      </c>
      <c r="F441" s="2" t="s">
        <v>2</v>
      </c>
      <c r="G441" s="2" t="s">
        <v>3</v>
      </c>
      <c r="H441" s="2" t="s">
        <v>61</v>
      </c>
      <c r="I441" s="5">
        <v>7</v>
      </c>
      <c r="J441" s="5" t="str">
        <f>_xlfn.IFS(Table1[[#This Row],[Experience(Years)]]&lt;5, "Junior", I441&lt;=12, "Mid-Level", I441&lt;=20, "Senior", I441&lt;=30, "Super Senior", TRUE, "Expert")</f>
        <v>Mid-Level</v>
      </c>
      <c r="K441" s="7">
        <v>100</v>
      </c>
      <c r="L441" s="7">
        <f>Table1[[#This Row],[Hourly Rate]]*1000</f>
        <v>100000</v>
      </c>
      <c r="M441" s="7" t="str">
        <f t="shared" si="6"/>
        <v>Premium</v>
      </c>
      <c r="N441" s="2">
        <f>IF(ISNUMBER(#REF!),#REF!, _xlfn.IFS( I441&gt;=30, 5, I441&gt;=25, 4.8, I441&gt;=15, 4, I441&gt;=10, 3.8, I441&gt;=5, 3, I441&gt;=2, 2.5, I441&gt;=0, 1.8, TRUE, 1.3))</f>
        <v>3</v>
      </c>
      <c r="O441" s="2" t="s">
        <v>2053</v>
      </c>
      <c r="P441" s="10">
        <v>0.66</v>
      </c>
      <c r="Q441" s="10" t="str">
        <f>_xlfn.IFS(Table1[[#This Row],[Rating]]&gt;=4, "Top Performer", Table1[[#This Row],[Rating]]&gt;=3, "Average", TRUE, "Needs Imporovement")</f>
        <v>Average</v>
      </c>
    </row>
    <row r="442" spans="1:17" x14ac:dyDescent="0.3">
      <c r="A442" s="2" t="s">
        <v>927</v>
      </c>
      <c r="B442" s="2" t="s">
        <v>928</v>
      </c>
      <c r="C442" s="2" t="s">
        <v>68</v>
      </c>
      <c r="D442" s="2">
        <v>34</v>
      </c>
      <c r="E442" s="2" t="str">
        <f>_xlfn.IFS(Table1[[#This Row],[Age]]&lt;30, "18-29", D442&lt;=45,"30-45", D442&lt;=55, "46-55", TRUE, "55+")</f>
        <v>30-45</v>
      </c>
      <c r="F442" s="2" t="s">
        <v>44</v>
      </c>
      <c r="G442" s="2" t="s">
        <v>45</v>
      </c>
      <c r="H442" s="2" t="s">
        <v>9</v>
      </c>
      <c r="I442" s="5">
        <v>15</v>
      </c>
      <c r="J442" s="5" t="str">
        <f>_xlfn.IFS(Table1[[#This Row],[Experience(Years)]]&lt;5, "Junior", I442&lt;=12, "Mid-Level", I442&lt;=20, "Senior", I442&lt;=30, "Super Senior", TRUE, "Expert")</f>
        <v>Senior</v>
      </c>
      <c r="K442" s="7">
        <v>75</v>
      </c>
      <c r="L442" s="7">
        <f>Table1[[#This Row],[Hourly Rate]]*1000</f>
        <v>75000</v>
      </c>
      <c r="M442" s="7" t="str">
        <f t="shared" si="6"/>
        <v>Standard</v>
      </c>
      <c r="N442" s="2">
        <f>IF(ISNUMBER(#REF!),#REF!, _xlfn.IFS( I442&gt;=30, 5, I442&gt;=25, 4.8, I442&gt;=15, 4, I442&gt;=10, 3.8, I442&gt;=5, 3, I442&gt;=2, 2.5, I442&gt;=0, 1.8, TRUE, 1.3))</f>
        <v>4</v>
      </c>
      <c r="O442" s="2" t="s">
        <v>2052</v>
      </c>
      <c r="P442" s="10">
        <v>0.73</v>
      </c>
      <c r="Q442" s="10" t="str">
        <f>_xlfn.IFS(Table1[[#This Row],[Rating]]&gt;=4, "Top Performer", Table1[[#This Row],[Rating]]&gt;=3, "Average", TRUE, "Needs Imporovement")</f>
        <v>Top Performer</v>
      </c>
    </row>
    <row r="443" spans="1:17" x14ac:dyDescent="0.3">
      <c r="A443" s="2" t="s">
        <v>929</v>
      </c>
      <c r="B443" s="2" t="s">
        <v>930</v>
      </c>
      <c r="C443" s="2" t="s">
        <v>68</v>
      </c>
      <c r="D443" s="2">
        <v>43</v>
      </c>
      <c r="E443" s="2" t="str">
        <f>_xlfn.IFS(Table1[[#This Row],[Age]]&lt;30, "18-29", D443&lt;=45,"30-45", D443&lt;=55, "46-55", TRUE, "55+")</f>
        <v>30-45</v>
      </c>
      <c r="F443" s="2" t="s">
        <v>57</v>
      </c>
      <c r="G443" s="2" t="s">
        <v>58</v>
      </c>
      <c r="H443" s="2" t="s">
        <v>24</v>
      </c>
      <c r="I443" s="5">
        <v>12</v>
      </c>
      <c r="J443" s="5" t="str">
        <f>_xlfn.IFS(Table1[[#This Row],[Experience(Years)]]&lt;5, "Junior", I443&lt;=12, "Mid-Level", I443&lt;=20, "Senior", I443&lt;=30, "Super Senior", TRUE, "Expert")</f>
        <v>Mid-Level</v>
      </c>
      <c r="K443" s="7">
        <v>20</v>
      </c>
      <c r="L443" s="7">
        <f>Table1[[#This Row],[Hourly Rate]]*1000</f>
        <v>20000</v>
      </c>
      <c r="M443" s="7" t="str">
        <f t="shared" si="6"/>
        <v>Budget</v>
      </c>
      <c r="N443" s="2">
        <f>IF(ISNUMBER(#REF!),#REF!, _xlfn.IFS( I443&gt;=30, 5, I443&gt;=25, 4.8, I443&gt;=15, 4, I443&gt;=10, 3.8, I443&gt;=5, 3, I443&gt;=2, 2.5, I443&gt;=0, 1.8, TRUE, 1.3))</f>
        <v>3.8</v>
      </c>
      <c r="O443" s="2" t="str">
        <f>IF(AND(Table1[[#This Row],[Rating]]&gt;=3.5, Table1[[#This Row],[Experience(Years)]]&gt;=15),"Active", "Inactive")</f>
        <v>Inactive</v>
      </c>
      <c r="P443" s="10">
        <v>0.99</v>
      </c>
      <c r="Q443" s="10" t="str">
        <f>_xlfn.IFS(Table1[[#This Row],[Rating]]&gt;=4, "Top Performer", Table1[[#This Row],[Rating]]&gt;=3, "Average", TRUE, "Needs Imporovement")</f>
        <v>Average</v>
      </c>
    </row>
    <row r="444" spans="1:17" x14ac:dyDescent="0.3">
      <c r="A444" s="2" t="s">
        <v>931</v>
      </c>
      <c r="B444" s="2" t="s">
        <v>932</v>
      </c>
      <c r="C444" s="2" t="s">
        <v>68</v>
      </c>
      <c r="D444" s="2">
        <v>31</v>
      </c>
      <c r="E444" s="2" t="str">
        <f>_xlfn.IFS(Table1[[#This Row],[Age]]&lt;30, "18-29", D444&lt;=45,"30-45", D444&lt;=55, "46-55", TRUE, "55+")</f>
        <v>30-45</v>
      </c>
      <c r="F444" s="2" t="s">
        <v>141</v>
      </c>
      <c r="G444" s="2" t="s">
        <v>142</v>
      </c>
      <c r="H444" s="2" t="s">
        <v>14</v>
      </c>
      <c r="I444" s="5">
        <v>5</v>
      </c>
      <c r="J444" s="5" t="str">
        <f>_xlfn.IFS(Table1[[#This Row],[Experience(Years)]]&lt;5, "Junior", I444&lt;=12, "Mid-Level", I444&lt;=20, "Senior", I444&lt;=30, "Super Senior", TRUE, "Expert")</f>
        <v>Mid-Level</v>
      </c>
      <c r="K444" s="7">
        <v>35</v>
      </c>
      <c r="L444" s="7">
        <f>Table1[[#This Row],[Hourly Rate]]*1000</f>
        <v>35000</v>
      </c>
      <c r="M444" s="7" t="str">
        <f t="shared" si="6"/>
        <v>Budget</v>
      </c>
      <c r="N444" s="2">
        <f>IF(ISNUMBER(#REF!),#REF!, _xlfn.IFS( I444&gt;=30, 5, I444&gt;=25, 4.8, I444&gt;=15, 4, I444&gt;=10, 3.8, I444&gt;=5, 3, I444&gt;=2, 2.5, I444&gt;=0, 1.8, TRUE, 1.3))</f>
        <v>3</v>
      </c>
      <c r="O444" s="2" t="s">
        <v>2053</v>
      </c>
      <c r="P444" s="10">
        <v>0.94</v>
      </c>
      <c r="Q444" s="10" t="str">
        <f>_xlfn.IFS(Table1[[#This Row],[Rating]]&gt;=4, "Top Performer", Table1[[#This Row],[Rating]]&gt;=3, "Average", TRUE, "Needs Imporovement")</f>
        <v>Average</v>
      </c>
    </row>
    <row r="445" spans="1:17" x14ac:dyDescent="0.3">
      <c r="A445" s="2" t="s">
        <v>933</v>
      </c>
      <c r="B445" s="2" t="s">
        <v>934</v>
      </c>
      <c r="C445" s="2" t="s">
        <v>49</v>
      </c>
      <c r="D445" s="2">
        <v>34</v>
      </c>
      <c r="E445" s="2" t="str">
        <f>_xlfn.IFS(Table1[[#This Row],[Age]]&lt;30, "18-29", D445&lt;=45,"30-45", D445&lt;=55, "46-55", TRUE, "55+")</f>
        <v>30-45</v>
      </c>
      <c r="F445" s="2" t="s">
        <v>141</v>
      </c>
      <c r="G445" s="2" t="s">
        <v>142</v>
      </c>
      <c r="H445" s="2" t="s">
        <v>4</v>
      </c>
      <c r="I445" s="5">
        <v>9</v>
      </c>
      <c r="J445" s="5" t="str">
        <f>_xlfn.IFS(Table1[[#This Row],[Experience(Years)]]&lt;5, "Junior", I445&lt;=12, "Mid-Level", I445&lt;=20, "Senior", I445&lt;=30, "Super Senior", TRUE, "Expert")</f>
        <v>Mid-Level</v>
      </c>
      <c r="K445" s="7">
        <v>50</v>
      </c>
      <c r="L445" s="7">
        <f>Table1[[#This Row],[Hourly Rate]]*1000</f>
        <v>50000</v>
      </c>
      <c r="M445" s="7" t="str">
        <f t="shared" si="6"/>
        <v>Standard</v>
      </c>
      <c r="N445" s="2">
        <f>IF(ISNUMBER(#REF!),#REF!, _xlfn.IFS( I445&gt;=30, 5, I445&gt;=25, 4.8, I445&gt;=15, 4, I445&gt;=10, 3.8, I445&gt;=5, 3, I445&gt;=2, 2.5, I445&gt;=0, 1.8, TRUE, 1.3))</f>
        <v>3</v>
      </c>
      <c r="O445" s="2" t="s">
        <v>2052</v>
      </c>
      <c r="P445" s="10">
        <v>0.84</v>
      </c>
      <c r="Q445" s="10" t="str">
        <f>_xlfn.IFS(Table1[[#This Row],[Rating]]&gt;=4, "Top Performer", Table1[[#This Row],[Rating]]&gt;=3, "Average", TRUE, "Needs Imporovement")</f>
        <v>Average</v>
      </c>
    </row>
    <row r="446" spans="1:17" x14ac:dyDescent="0.3">
      <c r="A446" s="2" t="s">
        <v>935</v>
      </c>
      <c r="B446" s="2" t="s">
        <v>936</v>
      </c>
      <c r="C446" s="2" t="s">
        <v>49</v>
      </c>
      <c r="D446" s="2">
        <v>32</v>
      </c>
      <c r="E446" s="2" t="str">
        <f>_xlfn.IFS(Table1[[#This Row],[Age]]&lt;30, "18-29", D446&lt;=45,"30-45", D446&lt;=55, "46-55", TRUE, "55+")</f>
        <v>30-45</v>
      </c>
      <c r="F446" s="2" t="s">
        <v>92</v>
      </c>
      <c r="G446" s="2" t="s">
        <v>93</v>
      </c>
      <c r="H446" s="2" t="s">
        <v>50</v>
      </c>
      <c r="I446" s="5">
        <v>10</v>
      </c>
      <c r="J446" s="5" t="str">
        <f>_xlfn.IFS(Table1[[#This Row],[Experience(Years)]]&lt;5, "Junior", I446&lt;=12, "Mid-Level", I446&lt;=20, "Senior", I446&lt;=30, "Super Senior", TRUE, "Expert")</f>
        <v>Mid-Level</v>
      </c>
      <c r="K446" s="7">
        <v>20</v>
      </c>
      <c r="L446" s="7">
        <f>Table1[[#This Row],[Hourly Rate]]*1000</f>
        <v>20000</v>
      </c>
      <c r="M446" s="7" t="str">
        <f t="shared" si="6"/>
        <v>Budget</v>
      </c>
      <c r="N446" s="2">
        <f>IF(ISNUMBER(#REF!),#REF!, _xlfn.IFS( I446&gt;=30, 5, I446&gt;=25, 4.8, I446&gt;=15, 4, I446&gt;=10, 3.8, I446&gt;=5, 3, I446&gt;=2, 2.5, I446&gt;=0, 1.8, TRUE, 1.3))</f>
        <v>3.8</v>
      </c>
      <c r="O446" s="2" t="s">
        <v>2053</v>
      </c>
      <c r="P446" s="10">
        <v>0.92</v>
      </c>
      <c r="Q446" s="10" t="str">
        <f>_xlfn.IFS(Table1[[#This Row],[Rating]]&gt;=4, "Top Performer", Table1[[#This Row],[Rating]]&gt;=3, "Average", TRUE, "Needs Imporovement")</f>
        <v>Average</v>
      </c>
    </row>
    <row r="447" spans="1:17" x14ac:dyDescent="0.3">
      <c r="A447" s="2" t="s">
        <v>937</v>
      </c>
      <c r="B447" s="2" t="s">
        <v>938</v>
      </c>
      <c r="C447" s="2" t="s">
        <v>68</v>
      </c>
      <c r="D447" s="2">
        <v>24</v>
      </c>
      <c r="E447" s="2" t="str">
        <f>_xlfn.IFS(Table1[[#This Row],[Age]]&lt;30, "18-29", D447&lt;=45,"30-45", D447&lt;=55, "46-55", TRUE, "55+")</f>
        <v>18-29</v>
      </c>
      <c r="F447" s="2" t="s">
        <v>107</v>
      </c>
      <c r="G447" s="2" t="s">
        <v>108</v>
      </c>
      <c r="H447" s="2" t="s">
        <v>61</v>
      </c>
      <c r="I447" s="5">
        <v>6</v>
      </c>
      <c r="J447" s="5" t="str">
        <f>_xlfn.IFS(Table1[[#This Row],[Experience(Years)]]&lt;5, "Junior", I447&lt;=12, "Mid-Level", I447&lt;=20, "Senior", I447&lt;=30, "Super Senior", TRUE, "Expert")</f>
        <v>Mid-Level</v>
      </c>
      <c r="K447" s="7">
        <v>75</v>
      </c>
      <c r="L447" s="7">
        <f>Table1[[#This Row],[Hourly Rate]]*1000</f>
        <v>75000</v>
      </c>
      <c r="M447" s="7" t="str">
        <f t="shared" si="6"/>
        <v>Standard</v>
      </c>
      <c r="N447" s="2">
        <f>IF(ISNUMBER(#REF!),#REF!, _xlfn.IFS( I447&gt;=30, 5, I447&gt;=25, 4.8, I447&gt;=15, 4, I447&gt;=10, 3.8, I447&gt;=5, 3, I447&gt;=2, 2.5, I447&gt;=0, 1.8, TRUE, 1.3))</f>
        <v>3</v>
      </c>
      <c r="O447" s="2" t="s">
        <v>2053</v>
      </c>
      <c r="P447" s="10">
        <v>0.6</v>
      </c>
      <c r="Q447" s="10" t="str">
        <f>_xlfn.IFS(Table1[[#This Row],[Rating]]&gt;=4, "Top Performer", Table1[[#This Row],[Rating]]&gt;=3, "Average", TRUE, "Needs Imporovement")</f>
        <v>Average</v>
      </c>
    </row>
    <row r="448" spans="1:17" x14ac:dyDescent="0.3">
      <c r="A448" s="2" t="s">
        <v>939</v>
      </c>
      <c r="B448" s="2" t="s">
        <v>940</v>
      </c>
      <c r="C448" s="2" t="s">
        <v>68</v>
      </c>
      <c r="D448" s="2">
        <v>35</v>
      </c>
      <c r="E448" s="2" t="str">
        <f>_xlfn.IFS(Table1[[#This Row],[Age]]&lt;30, "18-29", D448&lt;=45,"30-45", D448&lt;=55, "46-55", TRUE, "55+")</f>
        <v>30-45</v>
      </c>
      <c r="F448" s="2" t="s">
        <v>41</v>
      </c>
      <c r="G448" s="2" t="s">
        <v>8</v>
      </c>
      <c r="H448" s="2" t="s">
        <v>24</v>
      </c>
      <c r="I448" s="5">
        <v>8</v>
      </c>
      <c r="J448" s="5" t="str">
        <f>_xlfn.IFS(Table1[[#This Row],[Experience(Years)]]&lt;5, "Junior", I448&lt;=12, "Mid-Level", I448&lt;=20, "Senior", I448&lt;=30, "Super Senior", TRUE, "Expert")</f>
        <v>Mid-Level</v>
      </c>
      <c r="K448" s="7">
        <v>50</v>
      </c>
      <c r="L448" s="7">
        <f>Table1[[#This Row],[Hourly Rate]]*1000</f>
        <v>50000</v>
      </c>
      <c r="M448" s="7" t="str">
        <f t="shared" si="6"/>
        <v>Standard</v>
      </c>
      <c r="N448" s="2">
        <f>IF(ISNUMBER(#REF!),#REF!, _xlfn.IFS( I448&gt;=30, 5, I448&gt;=25, 4.8, I448&gt;=15, 4, I448&gt;=10, 3.8, I448&gt;=5, 3, I448&gt;=2, 2.5, I448&gt;=0, 1.8, TRUE, 1.3))</f>
        <v>3</v>
      </c>
      <c r="O448" s="2" t="s">
        <v>2052</v>
      </c>
      <c r="P448" s="10">
        <v>0.9</v>
      </c>
      <c r="Q448" s="10" t="str">
        <f>_xlfn.IFS(Table1[[#This Row],[Rating]]&gt;=4, "Top Performer", Table1[[#This Row],[Rating]]&gt;=3, "Average", TRUE, "Needs Imporovement")</f>
        <v>Average</v>
      </c>
    </row>
    <row r="449" spans="1:17" x14ac:dyDescent="0.3">
      <c r="A449" s="2" t="s">
        <v>941</v>
      </c>
      <c r="B449" s="2" t="s">
        <v>942</v>
      </c>
      <c r="C449" s="2" t="s">
        <v>49</v>
      </c>
      <c r="D449" s="2">
        <v>22</v>
      </c>
      <c r="E449" s="2" t="str">
        <f>_xlfn.IFS(Table1[[#This Row],[Age]]&lt;30, "18-29", D449&lt;=45,"30-45", D449&lt;=55, "46-55", TRUE, "55+")</f>
        <v>18-29</v>
      </c>
      <c r="F449" s="2" t="s">
        <v>7</v>
      </c>
      <c r="G449" s="2" t="s">
        <v>8</v>
      </c>
      <c r="H449" s="2" t="s">
        <v>9</v>
      </c>
      <c r="I449" s="5">
        <v>4</v>
      </c>
      <c r="J449" s="5" t="str">
        <f>_xlfn.IFS(Table1[[#This Row],[Experience(Years)]]&lt;5, "Junior", I449&lt;=12, "Mid-Level", I449&lt;=20, "Senior", I449&lt;=30, "Super Senior", TRUE, "Expert")</f>
        <v>Junior</v>
      </c>
      <c r="K449" s="7">
        <v>20</v>
      </c>
      <c r="L449" s="7">
        <f>Table1[[#This Row],[Hourly Rate]]*1000</f>
        <v>20000</v>
      </c>
      <c r="M449" s="7" t="str">
        <f t="shared" si="6"/>
        <v>Budget</v>
      </c>
      <c r="N449" s="2">
        <f>IF(ISNUMBER(#REF!),#REF!, _xlfn.IFS( I449&gt;=30, 5, I449&gt;=25, 4.8, I449&gt;=15, 4, I449&gt;=10, 3.8, I449&gt;=5, 3, I449&gt;=2, 2.5, I449&gt;=0, 1.8, TRUE, 1.3))</f>
        <v>2.5</v>
      </c>
      <c r="O449" s="2" t="s">
        <v>2052</v>
      </c>
      <c r="P449" s="10">
        <v>0.73</v>
      </c>
      <c r="Q449" s="10" t="str">
        <f>_xlfn.IFS(Table1[[#This Row],[Rating]]&gt;=4, "Top Performer", Table1[[#This Row],[Rating]]&gt;=3, "Average", TRUE, "Needs Imporovement")</f>
        <v>Needs Imporovement</v>
      </c>
    </row>
    <row r="450" spans="1:17" x14ac:dyDescent="0.3">
      <c r="A450" s="2" t="s">
        <v>943</v>
      </c>
      <c r="B450" s="2" t="s">
        <v>944</v>
      </c>
      <c r="C450" s="2" t="s">
        <v>49</v>
      </c>
      <c r="D450" s="2">
        <v>55</v>
      </c>
      <c r="E450" s="2" t="str">
        <f>_xlfn.IFS(Table1[[#This Row],[Age]]&lt;30, "18-29", D450&lt;=45,"30-45", D450&lt;=55, "46-55", TRUE, "55+")</f>
        <v>46-55</v>
      </c>
      <c r="F450" s="2" t="s">
        <v>107</v>
      </c>
      <c r="G450" s="2" t="s">
        <v>108</v>
      </c>
      <c r="H450" s="2" t="s">
        <v>24</v>
      </c>
      <c r="I450" s="5">
        <v>3</v>
      </c>
      <c r="J450" s="5" t="str">
        <f>_xlfn.IFS(Table1[[#This Row],[Experience(Years)]]&lt;5, "Junior", I450&lt;=12, "Mid-Level", I450&lt;=20, "Senior", I450&lt;=30, "Super Senior", TRUE, "Expert")</f>
        <v>Junior</v>
      </c>
      <c r="K450" s="7">
        <v>100</v>
      </c>
      <c r="L450" s="7">
        <f>Table1[[#This Row],[Hourly Rate]]*1000</f>
        <v>100000</v>
      </c>
      <c r="M450" s="7" t="str">
        <f t="shared" ref="M450:M513" si="7">_xlfn.IFS(K450&lt;40, "Budget", K450&lt;=80, "Standard", TRUE, "Premium")</f>
        <v>Premium</v>
      </c>
      <c r="N450" s="2">
        <f>IF(ISNUMBER(#REF!),#REF!, _xlfn.IFS( I450&gt;=30, 5, I450&gt;=25, 4.8, I450&gt;=15, 4, I450&gt;=10, 3.8, I450&gt;=5, 3, I450&gt;=2, 2.5, I450&gt;=0, 1.8, TRUE, 1.3))</f>
        <v>2.5</v>
      </c>
      <c r="O450" s="2" t="s">
        <v>2053</v>
      </c>
      <c r="P450" s="10">
        <v>0.73</v>
      </c>
      <c r="Q450" s="10" t="str">
        <f>_xlfn.IFS(Table1[[#This Row],[Rating]]&gt;=4, "Top Performer", Table1[[#This Row],[Rating]]&gt;=3, "Average", TRUE, "Needs Imporovement")</f>
        <v>Needs Imporovement</v>
      </c>
    </row>
    <row r="451" spans="1:17" x14ac:dyDescent="0.3">
      <c r="A451" s="2" t="s">
        <v>945</v>
      </c>
      <c r="B451" s="2" t="s">
        <v>946</v>
      </c>
      <c r="C451" s="2" t="s">
        <v>49</v>
      </c>
      <c r="D451" s="2">
        <v>54</v>
      </c>
      <c r="E451" s="2" t="str">
        <f>_xlfn.IFS(Table1[[#This Row],[Age]]&lt;30, "18-29", D451&lt;=45,"30-45", D451&lt;=55, "46-55", TRUE, "55+")</f>
        <v>46-55</v>
      </c>
      <c r="F451" s="2" t="s">
        <v>44</v>
      </c>
      <c r="G451" s="2" t="s">
        <v>45</v>
      </c>
      <c r="H451" s="2" t="s">
        <v>83</v>
      </c>
      <c r="I451" s="5">
        <v>10</v>
      </c>
      <c r="J451" s="5" t="str">
        <f>_xlfn.IFS(Table1[[#This Row],[Experience(Years)]]&lt;5, "Junior", I451&lt;=12, "Mid-Level", I451&lt;=20, "Senior", I451&lt;=30, "Super Senior", TRUE, "Expert")</f>
        <v>Mid-Level</v>
      </c>
      <c r="K451" s="7">
        <v>30</v>
      </c>
      <c r="L451" s="7">
        <f>Table1[[#This Row],[Hourly Rate]]*1000</f>
        <v>30000</v>
      </c>
      <c r="M451" s="7" t="str">
        <f t="shared" si="7"/>
        <v>Budget</v>
      </c>
      <c r="N451" s="2">
        <f>IF(ISNUMBER(#REF!),#REF!, _xlfn.IFS( I451&gt;=30, 5, I451&gt;=25, 4.8, I451&gt;=15, 4, I451&gt;=10, 3.8, I451&gt;=5, 3, I451&gt;=2, 2.5, I451&gt;=0, 1.8, TRUE, 1.3))</f>
        <v>3.8</v>
      </c>
      <c r="O451" s="2" t="s">
        <v>2053</v>
      </c>
      <c r="P451" s="10">
        <v>0.78</v>
      </c>
      <c r="Q451" s="10" t="str">
        <f>_xlfn.IFS(Table1[[#This Row],[Rating]]&gt;=4, "Top Performer", Table1[[#This Row],[Rating]]&gt;=3, "Average", TRUE, "Needs Imporovement")</f>
        <v>Average</v>
      </c>
    </row>
    <row r="452" spans="1:17" x14ac:dyDescent="0.3">
      <c r="A452" s="2" t="s">
        <v>947</v>
      </c>
      <c r="B452" s="2" t="s">
        <v>948</v>
      </c>
      <c r="C452" s="2" t="s">
        <v>49</v>
      </c>
      <c r="D452" s="2">
        <v>36</v>
      </c>
      <c r="E452" s="2" t="str">
        <f>_xlfn.IFS(Table1[[#This Row],[Age]]&lt;30, "18-29", D452&lt;=45,"30-45", D452&lt;=55, "46-55", TRUE, "55+")</f>
        <v>30-45</v>
      </c>
      <c r="F452" s="2" t="s">
        <v>22</v>
      </c>
      <c r="G452" s="2" t="s">
        <v>23</v>
      </c>
      <c r="H452" s="2" t="s">
        <v>50</v>
      </c>
      <c r="I452" s="5">
        <v>11</v>
      </c>
      <c r="J452" s="5" t="str">
        <f>_xlfn.IFS(Table1[[#This Row],[Experience(Years)]]&lt;5, "Junior", I452&lt;=12, "Mid-Level", I452&lt;=20, "Senior", I452&lt;=30, "Super Senior", TRUE, "Expert")</f>
        <v>Mid-Level</v>
      </c>
      <c r="K452" s="7">
        <v>30</v>
      </c>
      <c r="L452" s="7">
        <f>Table1[[#This Row],[Hourly Rate]]*1000</f>
        <v>30000</v>
      </c>
      <c r="M452" s="7" t="str">
        <f t="shared" si="7"/>
        <v>Budget</v>
      </c>
      <c r="N452" s="2">
        <f>IF(ISNUMBER(#REF!),#REF!, _xlfn.IFS( I452&gt;=30, 5, I452&gt;=25, 4.8, I452&gt;=15, 4, I452&gt;=10, 3.8, I452&gt;=5, 3, I452&gt;=2, 2.5, I452&gt;=0, 1.8, TRUE, 1.3))</f>
        <v>3.8</v>
      </c>
      <c r="O452" s="2" t="s">
        <v>2053</v>
      </c>
      <c r="P452" s="10">
        <v>0.63</v>
      </c>
      <c r="Q452" s="10" t="str">
        <f>_xlfn.IFS(Table1[[#This Row],[Rating]]&gt;=4, "Top Performer", Table1[[#This Row],[Rating]]&gt;=3, "Average", TRUE, "Needs Imporovement")</f>
        <v>Average</v>
      </c>
    </row>
    <row r="453" spans="1:17" x14ac:dyDescent="0.3">
      <c r="A453" s="2" t="s">
        <v>949</v>
      </c>
      <c r="B453" s="2" t="s">
        <v>950</v>
      </c>
      <c r="C453" s="2" t="s">
        <v>49</v>
      </c>
      <c r="D453" s="2">
        <v>36</v>
      </c>
      <c r="E453" s="2" t="str">
        <f>_xlfn.IFS(Table1[[#This Row],[Age]]&lt;30, "18-29", D453&lt;=45,"30-45", D453&lt;=55, "46-55", TRUE, "55+")</f>
        <v>30-45</v>
      </c>
      <c r="F453" s="2" t="s">
        <v>22</v>
      </c>
      <c r="G453" s="2" t="s">
        <v>23</v>
      </c>
      <c r="H453" s="2" t="s">
        <v>24</v>
      </c>
      <c r="I453" s="5">
        <v>17</v>
      </c>
      <c r="J453" s="5" t="str">
        <f>_xlfn.IFS(Table1[[#This Row],[Experience(Years)]]&lt;5, "Junior", I453&lt;=12, "Mid-Level", I453&lt;=20, "Senior", I453&lt;=30, "Super Senior", TRUE, "Expert")</f>
        <v>Senior</v>
      </c>
      <c r="K453" s="7">
        <v>50</v>
      </c>
      <c r="L453" s="7">
        <f>Table1[[#This Row],[Hourly Rate]]*1000</f>
        <v>50000</v>
      </c>
      <c r="M453" s="7" t="str">
        <f t="shared" si="7"/>
        <v>Standard</v>
      </c>
      <c r="N453" s="2">
        <f>IF(ISNUMBER(#REF!),#REF!, _xlfn.IFS( I453&gt;=30, 5, I453&gt;=25, 4.8, I453&gt;=15, 4, I453&gt;=10, 3.8, I453&gt;=5, 3, I453&gt;=2, 2.5, I453&gt;=0, 1.8, TRUE, 1.3))</f>
        <v>4</v>
      </c>
      <c r="O453" s="2" t="str">
        <f>IF(AND( Table1[[#This Row],[Rating]]&gt;=3.5, Table1[[#This Row],[Experience(Years)]]&gt;=15), "Active", "Inactive")</f>
        <v>Active</v>
      </c>
      <c r="P453" s="10">
        <v>0.64</v>
      </c>
      <c r="Q453" s="10" t="str">
        <f>_xlfn.IFS(Table1[[#This Row],[Rating]]&gt;=4, "Top Performer", Table1[[#This Row],[Rating]]&gt;=3, "Average", TRUE, "Needs Imporovement")</f>
        <v>Top Performer</v>
      </c>
    </row>
    <row r="454" spans="1:17" x14ac:dyDescent="0.3">
      <c r="A454" s="2" t="s">
        <v>951</v>
      </c>
      <c r="B454" s="2" t="s">
        <v>952</v>
      </c>
      <c r="C454" s="2" t="s">
        <v>49</v>
      </c>
      <c r="D454" s="2">
        <v>25</v>
      </c>
      <c r="E454" s="2" t="str">
        <f>_xlfn.IFS(Table1[[#This Row],[Age]]&lt;30, "18-29", D454&lt;=45,"30-45", D454&lt;=55, "46-55", TRUE, "55+")</f>
        <v>18-29</v>
      </c>
      <c r="F454" s="2" t="s">
        <v>44</v>
      </c>
      <c r="G454" s="2" t="s">
        <v>45</v>
      </c>
      <c r="H454" s="2" t="s">
        <v>17</v>
      </c>
      <c r="I454" s="5">
        <v>1</v>
      </c>
      <c r="J454" s="5" t="str">
        <f>_xlfn.IFS(Table1[[#This Row],[Experience(Years)]]&lt;5, "Junior", I454&lt;=12, "Mid-Level", I454&lt;=20, "Senior", I454&lt;=30, "Super Senior", TRUE, "Expert")</f>
        <v>Junior</v>
      </c>
      <c r="K454" s="7">
        <v>75</v>
      </c>
      <c r="L454" s="7">
        <f>Table1[[#This Row],[Hourly Rate]]*1000</f>
        <v>75000</v>
      </c>
      <c r="M454" s="7" t="str">
        <f t="shared" si="7"/>
        <v>Standard</v>
      </c>
      <c r="N454" s="2">
        <f>IF(ISNUMBER(#REF!),#REF!, _xlfn.IFS( I454&gt;=30, 5, I454&gt;=25, 4.8, I454&gt;=15, 4, I454&gt;=10, 3.8, I454&gt;=5, 3, I454&gt;=2, 2.5, I454&gt;=0, 1.8, TRUE, 1.3))</f>
        <v>1.8</v>
      </c>
      <c r="O454" s="2" t="s">
        <v>2053</v>
      </c>
      <c r="P454" s="10">
        <v>0.3</v>
      </c>
      <c r="Q454" s="10" t="str">
        <f>_xlfn.IFS(Table1[[#This Row],[Rating]]&gt;=4, "Top Performer", Table1[[#This Row],[Rating]]&gt;=3, "Average", TRUE, "Needs Imporovement")</f>
        <v>Needs Imporovement</v>
      </c>
    </row>
    <row r="455" spans="1:17" x14ac:dyDescent="0.3">
      <c r="A455" s="2" t="s">
        <v>953</v>
      </c>
      <c r="B455" s="2" t="s">
        <v>954</v>
      </c>
      <c r="C455" s="2" t="s">
        <v>68</v>
      </c>
      <c r="D455" s="2">
        <v>46</v>
      </c>
      <c r="E455" s="2" t="str">
        <f>_xlfn.IFS(Table1[[#This Row],[Age]]&lt;30, "18-29", D455&lt;=45,"30-45", D455&lt;=55, "46-55", TRUE, "55+")</f>
        <v>46-55</v>
      </c>
      <c r="F455" s="2" t="s">
        <v>27</v>
      </c>
      <c r="G455" s="2" t="s">
        <v>28</v>
      </c>
      <c r="H455" s="2" t="s">
        <v>24</v>
      </c>
      <c r="I455" s="5">
        <v>16</v>
      </c>
      <c r="J455" s="5" t="str">
        <f>_xlfn.IFS(Table1[[#This Row],[Experience(Years)]]&lt;5, "Junior", I455&lt;=12, "Mid-Level", I455&lt;=20, "Senior", I455&lt;=30, "Super Senior", TRUE, "Expert")</f>
        <v>Senior</v>
      </c>
      <c r="K455" s="7">
        <v>20</v>
      </c>
      <c r="L455" s="7">
        <f>Table1[[#This Row],[Hourly Rate]]*1000</f>
        <v>20000</v>
      </c>
      <c r="M455" s="7" t="str">
        <f t="shared" si="7"/>
        <v>Budget</v>
      </c>
      <c r="N455" s="2">
        <f>IF(ISNUMBER(#REF!),#REF!, _xlfn.IFS( I455&gt;=30, 5, I455&gt;=25, 4.8, I455&gt;=15, 4, I455&gt;=10, 3.8, I455&gt;=5, 3, I455&gt;=2, 2.5, I455&gt;=0, 1.8, TRUE, 1.3))</f>
        <v>4</v>
      </c>
      <c r="O455" s="2" t="s">
        <v>2053</v>
      </c>
      <c r="P455" s="10">
        <v>0.86</v>
      </c>
      <c r="Q455" s="10" t="str">
        <f>_xlfn.IFS(Table1[[#This Row],[Rating]]&gt;=4, "Top Performer", Table1[[#This Row],[Rating]]&gt;=3, "Average", TRUE, "Needs Imporovement")</f>
        <v>Top Performer</v>
      </c>
    </row>
    <row r="456" spans="1:17" x14ac:dyDescent="0.3">
      <c r="A456" s="2" t="s">
        <v>955</v>
      </c>
      <c r="B456" s="2" t="s">
        <v>956</v>
      </c>
      <c r="C456" s="2" t="s">
        <v>68</v>
      </c>
      <c r="D456" s="2">
        <v>41</v>
      </c>
      <c r="E456" s="2" t="str">
        <f>_xlfn.IFS(Table1[[#This Row],[Age]]&lt;30, "18-29", D456&lt;=45,"30-45", D456&lt;=55, "46-55", TRUE, "55+")</f>
        <v>30-45</v>
      </c>
      <c r="F456" s="2" t="s">
        <v>44</v>
      </c>
      <c r="G456" s="2" t="s">
        <v>45</v>
      </c>
      <c r="H456" s="2" t="s">
        <v>83</v>
      </c>
      <c r="I456" s="5">
        <v>11</v>
      </c>
      <c r="J456" s="5" t="str">
        <f>_xlfn.IFS(Table1[[#This Row],[Experience(Years)]]&lt;5, "Junior", I456&lt;=12, "Mid-Level", I456&lt;=20, "Senior", I456&lt;=30, "Super Senior", TRUE, "Expert")</f>
        <v>Mid-Level</v>
      </c>
      <c r="K456" s="7">
        <v>40</v>
      </c>
      <c r="L456" s="7">
        <f>Table1[[#This Row],[Hourly Rate]]*1000</f>
        <v>40000</v>
      </c>
      <c r="M456" s="7" t="str">
        <f t="shared" si="7"/>
        <v>Standard</v>
      </c>
      <c r="N456" s="2">
        <f>IF(ISNUMBER(#REF!),#REF!, _xlfn.IFS( I456&gt;=30, 5, I456&gt;=25, 4.8, I456&gt;=15, 4, I456&gt;=10, 3.8, I456&gt;=5, 3, I456&gt;=2, 2.5, I456&gt;=0, 1.8, TRUE, 1.3))</f>
        <v>3.8</v>
      </c>
      <c r="O456" s="2" t="s">
        <v>2052</v>
      </c>
      <c r="P456" s="10">
        <v>0.75</v>
      </c>
      <c r="Q456" s="10" t="str">
        <f>_xlfn.IFS(Table1[[#This Row],[Rating]]&gt;=4, "Top Performer", Table1[[#This Row],[Rating]]&gt;=3, "Average", TRUE, "Needs Imporovement")</f>
        <v>Average</v>
      </c>
    </row>
    <row r="457" spans="1:17" x14ac:dyDescent="0.3">
      <c r="A457" s="2" t="s">
        <v>957</v>
      </c>
      <c r="B457" s="2" t="s">
        <v>958</v>
      </c>
      <c r="C457" s="2" t="s">
        <v>49</v>
      </c>
      <c r="D457" s="2">
        <v>21</v>
      </c>
      <c r="E457" s="2" t="str">
        <f>_xlfn.IFS(Table1[[#This Row],[Age]]&lt;30, "18-29", D457&lt;=45,"30-45", D457&lt;=55, "46-55", TRUE, "55+")</f>
        <v>18-29</v>
      </c>
      <c r="F457" s="2" t="s">
        <v>92</v>
      </c>
      <c r="G457" s="2" t="s">
        <v>93</v>
      </c>
      <c r="H457" s="2" t="s">
        <v>9</v>
      </c>
      <c r="I457" s="5">
        <v>3</v>
      </c>
      <c r="J457" s="5" t="str">
        <f>_xlfn.IFS(Table1[[#This Row],[Experience(Years)]]&lt;5, "Junior", I457&lt;=12, "Mid-Level", I457&lt;=20, "Senior", I457&lt;=30, "Super Senior", TRUE, "Expert")</f>
        <v>Junior</v>
      </c>
      <c r="K457" s="7">
        <v>100</v>
      </c>
      <c r="L457" s="7">
        <f>Table1[[#This Row],[Hourly Rate]]*1000</f>
        <v>100000</v>
      </c>
      <c r="M457" s="7" t="str">
        <f t="shared" si="7"/>
        <v>Premium</v>
      </c>
      <c r="N457" s="2">
        <f>IF(ISNUMBER(#REF!),#REF!, _xlfn.IFS( I457&gt;=30, 5, I457&gt;=25, 4.8, I457&gt;=15, 4, I457&gt;=10, 3.8, I457&gt;=5, 3, I457&gt;=2, 2.5, I457&gt;=0, 1.8, TRUE, 1.3))</f>
        <v>2.5</v>
      </c>
      <c r="O457" s="2" t="s">
        <v>2052</v>
      </c>
      <c r="P457" s="10">
        <v>0.96</v>
      </c>
      <c r="Q457" s="10" t="str">
        <f>_xlfn.IFS(Table1[[#This Row],[Rating]]&gt;=4, "Top Performer", Table1[[#This Row],[Rating]]&gt;=3, "Average", TRUE, "Needs Imporovement")</f>
        <v>Needs Imporovement</v>
      </c>
    </row>
    <row r="458" spans="1:17" x14ac:dyDescent="0.3">
      <c r="A458" s="2" t="s">
        <v>959</v>
      </c>
      <c r="B458" s="2" t="s">
        <v>960</v>
      </c>
      <c r="C458" s="2" t="s">
        <v>68</v>
      </c>
      <c r="D458" s="2">
        <v>29</v>
      </c>
      <c r="E458" s="2" t="str">
        <f>_xlfn.IFS(Table1[[#This Row],[Age]]&lt;30, "18-29", D458&lt;=45,"30-45", D458&lt;=55, "46-55", TRUE, "55+")</f>
        <v>18-29</v>
      </c>
      <c r="F458" s="2" t="s">
        <v>34</v>
      </c>
      <c r="G458" s="2" t="s">
        <v>8</v>
      </c>
      <c r="H458" s="2" t="s">
        <v>14</v>
      </c>
      <c r="I458" s="5">
        <v>5</v>
      </c>
      <c r="J458" s="5" t="str">
        <f>_xlfn.IFS(Table1[[#This Row],[Experience(Years)]]&lt;5, "Junior", I458&lt;=12, "Mid-Level", I458&lt;=20, "Senior", I458&lt;=30, "Super Senior", TRUE, "Expert")</f>
        <v>Mid-Level</v>
      </c>
      <c r="K458" s="7">
        <v>75</v>
      </c>
      <c r="L458" s="7">
        <f>Table1[[#This Row],[Hourly Rate]]*1000</f>
        <v>75000</v>
      </c>
      <c r="M458" s="7" t="str">
        <f t="shared" si="7"/>
        <v>Standard</v>
      </c>
      <c r="N458" s="2">
        <f>IF(ISNUMBER(#REF!),#REF!, _xlfn.IFS( I458&gt;=30, 5, I458&gt;=25, 4.8, I458&gt;=15, 4, I458&gt;=10, 3.8, I458&gt;=5, 3, I458&gt;=2, 2.5, I458&gt;=0, 1.8, TRUE, 1.3))</f>
        <v>3</v>
      </c>
      <c r="O458" s="2" t="s">
        <v>2052</v>
      </c>
      <c r="P458" s="10">
        <v>0.6</v>
      </c>
      <c r="Q458" s="10" t="str">
        <f>_xlfn.IFS(Table1[[#This Row],[Rating]]&gt;=4, "Top Performer", Table1[[#This Row],[Rating]]&gt;=3, "Average", TRUE, "Needs Imporovement")</f>
        <v>Average</v>
      </c>
    </row>
    <row r="459" spans="1:17" x14ac:dyDescent="0.3">
      <c r="A459" s="2" t="s">
        <v>961</v>
      </c>
      <c r="B459" s="2" t="s">
        <v>962</v>
      </c>
      <c r="C459" s="2" t="s">
        <v>49</v>
      </c>
      <c r="D459" s="2">
        <v>44</v>
      </c>
      <c r="E459" s="2" t="str">
        <f>_xlfn.IFS(Table1[[#This Row],[Age]]&lt;30, "18-29", D459&lt;=45,"30-45", D459&lt;=55, "46-55", TRUE, "55+")</f>
        <v>30-45</v>
      </c>
      <c r="F459" s="2" t="s">
        <v>34</v>
      </c>
      <c r="G459" s="2" t="s">
        <v>8</v>
      </c>
      <c r="H459" s="2" t="s">
        <v>9</v>
      </c>
      <c r="I459" s="5">
        <v>3</v>
      </c>
      <c r="J459" s="5" t="str">
        <f>_xlfn.IFS(Table1[[#This Row],[Experience(Years)]]&lt;5, "Junior", I459&lt;=12, "Mid-Level", I459&lt;=20, "Senior", I459&lt;=30, "Super Senior", TRUE, "Expert")</f>
        <v>Junior</v>
      </c>
      <c r="K459" s="7">
        <v>50</v>
      </c>
      <c r="L459" s="7">
        <f>Table1[[#This Row],[Hourly Rate]]*1000</f>
        <v>50000</v>
      </c>
      <c r="M459" s="7" t="str">
        <f t="shared" si="7"/>
        <v>Standard</v>
      </c>
      <c r="N459" s="2">
        <f>IF(ISNUMBER(#REF!),#REF!, _xlfn.IFS( I459&gt;=30, 5, I459&gt;=25, 4.8, I459&gt;=15, 4, I459&gt;=10, 3.8, I459&gt;=5, 3, I459&gt;=2, 2.5, I459&gt;=0, 1.8, TRUE, 1.3))</f>
        <v>2.5</v>
      </c>
      <c r="O459" s="2" t="s">
        <v>2052</v>
      </c>
      <c r="P459" s="10">
        <v>0.77</v>
      </c>
      <c r="Q459" s="10" t="str">
        <f>_xlfn.IFS(Table1[[#This Row],[Rating]]&gt;=4, "Top Performer", Table1[[#This Row],[Rating]]&gt;=3, "Average", TRUE, "Needs Imporovement")</f>
        <v>Needs Imporovement</v>
      </c>
    </row>
    <row r="460" spans="1:17" x14ac:dyDescent="0.3">
      <c r="A460" s="2" t="s">
        <v>963</v>
      </c>
      <c r="B460" s="2" t="s">
        <v>964</v>
      </c>
      <c r="C460" s="2" t="s">
        <v>68</v>
      </c>
      <c r="D460" s="2">
        <v>40</v>
      </c>
      <c r="E460" s="2" t="str">
        <f>_xlfn.IFS(Table1[[#This Row],[Age]]&lt;30, "18-29", D460&lt;=45,"30-45", D460&lt;=55, "46-55", TRUE, "55+")</f>
        <v>30-45</v>
      </c>
      <c r="F460" s="2" t="s">
        <v>96</v>
      </c>
      <c r="G460" s="2" t="s">
        <v>8</v>
      </c>
      <c r="H460" s="2" t="s">
        <v>83</v>
      </c>
      <c r="I460" s="5">
        <v>1</v>
      </c>
      <c r="J460" s="5" t="str">
        <f>_xlfn.IFS(Table1[[#This Row],[Experience(Years)]]&lt;5, "Junior", I460&lt;=12, "Mid-Level", I460&lt;=20, "Senior", I460&lt;=30, "Super Senior", TRUE, "Expert")</f>
        <v>Junior</v>
      </c>
      <c r="K460" s="7">
        <v>100</v>
      </c>
      <c r="L460" s="7">
        <f>Table1[[#This Row],[Hourly Rate]]*1000</f>
        <v>100000</v>
      </c>
      <c r="M460" s="7" t="str">
        <f t="shared" si="7"/>
        <v>Premium</v>
      </c>
      <c r="N460" s="2">
        <f>IF(ISNUMBER(#REF!),#REF!, _xlfn.IFS( I460&gt;=30, 5, I460&gt;=25, 4.8, I460&gt;=15, 4, I460&gt;=10, 3.8, I460&gt;=5, 3, I460&gt;=2, 2.5, I460&gt;=0, 1.8, TRUE, 1.3))</f>
        <v>1.8</v>
      </c>
      <c r="O460" s="2" t="s">
        <v>2053</v>
      </c>
      <c r="P460" s="10">
        <v>0.3</v>
      </c>
      <c r="Q460" s="10" t="str">
        <f>_xlfn.IFS(Table1[[#This Row],[Rating]]&gt;=4, "Top Performer", Table1[[#This Row],[Rating]]&gt;=3, "Average", TRUE, "Needs Imporovement")</f>
        <v>Needs Imporovement</v>
      </c>
    </row>
    <row r="461" spans="1:17" x14ac:dyDescent="0.3">
      <c r="A461" s="2" t="s">
        <v>965</v>
      </c>
      <c r="B461" s="2" t="s">
        <v>966</v>
      </c>
      <c r="C461" s="2" t="s">
        <v>49</v>
      </c>
      <c r="D461" s="2">
        <v>27</v>
      </c>
      <c r="E461" s="2" t="str">
        <f>_xlfn.IFS(Table1[[#This Row],[Age]]&lt;30, "18-29", D461&lt;=45,"30-45", D461&lt;=55, "46-55", TRUE, "55+")</f>
        <v>18-29</v>
      </c>
      <c r="F461" s="2" t="s">
        <v>107</v>
      </c>
      <c r="G461" s="2" t="s">
        <v>108</v>
      </c>
      <c r="H461" s="2" t="s">
        <v>29</v>
      </c>
      <c r="I461" s="5">
        <v>1</v>
      </c>
      <c r="J461" s="5" t="str">
        <f>_xlfn.IFS(Table1[[#This Row],[Experience(Years)]]&lt;5, "Junior", I461&lt;=12, "Mid-Level", I461&lt;=20, "Senior", I461&lt;=30, "Super Senior", TRUE, "Expert")</f>
        <v>Junior</v>
      </c>
      <c r="K461" s="7">
        <v>30</v>
      </c>
      <c r="L461" s="7">
        <f>Table1[[#This Row],[Hourly Rate]]*1000</f>
        <v>30000</v>
      </c>
      <c r="M461" s="7" t="str">
        <f t="shared" si="7"/>
        <v>Budget</v>
      </c>
      <c r="N461" s="2">
        <f>IF(ISNUMBER(#REF!),#REF!, _xlfn.IFS( I461&gt;=30, 5, I461&gt;=25, 4.8, I461&gt;=15, 4, I461&gt;=10, 3.8, I461&gt;=5, 3, I461&gt;=2, 2.5, I461&gt;=0, 1.8, TRUE, 1.3))</f>
        <v>1.8</v>
      </c>
      <c r="O461" s="2" t="s">
        <v>2052</v>
      </c>
      <c r="P461" s="10">
        <v>0.65</v>
      </c>
      <c r="Q461" s="10" t="str">
        <f>_xlfn.IFS(Table1[[#This Row],[Rating]]&gt;=4, "Top Performer", Table1[[#This Row],[Rating]]&gt;=3, "Average", TRUE, "Needs Imporovement")</f>
        <v>Needs Imporovement</v>
      </c>
    </row>
    <row r="462" spans="1:17" x14ac:dyDescent="0.3">
      <c r="A462" s="2" t="s">
        <v>967</v>
      </c>
      <c r="B462" s="2" t="s">
        <v>968</v>
      </c>
      <c r="C462" s="2" t="s">
        <v>68</v>
      </c>
      <c r="D462" s="2">
        <v>53</v>
      </c>
      <c r="E462" s="2" t="str">
        <f>_xlfn.IFS(Table1[[#This Row],[Age]]&lt;30, "18-29", D462&lt;=45,"30-45", D462&lt;=55, "46-55", TRUE, "55+")</f>
        <v>46-55</v>
      </c>
      <c r="F462" s="2" t="s">
        <v>103</v>
      </c>
      <c r="G462" s="2" t="s">
        <v>104</v>
      </c>
      <c r="H462" s="2" t="s">
        <v>9</v>
      </c>
      <c r="I462" s="5">
        <v>35</v>
      </c>
      <c r="J462" s="5" t="str">
        <f>_xlfn.IFS(Table1[[#This Row],[Experience(Years)]]&lt;5, "Junior", I462&lt;=12, "Mid-Level", I462&lt;=20, "Senior", I462&lt;=30, "Super Senior", TRUE, "Expert")</f>
        <v>Expert</v>
      </c>
      <c r="K462" s="7">
        <v>30</v>
      </c>
      <c r="L462" s="7">
        <f>Table1[[#This Row],[Hourly Rate]]*1000</f>
        <v>30000</v>
      </c>
      <c r="M462" s="7" t="str">
        <f t="shared" si="7"/>
        <v>Budget</v>
      </c>
      <c r="N462" s="2">
        <f>IF(ISNUMBER(#REF!),#REF!, _xlfn.IFS( I462&gt;=30, 5, I462&gt;=25, 4.8, I462&gt;=15, 4, I462&gt;=10, 3.8, I462&gt;=5, 3, I462&gt;=2, 2.5, I462&gt;=0, 1.8, TRUE, 1.3))</f>
        <v>5</v>
      </c>
      <c r="O462" s="2" t="s">
        <v>2053</v>
      </c>
      <c r="P462" s="10">
        <v>0.62</v>
      </c>
      <c r="Q462" s="10" t="str">
        <f>_xlfn.IFS(Table1[[#This Row],[Rating]]&gt;=4, "Top Performer", Table1[[#This Row],[Rating]]&gt;=3, "Average", TRUE, "Needs Imporovement")</f>
        <v>Top Performer</v>
      </c>
    </row>
    <row r="463" spans="1:17" x14ac:dyDescent="0.3">
      <c r="A463" s="2" t="s">
        <v>969</v>
      </c>
      <c r="B463" s="2" t="s">
        <v>970</v>
      </c>
      <c r="C463" s="2" t="s">
        <v>68</v>
      </c>
      <c r="D463" s="2">
        <v>20</v>
      </c>
      <c r="E463" s="2" t="str">
        <f>_xlfn.IFS(Table1[[#This Row],[Age]]&lt;30, "18-29", D463&lt;=45,"30-45", D463&lt;=55, "46-55", TRUE, "55+")</f>
        <v>18-29</v>
      </c>
      <c r="F463" s="2" t="s">
        <v>37</v>
      </c>
      <c r="G463" s="2" t="s">
        <v>38</v>
      </c>
      <c r="H463" s="2" t="s">
        <v>29</v>
      </c>
      <c r="I463" s="5">
        <v>1</v>
      </c>
      <c r="J463" s="5" t="str">
        <f>_xlfn.IFS(Table1[[#This Row],[Experience(Years)]]&lt;5, "Junior", I463&lt;=12, "Mid-Level", I463&lt;=20, "Senior", I463&lt;=30, "Super Senior", TRUE, "Expert")</f>
        <v>Junior</v>
      </c>
      <c r="K463" s="7">
        <v>50</v>
      </c>
      <c r="L463" s="7">
        <f>Table1[[#This Row],[Hourly Rate]]*1000</f>
        <v>50000</v>
      </c>
      <c r="M463" s="7" t="str">
        <f t="shared" si="7"/>
        <v>Standard</v>
      </c>
      <c r="N463" s="2">
        <f>IF(ISNUMBER(#REF!),#REF!, _xlfn.IFS( I463&gt;=30, 5, I463&gt;=25, 4.8, I463&gt;=15, 4, I463&gt;=10, 3.8, I463&gt;=5, 3, I463&gt;=2, 2.5, I463&gt;=0, 1.8, TRUE, 1.3))</f>
        <v>1.8</v>
      </c>
      <c r="O463" s="2" t="s">
        <v>2052</v>
      </c>
      <c r="P463" s="10">
        <v>0.81</v>
      </c>
      <c r="Q463" s="10" t="str">
        <f>_xlfn.IFS(Table1[[#This Row],[Rating]]&gt;=4, "Top Performer", Table1[[#This Row],[Rating]]&gt;=3, "Average", TRUE, "Needs Imporovement")</f>
        <v>Needs Imporovement</v>
      </c>
    </row>
    <row r="464" spans="1:17" x14ac:dyDescent="0.3">
      <c r="A464" s="2" t="s">
        <v>971</v>
      </c>
      <c r="B464" s="2" t="s">
        <v>972</v>
      </c>
      <c r="C464" s="2" t="s">
        <v>49</v>
      </c>
      <c r="D464" s="2">
        <v>39</v>
      </c>
      <c r="E464" s="2" t="str">
        <f>_xlfn.IFS(Table1[[#This Row],[Age]]&lt;30, "18-29", D464&lt;=45,"30-45", D464&lt;=55, "46-55", TRUE, "55+")</f>
        <v>30-45</v>
      </c>
      <c r="F464" s="2" t="s">
        <v>57</v>
      </c>
      <c r="G464" s="2" t="s">
        <v>58</v>
      </c>
      <c r="H464" s="2" t="s">
        <v>61</v>
      </c>
      <c r="I464" s="5">
        <v>12</v>
      </c>
      <c r="J464" s="5" t="str">
        <f>_xlfn.IFS(Table1[[#This Row],[Experience(Years)]]&lt;5, "Junior", I464&lt;=12, "Mid-Level", I464&lt;=20, "Senior", I464&lt;=30, "Super Senior", TRUE, "Expert")</f>
        <v>Mid-Level</v>
      </c>
      <c r="K464" s="7">
        <v>50</v>
      </c>
      <c r="L464" s="7">
        <f>Table1[[#This Row],[Hourly Rate]]*1000</f>
        <v>50000</v>
      </c>
      <c r="M464" s="7" t="str">
        <f t="shared" si="7"/>
        <v>Standard</v>
      </c>
      <c r="N464" s="2">
        <f>IF(ISNUMBER(#REF!),#REF!, _xlfn.IFS( I464&gt;=30, 5, I464&gt;=25, 4.8, I464&gt;=15, 4, I464&gt;=10, 3.8, I464&gt;=5, 3, I464&gt;=2, 2.5, I464&gt;=0, 1.8, TRUE, 1.3))</f>
        <v>3.8</v>
      </c>
      <c r="O464" s="2" t="s">
        <v>2053</v>
      </c>
      <c r="P464" s="10">
        <v>0.62</v>
      </c>
      <c r="Q464" s="10" t="str">
        <f>_xlfn.IFS(Table1[[#This Row],[Rating]]&gt;=4, "Top Performer", Table1[[#This Row],[Rating]]&gt;=3, "Average", TRUE, "Needs Imporovement")</f>
        <v>Average</v>
      </c>
    </row>
    <row r="465" spans="1:17" x14ac:dyDescent="0.3">
      <c r="A465" s="2" t="s">
        <v>973</v>
      </c>
      <c r="B465" s="2" t="s">
        <v>974</v>
      </c>
      <c r="C465" s="2" t="s">
        <v>68</v>
      </c>
      <c r="D465" s="2">
        <v>26</v>
      </c>
      <c r="E465" s="2" t="str">
        <f>_xlfn.IFS(Table1[[#This Row],[Age]]&lt;30, "18-29", D465&lt;=45,"30-45", D465&lt;=55, "46-55", TRUE, "55+")</f>
        <v>18-29</v>
      </c>
      <c r="F465" s="2" t="s">
        <v>145</v>
      </c>
      <c r="G465" s="2" t="s">
        <v>45</v>
      </c>
      <c r="H465" s="2" t="s">
        <v>17</v>
      </c>
      <c r="I465" s="5">
        <v>8</v>
      </c>
      <c r="J465" s="5" t="str">
        <f>_xlfn.IFS(Table1[[#This Row],[Experience(Years)]]&lt;5, "Junior", I465&lt;=12, "Mid-Level", I465&lt;=20, "Senior", I465&lt;=30, "Super Senior", TRUE, "Expert")</f>
        <v>Mid-Level</v>
      </c>
      <c r="K465" s="7">
        <v>40</v>
      </c>
      <c r="L465" s="7">
        <f>Table1[[#This Row],[Hourly Rate]]*1000</f>
        <v>40000</v>
      </c>
      <c r="M465" s="7" t="str">
        <f t="shared" si="7"/>
        <v>Standard</v>
      </c>
      <c r="N465" s="2">
        <f>IF(ISNUMBER(#REF!),#REF!, _xlfn.IFS( I465&gt;=30, 5, I465&gt;=25, 4.8, I465&gt;=15, 4, I465&gt;=10, 3.8, I465&gt;=5, 3, I465&gt;=2, 2.5, I465&gt;=0, 1.8, TRUE, 1.3))</f>
        <v>3</v>
      </c>
      <c r="O465" s="2" t="s">
        <v>2052</v>
      </c>
      <c r="P465" s="10">
        <v>0.87</v>
      </c>
      <c r="Q465" s="10" t="str">
        <f>_xlfn.IFS(Table1[[#This Row],[Rating]]&gt;=4, "Top Performer", Table1[[#This Row],[Rating]]&gt;=3, "Average", TRUE, "Needs Imporovement")</f>
        <v>Average</v>
      </c>
    </row>
    <row r="466" spans="1:17" x14ac:dyDescent="0.3">
      <c r="A466" s="2" t="s">
        <v>975</v>
      </c>
      <c r="B466" s="2" t="s">
        <v>976</v>
      </c>
      <c r="C466" s="2" t="s">
        <v>49</v>
      </c>
      <c r="D466" s="2">
        <v>49</v>
      </c>
      <c r="E466" s="2" t="str">
        <f>_xlfn.IFS(Table1[[#This Row],[Age]]&lt;30, "18-29", D466&lt;=45,"30-45", D466&lt;=55, "46-55", TRUE, "55+")</f>
        <v>46-55</v>
      </c>
      <c r="F466" s="2" t="s">
        <v>77</v>
      </c>
      <c r="G466" s="2" t="s">
        <v>78</v>
      </c>
      <c r="H466" s="2" t="s">
        <v>83</v>
      </c>
      <c r="I466" s="5">
        <v>13</v>
      </c>
      <c r="J466" s="5" t="str">
        <f>_xlfn.IFS(Table1[[#This Row],[Experience(Years)]]&lt;5, "Junior", I466&lt;=12, "Mid-Level", I466&lt;=20, "Senior", I466&lt;=30, "Super Senior", TRUE, "Expert")</f>
        <v>Senior</v>
      </c>
      <c r="K466" s="7">
        <v>100</v>
      </c>
      <c r="L466" s="7">
        <f>Table1[[#This Row],[Hourly Rate]]*1000</f>
        <v>100000</v>
      </c>
      <c r="M466" s="7" t="str">
        <f t="shared" si="7"/>
        <v>Premium</v>
      </c>
      <c r="N466" s="2">
        <f>IF(ISNUMBER(#REF!),#REF!, _xlfn.IFS( I466&gt;=30, 5, I466&gt;=25, 4.8, I466&gt;=15, 4, I466&gt;=10, 3.8, I466&gt;=5, 3, I466&gt;=2, 2.5, I466&gt;=0, 1.8, TRUE, 1.3))</f>
        <v>3.8</v>
      </c>
      <c r="O466" s="2" t="s">
        <v>2052</v>
      </c>
      <c r="P466" s="10">
        <v>0.75</v>
      </c>
      <c r="Q466" s="10" t="str">
        <f>_xlfn.IFS(Table1[[#This Row],[Rating]]&gt;=4, "Top Performer", Table1[[#This Row],[Rating]]&gt;=3, "Average", TRUE, "Needs Imporovement")</f>
        <v>Average</v>
      </c>
    </row>
    <row r="467" spans="1:17" x14ac:dyDescent="0.3">
      <c r="A467" s="2" t="s">
        <v>977</v>
      </c>
      <c r="B467" s="2" t="s">
        <v>978</v>
      </c>
      <c r="C467" s="2" t="s">
        <v>49</v>
      </c>
      <c r="D467" s="2">
        <v>20</v>
      </c>
      <c r="E467" s="2" t="str">
        <f>_xlfn.IFS(Table1[[#This Row],[Age]]&lt;30, "18-29", D467&lt;=45,"30-45", D467&lt;=55, "46-55", TRUE, "55+")</f>
        <v>18-29</v>
      </c>
      <c r="F467" s="2" t="s">
        <v>107</v>
      </c>
      <c r="G467" s="2" t="s">
        <v>108</v>
      </c>
      <c r="H467" s="2" t="s">
        <v>29</v>
      </c>
      <c r="I467" s="5">
        <v>0</v>
      </c>
      <c r="J467" s="5" t="str">
        <f>_xlfn.IFS(Table1[[#This Row],[Experience(Years)]]&lt;5, "Junior", I467&lt;=12, "Mid-Level", I467&lt;=20, "Senior", I467&lt;=30, "Super Senior", TRUE, "Expert")</f>
        <v>Junior</v>
      </c>
      <c r="K467" s="7">
        <v>30</v>
      </c>
      <c r="L467" s="7">
        <f>Table1[[#This Row],[Hourly Rate]]*1000</f>
        <v>30000</v>
      </c>
      <c r="M467" s="7" t="str">
        <f t="shared" si="7"/>
        <v>Budget</v>
      </c>
      <c r="N467" s="2">
        <f>IF(ISNUMBER(#REF!),#REF!, _xlfn.IFS( I467&gt;=30, 5, I467&gt;=25, 4.8, I467&gt;=15, 4, I467&gt;=10, 3.8, I467&gt;=5, 3, I467&gt;=2, 2.5, I467&gt;=0, 1.8, TRUE, 1.3))</f>
        <v>1.8</v>
      </c>
      <c r="O467" s="2" t="s">
        <v>2053</v>
      </c>
      <c r="P467" s="10">
        <v>0.76</v>
      </c>
      <c r="Q467" s="10" t="str">
        <f>_xlfn.IFS(Table1[[#This Row],[Rating]]&gt;=4, "Top Performer", Table1[[#This Row],[Rating]]&gt;=3, "Average", TRUE, "Needs Imporovement")</f>
        <v>Needs Imporovement</v>
      </c>
    </row>
    <row r="468" spans="1:17" x14ac:dyDescent="0.3">
      <c r="A468" s="2" t="s">
        <v>979</v>
      </c>
      <c r="B468" s="2" t="s">
        <v>980</v>
      </c>
      <c r="C468" s="2" t="s">
        <v>49</v>
      </c>
      <c r="D468" s="2">
        <v>39</v>
      </c>
      <c r="E468" s="2" t="str">
        <f>_xlfn.IFS(Table1[[#This Row],[Age]]&lt;30, "18-29", D468&lt;=45,"30-45", D468&lt;=55, "46-55", TRUE, "55+")</f>
        <v>30-45</v>
      </c>
      <c r="F468" s="2" t="s">
        <v>141</v>
      </c>
      <c r="G468" s="2" t="s">
        <v>142</v>
      </c>
      <c r="H468" s="2" t="s">
        <v>4</v>
      </c>
      <c r="I468" s="5">
        <v>11</v>
      </c>
      <c r="J468" s="5" t="str">
        <f>_xlfn.IFS(Table1[[#This Row],[Experience(Years)]]&lt;5, "Junior", I468&lt;=12, "Mid-Level", I468&lt;=20, "Senior", I468&lt;=30, "Super Senior", TRUE, "Expert")</f>
        <v>Mid-Level</v>
      </c>
      <c r="K468" s="7">
        <v>100</v>
      </c>
      <c r="L468" s="7">
        <f>Table1[[#This Row],[Hourly Rate]]*1000</f>
        <v>100000</v>
      </c>
      <c r="M468" s="7" t="str">
        <f t="shared" si="7"/>
        <v>Premium</v>
      </c>
      <c r="N468" s="2">
        <f>IF(ISNUMBER(#REF!),#REF!, _xlfn.IFS( I468&gt;=30, 5, I468&gt;=25, 4.8, I468&gt;=15, 4, I468&gt;=10, 3.8, I468&gt;=5, 3, I468&gt;=2, 2.5, I468&gt;=0, 1.8, TRUE, 1.3))</f>
        <v>3.8</v>
      </c>
      <c r="O468" s="2" t="str">
        <f>IF(AND( Table1[[#This Row],[Rating]]&gt;=3.5, Table1[[#This Row],[Experience(Years)]]&gt;=15), "Active", "Inactive")</f>
        <v>Inactive</v>
      </c>
      <c r="P468" s="10">
        <v>0.7</v>
      </c>
      <c r="Q468" s="10" t="str">
        <f>_xlfn.IFS(Table1[[#This Row],[Rating]]&gt;=4, "Top Performer", Table1[[#This Row],[Rating]]&gt;=3, "Average", TRUE, "Needs Imporovement")</f>
        <v>Average</v>
      </c>
    </row>
    <row r="469" spans="1:17" x14ac:dyDescent="0.3">
      <c r="A469" s="2" t="s">
        <v>981</v>
      </c>
      <c r="B469" s="2" t="s">
        <v>982</v>
      </c>
      <c r="C469" s="2" t="s">
        <v>49</v>
      </c>
      <c r="D469" s="2">
        <v>41</v>
      </c>
      <c r="E469" s="2" t="str">
        <f>_xlfn.IFS(Table1[[#This Row],[Age]]&lt;30, "18-29", D469&lt;=45,"30-45", D469&lt;=55, "46-55", TRUE, "55+")</f>
        <v>30-45</v>
      </c>
      <c r="F469" s="2" t="s">
        <v>141</v>
      </c>
      <c r="G469" s="2" t="s">
        <v>142</v>
      </c>
      <c r="H469" s="2" t="s">
        <v>83</v>
      </c>
      <c r="I469" s="5">
        <v>19</v>
      </c>
      <c r="J469" s="5" t="str">
        <f>_xlfn.IFS(Table1[[#This Row],[Experience(Years)]]&lt;5, "Junior", I469&lt;=12, "Mid-Level", I469&lt;=20, "Senior", I469&lt;=30, "Super Senior", TRUE, "Expert")</f>
        <v>Senior</v>
      </c>
      <c r="K469" s="7">
        <v>100</v>
      </c>
      <c r="L469" s="7">
        <f>Table1[[#This Row],[Hourly Rate]]*1000</f>
        <v>100000</v>
      </c>
      <c r="M469" s="7" t="str">
        <f t="shared" si="7"/>
        <v>Premium</v>
      </c>
      <c r="N469" s="2">
        <f>IF(ISNUMBER(#REF!),#REF!, _xlfn.IFS( I469&gt;=30, 5, I469&gt;=25, 4.8, I469&gt;=15, 4, I469&gt;=10, 3.8, I469&gt;=5, 3, I469&gt;=2, 2.5, I469&gt;=0, 1.8, TRUE, 1.3))</f>
        <v>4</v>
      </c>
      <c r="O469" s="2" t="s">
        <v>2053</v>
      </c>
      <c r="P469" s="10">
        <v>0.71</v>
      </c>
      <c r="Q469" s="10" t="str">
        <f>_xlfn.IFS(Table1[[#This Row],[Rating]]&gt;=4, "Top Performer", Table1[[#This Row],[Rating]]&gt;=3, "Average", TRUE, "Needs Imporovement")</f>
        <v>Top Performer</v>
      </c>
    </row>
    <row r="470" spans="1:17" x14ac:dyDescent="0.3">
      <c r="A470" s="2" t="s">
        <v>983</v>
      </c>
      <c r="B470" s="2" t="s">
        <v>984</v>
      </c>
      <c r="C470" s="2" t="s">
        <v>68</v>
      </c>
      <c r="D470" s="2">
        <v>59</v>
      </c>
      <c r="E470" s="2" t="str">
        <f>_xlfn.IFS(Table1[[#This Row],[Age]]&lt;30, "18-29", D470&lt;=45,"30-45", D470&lt;=55, "46-55", TRUE, "55+")</f>
        <v>55+</v>
      </c>
      <c r="F470" s="2" t="s">
        <v>96</v>
      </c>
      <c r="G470" s="2" t="s">
        <v>8</v>
      </c>
      <c r="H470" s="2" t="s">
        <v>9</v>
      </c>
      <c r="I470" s="5">
        <v>30</v>
      </c>
      <c r="J470" s="5" t="str">
        <f>_xlfn.IFS(Table1[[#This Row],[Experience(Years)]]&lt;5, "Junior", I470&lt;=12, "Mid-Level", I470&lt;=20, "Senior", I470&lt;=30, "Super Senior", TRUE, "Expert")</f>
        <v>Super Senior</v>
      </c>
      <c r="K470" s="7">
        <v>30</v>
      </c>
      <c r="L470" s="7">
        <f>Table1[[#This Row],[Hourly Rate]]*1000</f>
        <v>30000</v>
      </c>
      <c r="M470" s="7" t="str">
        <f t="shared" si="7"/>
        <v>Budget</v>
      </c>
      <c r="N470" s="2">
        <f>IF(ISNUMBER(#REF!),#REF!, _xlfn.IFS( I470&gt;=30, 5, I470&gt;=25, 4.8, I470&gt;=15, 4, I470&gt;=10, 3.8, I470&gt;=5, 3, I470&gt;=2, 2.5, I470&gt;=0, 1.8, TRUE, 1.3))</f>
        <v>5</v>
      </c>
      <c r="O470" s="2" t="s">
        <v>2053</v>
      </c>
      <c r="P470" s="10">
        <v>0.83</v>
      </c>
      <c r="Q470" s="10" t="str">
        <f>_xlfn.IFS(Table1[[#This Row],[Rating]]&gt;=4, "Top Performer", Table1[[#This Row],[Rating]]&gt;=3, "Average", TRUE, "Needs Imporovement")</f>
        <v>Top Performer</v>
      </c>
    </row>
    <row r="471" spans="1:17" x14ac:dyDescent="0.3">
      <c r="A471" s="2" t="s">
        <v>985</v>
      </c>
      <c r="B471" s="2" t="s">
        <v>986</v>
      </c>
      <c r="C471" s="2" t="s">
        <v>49</v>
      </c>
      <c r="D471" s="2">
        <v>45</v>
      </c>
      <c r="E471" s="2" t="str">
        <f>_xlfn.IFS(Table1[[#This Row],[Age]]&lt;30, "18-29", D471&lt;=45,"30-45", D471&lt;=55, "46-55", TRUE, "55+")</f>
        <v>30-45</v>
      </c>
      <c r="F471" s="2" t="s">
        <v>7</v>
      </c>
      <c r="G471" s="2" t="s">
        <v>8</v>
      </c>
      <c r="H471" s="2" t="s">
        <v>4</v>
      </c>
      <c r="I471" s="5">
        <v>8</v>
      </c>
      <c r="J471" s="5" t="str">
        <f>_xlfn.IFS(Table1[[#This Row],[Experience(Years)]]&lt;5, "Junior", I471&lt;=12, "Mid-Level", I471&lt;=20, "Senior", I471&lt;=30, "Super Senior", TRUE, "Expert")</f>
        <v>Mid-Level</v>
      </c>
      <c r="K471" s="7">
        <v>40</v>
      </c>
      <c r="L471" s="7">
        <f>Table1[[#This Row],[Hourly Rate]]*1000</f>
        <v>40000</v>
      </c>
      <c r="M471" s="7" t="str">
        <f t="shared" si="7"/>
        <v>Standard</v>
      </c>
      <c r="N471" s="2">
        <f>IF(ISNUMBER(#REF!),#REF!, _xlfn.IFS( I471&gt;=30, 5, I471&gt;=25, 4.8, I471&gt;=15, 4, I471&gt;=10, 3.8, I471&gt;=5, 3, I471&gt;=2, 2.5, I471&gt;=0, 1.8, TRUE, 1.3))</f>
        <v>3</v>
      </c>
      <c r="O471" s="2" t="s">
        <v>2052</v>
      </c>
      <c r="P471" s="10">
        <v>0.78</v>
      </c>
      <c r="Q471" s="10" t="str">
        <f>_xlfn.IFS(Table1[[#This Row],[Rating]]&gt;=4, "Top Performer", Table1[[#This Row],[Rating]]&gt;=3, "Average", TRUE, "Needs Imporovement")</f>
        <v>Average</v>
      </c>
    </row>
    <row r="472" spans="1:17" x14ac:dyDescent="0.3">
      <c r="A472" s="2" t="s">
        <v>987</v>
      </c>
      <c r="B472" s="2" t="s">
        <v>988</v>
      </c>
      <c r="C472" s="2" t="s">
        <v>68</v>
      </c>
      <c r="D472" s="2">
        <v>22</v>
      </c>
      <c r="E472" s="2" t="str">
        <f>_xlfn.IFS(Table1[[#This Row],[Age]]&lt;30, "18-29", D472&lt;=45,"30-45", D472&lt;=55, "46-55", TRUE, "55+")</f>
        <v>18-29</v>
      </c>
      <c r="F472" s="2" t="s">
        <v>27</v>
      </c>
      <c r="G472" s="2" t="s">
        <v>28</v>
      </c>
      <c r="H472" s="2" t="s">
        <v>50</v>
      </c>
      <c r="I472" s="5">
        <v>0</v>
      </c>
      <c r="J472" s="5" t="str">
        <f>_xlfn.IFS(Table1[[#This Row],[Experience(Years)]]&lt;5, "Junior", I472&lt;=12, "Mid-Level", I472&lt;=20, "Senior", I472&lt;=30, "Super Senior", TRUE, "Expert")</f>
        <v>Junior</v>
      </c>
      <c r="K472" s="7">
        <v>40</v>
      </c>
      <c r="L472" s="7">
        <f>Table1[[#This Row],[Hourly Rate]]*1000</f>
        <v>40000</v>
      </c>
      <c r="M472" s="7" t="str">
        <f t="shared" si="7"/>
        <v>Standard</v>
      </c>
      <c r="N472" s="2">
        <f>IF(ISNUMBER(#REF!),#REF!, _xlfn.IFS( I472&gt;=30, 5, I472&gt;=25, 4.8, I472&gt;=15, 4, I472&gt;=10, 3.8, I472&gt;=5, 3, I472&gt;=2, 2.5, I472&gt;=0, 1.8, TRUE, 1.3))</f>
        <v>1.8</v>
      </c>
      <c r="O472" s="2" t="s">
        <v>2053</v>
      </c>
      <c r="P472" s="10">
        <v>0.78</v>
      </c>
      <c r="Q472" s="10" t="str">
        <f>_xlfn.IFS(Table1[[#This Row],[Rating]]&gt;=4, "Top Performer", Table1[[#This Row],[Rating]]&gt;=3, "Average", TRUE, "Needs Imporovement")</f>
        <v>Needs Imporovement</v>
      </c>
    </row>
    <row r="473" spans="1:17" x14ac:dyDescent="0.3">
      <c r="A473" s="2" t="s">
        <v>989</v>
      </c>
      <c r="B473" s="2" t="s">
        <v>990</v>
      </c>
      <c r="C473" s="2" t="s">
        <v>49</v>
      </c>
      <c r="D473" s="2">
        <v>48</v>
      </c>
      <c r="E473" s="2" t="str">
        <f>_xlfn.IFS(Table1[[#This Row],[Age]]&lt;30, "18-29", D473&lt;=45,"30-45", D473&lt;=55, "46-55", TRUE, "55+")</f>
        <v>46-55</v>
      </c>
      <c r="F473" s="2" t="s">
        <v>64</v>
      </c>
      <c r="G473" s="2" t="s">
        <v>65</v>
      </c>
      <c r="H473" s="2" t="s">
        <v>9</v>
      </c>
      <c r="I473" s="5">
        <v>7</v>
      </c>
      <c r="J473" s="5" t="str">
        <f>_xlfn.IFS(Table1[[#This Row],[Experience(Years)]]&lt;5, "Junior", I473&lt;=12, "Mid-Level", I473&lt;=20, "Senior", I473&lt;=30, "Super Senior", TRUE, "Expert")</f>
        <v>Mid-Level</v>
      </c>
      <c r="K473" s="7">
        <v>50</v>
      </c>
      <c r="L473" s="7">
        <f>Table1[[#This Row],[Hourly Rate]]*1000</f>
        <v>50000</v>
      </c>
      <c r="M473" s="7" t="str">
        <f t="shared" si="7"/>
        <v>Standard</v>
      </c>
      <c r="N473" s="2">
        <f>IF(ISNUMBER(#REF!),#REF!, _xlfn.IFS( I473&gt;=30, 5, I473&gt;=25, 4.8, I473&gt;=15, 4, I473&gt;=10, 3.8, I473&gt;=5, 3, I473&gt;=2, 2.5, I473&gt;=0, 1.8, TRUE, 1.3))</f>
        <v>3</v>
      </c>
      <c r="O473" s="2" t="s">
        <v>2053</v>
      </c>
      <c r="P473" s="10">
        <v>0.6</v>
      </c>
      <c r="Q473" s="10" t="str">
        <f>_xlfn.IFS(Table1[[#This Row],[Rating]]&gt;=4, "Top Performer", Table1[[#This Row],[Rating]]&gt;=3, "Average", TRUE, "Needs Imporovement")</f>
        <v>Average</v>
      </c>
    </row>
    <row r="474" spans="1:17" x14ac:dyDescent="0.3">
      <c r="A474" s="2" t="s">
        <v>991</v>
      </c>
      <c r="B474" s="2" t="s">
        <v>992</v>
      </c>
      <c r="C474" s="2" t="s">
        <v>68</v>
      </c>
      <c r="D474" s="2">
        <v>36</v>
      </c>
      <c r="E474" s="2" t="str">
        <f>_xlfn.IFS(Table1[[#This Row],[Age]]&lt;30, "18-29", D474&lt;=45,"30-45", D474&lt;=55, "46-55", TRUE, "55+")</f>
        <v>30-45</v>
      </c>
      <c r="F474" s="2" t="s">
        <v>103</v>
      </c>
      <c r="G474" s="2" t="s">
        <v>104</v>
      </c>
      <c r="H474" s="2" t="s">
        <v>4</v>
      </c>
      <c r="I474" s="5">
        <v>11</v>
      </c>
      <c r="J474" s="5" t="str">
        <f>_xlfn.IFS(Table1[[#This Row],[Experience(Years)]]&lt;5, "Junior", I474&lt;=12, "Mid-Level", I474&lt;=20, "Senior", I474&lt;=30, "Super Senior", TRUE, "Expert")</f>
        <v>Mid-Level</v>
      </c>
      <c r="K474" s="7">
        <v>40</v>
      </c>
      <c r="L474" s="7">
        <f>Table1[[#This Row],[Hourly Rate]]*1000</f>
        <v>40000</v>
      </c>
      <c r="M474" s="7" t="str">
        <f t="shared" si="7"/>
        <v>Standard</v>
      </c>
      <c r="N474" s="2">
        <f>IF(ISNUMBER(#REF!),#REF!, _xlfn.IFS( I474&gt;=30, 5, I474&gt;=25, 4.8, I474&gt;=15, 4, I474&gt;=10, 3.8, I474&gt;=5, 3, I474&gt;=2, 2.5, I474&gt;=0, 1.8, TRUE, 1.3))</f>
        <v>3.8</v>
      </c>
      <c r="O474" s="2" t="s">
        <v>2053</v>
      </c>
      <c r="P474" s="10">
        <v>0.75</v>
      </c>
      <c r="Q474" s="10" t="str">
        <f>_xlfn.IFS(Table1[[#This Row],[Rating]]&gt;=4, "Top Performer", Table1[[#This Row],[Rating]]&gt;=3, "Average", TRUE, "Needs Imporovement")</f>
        <v>Average</v>
      </c>
    </row>
    <row r="475" spans="1:17" x14ac:dyDescent="0.3">
      <c r="A475" s="2" t="s">
        <v>993</v>
      </c>
      <c r="B475" s="2" t="s">
        <v>994</v>
      </c>
      <c r="C475" s="2" t="s">
        <v>49</v>
      </c>
      <c r="D475" s="2">
        <v>57</v>
      </c>
      <c r="E475" s="2" t="str">
        <f>_xlfn.IFS(Table1[[#This Row],[Age]]&lt;30, "18-29", D475&lt;=45,"30-45", D475&lt;=55, "46-55", TRUE, "55+")</f>
        <v>55+</v>
      </c>
      <c r="F475" s="2" t="s">
        <v>141</v>
      </c>
      <c r="G475" s="2" t="s">
        <v>142</v>
      </c>
      <c r="H475" s="2" t="s">
        <v>4</v>
      </c>
      <c r="I475" s="5">
        <v>15</v>
      </c>
      <c r="J475" s="5" t="str">
        <f>_xlfn.IFS(Table1[[#This Row],[Experience(Years)]]&lt;5, "Junior", I475&lt;=12, "Mid-Level", I475&lt;=20, "Senior", I475&lt;=30, "Super Senior", TRUE, "Expert")</f>
        <v>Senior</v>
      </c>
      <c r="K475" s="7">
        <v>75</v>
      </c>
      <c r="L475" s="7">
        <f>Table1[[#This Row],[Hourly Rate]]*1000</f>
        <v>75000</v>
      </c>
      <c r="M475" s="7" t="str">
        <f t="shared" si="7"/>
        <v>Standard</v>
      </c>
      <c r="N475" s="2">
        <f>IF(ISNUMBER(#REF!),#REF!, _xlfn.IFS( I475&gt;=30, 5, I475&gt;=25, 4.8, I475&gt;=15, 4, I475&gt;=10, 3.8, I475&gt;=5, 3, I475&gt;=2, 2.5, I475&gt;=0, 1.8, TRUE, 1.3))</f>
        <v>4</v>
      </c>
      <c r="O475" s="2" t="s">
        <v>2053</v>
      </c>
      <c r="P475" s="10">
        <v>0.85</v>
      </c>
      <c r="Q475" s="10" t="str">
        <f>_xlfn.IFS(Table1[[#This Row],[Rating]]&gt;=4, "Top Performer", Table1[[#This Row],[Rating]]&gt;=3, "Average", TRUE, "Needs Imporovement")</f>
        <v>Top Performer</v>
      </c>
    </row>
    <row r="476" spans="1:17" x14ac:dyDescent="0.3">
      <c r="A476" s="2" t="s">
        <v>995</v>
      </c>
      <c r="B476" s="2" t="s">
        <v>996</v>
      </c>
      <c r="C476" s="2" t="s">
        <v>68</v>
      </c>
      <c r="D476" s="2">
        <v>42</v>
      </c>
      <c r="E476" s="2" t="str">
        <f>_xlfn.IFS(Table1[[#This Row],[Age]]&lt;30, "18-29", D476&lt;=45,"30-45", D476&lt;=55, "46-55", TRUE, "55+")</f>
        <v>30-45</v>
      </c>
      <c r="F476" s="2" t="s">
        <v>34</v>
      </c>
      <c r="G476" s="2" t="s">
        <v>8</v>
      </c>
      <c r="H476" s="2" t="s">
        <v>46</v>
      </c>
      <c r="I476" s="5">
        <v>14</v>
      </c>
      <c r="J476" s="5" t="str">
        <f>_xlfn.IFS(Table1[[#This Row],[Experience(Years)]]&lt;5, "Junior", I476&lt;=12, "Mid-Level", I476&lt;=20, "Senior", I476&lt;=30, "Super Senior", TRUE, "Expert")</f>
        <v>Senior</v>
      </c>
      <c r="K476" s="7">
        <v>30</v>
      </c>
      <c r="L476" s="7">
        <f>Table1[[#This Row],[Hourly Rate]]*1000</f>
        <v>30000</v>
      </c>
      <c r="M476" s="7" t="str">
        <f t="shared" si="7"/>
        <v>Budget</v>
      </c>
      <c r="N476" s="2">
        <f>IF(ISNUMBER(#REF!),#REF!, _xlfn.IFS( I476&gt;=30, 5, I476&gt;=25, 4.8, I476&gt;=15, 4, I476&gt;=10, 3.8, I476&gt;=5, 3, I476&gt;=2, 2.5, I476&gt;=0, 1.8, TRUE, 1.3))</f>
        <v>3.8</v>
      </c>
      <c r="O476" s="2" t="s">
        <v>2052</v>
      </c>
      <c r="P476" s="10">
        <v>0.94</v>
      </c>
      <c r="Q476" s="10" t="str">
        <f>_xlfn.IFS(Table1[[#This Row],[Rating]]&gt;=4, "Top Performer", Table1[[#This Row],[Rating]]&gt;=3, "Average", TRUE, "Needs Imporovement")</f>
        <v>Average</v>
      </c>
    </row>
    <row r="477" spans="1:17" x14ac:dyDescent="0.3">
      <c r="A477" s="2" t="s">
        <v>997</v>
      </c>
      <c r="B477" s="2" t="s">
        <v>998</v>
      </c>
      <c r="C477" s="2" t="s">
        <v>68</v>
      </c>
      <c r="D477" s="2">
        <v>31</v>
      </c>
      <c r="E477" s="2" t="str">
        <f>_xlfn.IFS(Table1[[#This Row],[Age]]&lt;30, "18-29", D477&lt;=45,"30-45", D477&lt;=55, "46-55", TRUE, "55+")</f>
        <v>30-45</v>
      </c>
      <c r="F477" s="2" t="s">
        <v>27</v>
      </c>
      <c r="G477" s="2" t="s">
        <v>28</v>
      </c>
      <c r="H477" s="2" t="s">
        <v>50</v>
      </c>
      <c r="I477" s="5">
        <v>11</v>
      </c>
      <c r="J477" s="5" t="str">
        <f>_xlfn.IFS(Table1[[#This Row],[Experience(Years)]]&lt;5, "Junior", I477&lt;=12, "Mid-Level", I477&lt;=20, "Senior", I477&lt;=30, "Super Senior", TRUE, "Expert")</f>
        <v>Mid-Level</v>
      </c>
      <c r="K477" s="7">
        <v>50</v>
      </c>
      <c r="L477" s="7">
        <f>Table1[[#This Row],[Hourly Rate]]*1000</f>
        <v>50000</v>
      </c>
      <c r="M477" s="7" t="str">
        <f t="shared" si="7"/>
        <v>Standard</v>
      </c>
      <c r="N477" s="2">
        <f>IF(ISNUMBER(#REF!),#REF!, _xlfn.IFS( I477&gt;=30, 5, I477&gt;=25, 4.8, I477&gt;=15, 4, I477&gt;=10, 3.8, I477&gt;=5, 3, I477&gt;=2, 2.5, I477&gt;=0, 1.8, TRUE, 1.3))</f>
        <v>3.8</v>
      </c>
      <c r="O477" s="2" t="s">
        <v>2052</v>
      </c>
      <c r="P477" s="10">
        <v>0.62</v>
      </c>
      <c r="Q477" s="10" t="str">
        <f>_xlfn.IFS(Table1[[#This Row],[Rating]]&gt;=4, "Top Performer", Table1[[#This Row],[Rating]]&gt;=3, "Average", TRUE, "Needs Imporovement")</f>
        <v>Average</v>
      </c>
    </row>
    <row r="478" spans="1:17" x14ac:dyDescent="0.3">
      <c r="A478" s="2" t="s">
        <v>999</v>
      </c>
      <c r="B478" s="2" t="s">
        <v>1000</v>
      </c>
      <c r="C478" s="2" t="s">
        <v>68</v>
      </c>
      <c r="D478" s="2">
        <v>52</v>
      </c>
      <c r="E478" s="2" t="str">
        <f>_xlfn.IFS(Table1[[#This Row],[Age]]&lt;30, "18-29", D478&lt;=45,"30-45", D478&lt;=55, "46-55", TRUE, "55+")</f>
        <v>46-55</v>
      </c>
      <c r="F478" s="2" t="s">
        <v>156</v>
      </c>
      <c r="G478" s="2" t="s">
        <v>45</v>
      </c>
      <c r="H478" s="2" t="s">
        <v>50</v>
      </c>
      <c r="I478" s="5">
        <v>31</v>
      </c>
      <c r="J478" s="5" t="str">
        <f>_xlfn.IFS(Table1[[#This Row],[Experience(Years)]]&lt;5, "Junior", I478&lt;=12, "Mid-Level", I478&lt;=20, "Senior", I478&lt;=30, "Super Senior", TRUE, "Expert")</f>
        <v>Expert</v>
      </c>
      <c r="K478" s="7">
        <v>30</v>
      </c>
      <c r="L478" s="7">
        <f>Table1[[#This Row],[Hourly Rate]]*1000</f>
        <v>30000</v>
      </c>
      <c r="M478" s="7" t="str">
        <f t="shared" si="7"/>
        <v>Budget</v>
      </c>
      <c r="N478" s="2">
        <f>IF(ISNUMBER(#REF!),#REF!, _xlfn.IFS( I478&gt;=30, 5, I478&gt;=25, 4.8, I478&gt;=15, 4, I478&gt;=10, 3.8, I478&gt;=5, 3, I478&gt;=2, 2.5, I478&gt;=0, 1.8, TRUE, 1.3))</f>
        <v>5</v>
      </c>
      <c r="O478" s="2" t="s">
        <v>2053</v>
      </c>
      <c r="P478" s="10">
        <v>1</v>
      </c>
      <c r="Q478" s="10" t="str">
        <f>_xlfn.IFS(Table1[[#This Row],[Rating]]&gt;=4, "Top Performer", Table1[[#This Row],[Rating]]&gt;=3, "Average", TRUE, "Needs Imporovement")</f>
        <v>Top Performer</v>
      </c>
    </row>
    <row r="479" spans="1:17" x14ac:dyDescent="0.3">
      <c r="A479" s="2" t="s">
        <v>1001</v>
      </c>
      <c r="B479" s="2" t="s">
        <v>1002</v>
      </c>
      <c r="C479" s="2" t="s">
        <v>68</v>
      </c>
      <c r="D479" s="2">
        <v>56</v>
      </c>
      <c r="E479" s="2" t="str">
        <f>_xlfn.IFS(Table1[[#This Row],[Age]]&lt;30, "18-29", D479&lt;=45,"30-45", D479&lt;=55, "46-55", TRUE, "55+")</f>
        <v>55+</v>
      </c>
      <c r="F479" s="2" t="s">
        <v>22</v>
      </c>
      <c r="G479" s="2" t="s">
        <v>23</v>
      </c>
      <c r="H479" s="2" t="s">
        <v>61</v>
      </c>
      <c r="I479" s="5">
        <v>16</v>
      </c>
      <c r="J479" s="5" t="str">
        <f>_xlfn.IFS(Table1[[#This Row],[Experience(Years)]]&lt;5, "Junior", I479&lt;=12, "Mid-Level", I479&lt;=20, "Senior", I479&lt;=30, "Super Senior", TRUE, "Expert")</f>
        <v>Senior</v>
      </c>
      <c r="K479" s="7">
        <v>30</v>
      </c>
      <c r="L479" s="7">
        <f>Table1[[#This Row],[Hourly Rate]]*1000</f>
        <v>30000</v>
      </c>
      <c r="M479" s="7" t="str">
        <f t="shared" si="7"/>
        <v>Budget</v>
      </c>
      <c r="N479" s="2">
        <f>IF(ISNUMBER(#REF!),#REF!, _xlfn.IFS( I479&gt;=30, 5, I479&gt;=25, 4.8, I479&gt;=15, 4, I479&gt;=10, 3.8, I479&gt;=5, 3, I479&gt;=2, 2.5, I479&gt;=0, 1.8, TRUE, 1.3))</f>
        <v>4</v>
      </c>
      <c r="O479" s="2" t="s">
        <v>2053</v>
      </c>
      <c r="P479" s="10">
        <v>0.85</v>
      </c>
      <c r="Q479" s="10" t="str">
        <f>_xlfn.IFS(Table1[[#This Row],[Rating]]&gt;=4, "Top Performer", Table1[[#This Row],[Rating]]&gt;=3, "Average", TRUE, "Needs Imporovement")</f>
        <v>Top Performer</v>
      </c>
    </row>
    <row r="480" spans="1:17" x14ac:dyDescent="0.3">
      <c r="A480" s="2" t="s">
        <v>1003</v>
      </c>
      <c r="B480" s="2" t="s">
        <v>1004</v>
      </c>
      <c r="C480" s="2" t="s">
        <v>49</v>
      </c>
      <c r="D480" s="2">
        <v>24</v>
      </c>
      <c r="E480" s="2" t="str">
        <f>_xlfn.IFS(Table1[[#This Row],[Age]]&lt;30, "18-29", D480&lt;=45,"30-45", D480&lt;=55, "46-55", TRUE, "55+")</f>
        <v>18-29</v>
      </c>
      <c r="F480" s="2" t="s">
        <v>22</v>
      </c>
      <c r="G480" s="2" t="s">
        <v>23</v>
      </c>
      <c r="H480" s="2" t="s">
        <v>61</v>
      </c>
      <c r="I480" s="5">
        <v>6</v>
      </c>
      <c r="J480" s="5" t="str">
        <f>_xlfn.IFS(Table1[[#This Row],[Experience(Years)]]&lt;5, "Junior", I480&lt;=12, "Mid-Level", I480&lt;=20, "Senior", I480&lt;=30, "Super Senior", TRUE, "Expert")</f>
        <v>Mid-Level</v>
      </c>
      <c r="K480" s="7">
        <v>30</v>
      </c>
      <c r="L480" s="7">
        <f>Table1[[#This Row],[Hourly Rate]]*1000</f>
        <v>30000</v>
      </c>
      <c r="M480" s="7" t="str">
        <f t="shared" si="7"/>
        <v>Budget</v>
      </c>
      <c r="N480" s="2">
        <f>IF(ISNUMBER(#REF!),#REF!, _xlfn.IFS( I480&gt;=30, 5, I480&gt;=25, 4.8, I480&gt;=15, 4, I480&gt;=10, 3.8, I480&gt;=5, 3, I480&gt;=2, 2.5, I480&gt;=0, 1.8, TRUE, 1.3))</f>
        <v>3</v>
      </c>
      <c r="O480" s="2" t="s">
        <v>2053</v>
      </c>
      <c r="P480" s="10">
        <v>0.84</v>
      </c>
      <c r="Q480" s="10" t="str">
        <f>_xlfn.IFS(Table1[[#This Row],[Rating]]&gt;=4, "Top Performer", Table1[[#This Row],[Rating]]&gt;=3, "Average", TRUE, "Needs Imporovement")</f>
        <v>Average</v>
      </c>
    </row>
    <row r="481" spans="1:17" x14ac:dyDescent="0.3">
      <c r="A481" s="2" t="s">
        <v>1005</v>
      </c>
      <c r="B481" s="2" t="s">
        <v>1006</v>
      </c>
      <c r="C481" s="2" t="s">
        <v>68</v>
      </c>
      <c r="D481" s="2">
        <v>48</v>
      </c>
      <c r="E481" s="2" t="str">
        <f>_xlfn.IFS(Table1[[#This Row],[Age]]&lt;30, "18-29", D481&lt;=45,"30-45", D481&lt;=55, "46-55", TRUE, "55+")</f>
        <v>46-55</v>
      </c>
      <c r="F481" s="2" t="s">
        <v>96</v>
      </c>
      <c r="G481" s="2" t="s">
        <v>8</v>
      </c>
      <c r="H481" s="2" t="s">
        <v>61</v>
      </c>
      <c r="I481" s="5">
        <v>21</v>
      </c>
      <c r="J481" s="5" t="str">
        <f>_xlfn.IFS(Table1[[#This Row],[Experience(Years)]]&lt;5, "Junior", I481&lt;=12, "Mid-Level", I481&lt;=20, "Senior", I481&lt;=30, "Super Senior", TRUE, "Expert")</f>
        <v>Super Senior</v>
      </c>
      <c r="K481" s="7">
        <v>75</v>
      </c>
      <c r="L481" s="7">
        <f>Table1[[#This Row],[Hourly Rate]]*1000</f>
        <v>75000</v>
      </c>
      <c r="M481" s="7" t="str">
        <f t="shared" si="7"/>
        <v>Standard</v>
      </c>
      <c r="N481" s="2">
        <f>IF(ISNUMBER(#REF!),#REF!, _xlfn.IFS( I481&gt;=30, 5, I481&gt;=25, 4.8, I481&gt;=15, 4, I481&gt;=10, 3.8, I481&gt;=5, 3, I481&gt;=2, 2.5, I481&gt;=0, 1.8, TRUE, 1.3))</f>
        <v>4</v>
      </c>
      <c r="O481" s="2" t="s">
        <v>2053</v>
      </c>
      <c r="P481" s="10">
        <v>0.85</v>
      </c>
      <c r="Q481" s="10" t="str">
        <f>_xlfn.IFS(Table1[[#This Row],[Rating]]&gt;=4, "Top Performer", Table1[[#This Row],[Rating]]&gt;=3, "Average", TRUE, "Needs Imporovement")</f>
        <v>Top Performer</v>
      </c>
    </row>
    <row r="482" spans="1:17" x14ac:dyDescent="0.3">
      <c r="A482" s="2" t="s">
        <v>1007</v>
      </c>
      <c r="B482" s="2" t="s">
        <v>1008</v>
      </c>
      <c r="C482" s="2" t="s">
        <v>68</v>
      </c>
      <c r="D482" s="2">
        <v>59</v>
      </c>
      <c r="E482" s="2" t="str">
        <f>_xlfn.IFS(Table1[[#This Row],[Age]]&lt;30, "18-29", D482&lt;=45,"30-45", D482&lt;=55, "46-55", TRUE, "55+")</f>
        <v>55+</v>
      </c>
      <c r="F482" s="2" t="s">
        <v>103</v>
      </c>
      <c r="G482" s="2" t="s">
        <v>104</v>
      </c>
      <c r="H482" s="2" t="s">
        <v>50</v>
      </c>
      <c r="I482" s="5">
        <v>13</v>
      </c>
      <c r="J482" s="5" t="str">
        <f>_xlfn.IFS(Table1[[#This Row],[Experience(Years)]]&lt;5, "Junior", I482&lt;=12, "Mid-Level", I482&lt;=20, "Senior", I482&lt;=30, "Super Senior", TRUE, "Expert")</f>
        <v>Senior</v>
      </c>
      <c r="K482" s="7">
        <v>40</v>
      </c>
      <c r="L482" s="7">
        <f>Table1[[#This Row],[Hourly Rate]]*1000</f>
        <v>40000</v>
      </c>
      <c r="M482" s="7" t="str">
        <f t="shared" si="7"/>
        <v>Standard</v>
      </c>
      <c r="N482" s="2">
        <f>IF(ISNUMBER(#REF!),#REF!, _xlfn.IFS( I482&gt;=30, 5, I482&gt;=25, 4.8, I482&gt;=15, 4, I482&gt;=10, 3.8, I482&gt;=5, 3, I482&gt;=2, 2.5, I482&gt;=0, 1.8, TRUE, 1.3))</f>
        <v>3.8</v>
      </c>
      <c r="O482" s="2" t="s">
        <v>2052</v>
      </c>
      <c r="P482" s="10">
        <v>0.65</v>
      </c>
      <c r="Q482" s="10" t="str">
        <f>_xlfn.IFS(Table1[[#This Row],[Rating]]&gt;=4, "Top Performer", Table1[[#This Row],[Rating]]&gt;=3, "Average", TRUE, "Needs Imporovement")</f>
        <v>Average</v>
      </c>
    </row>
    <row r="483" spans="1:17" x14ac:dyDescent="0.3">
      <c r="A483" s="2" t="s">
        <v>1009</v>
      </c>
      <c r="B483" s="2" t="s">
        <v>1010</v>
      </c>
      <c r="C483" s="2" t="s">
        <v>68</v>
      </c>
      <c r="D483" s="2">
        <v>46</v>
      </c>
      <c r="E483" s="2" t="str">
        <f>_xlfn.IFS(Table1[[#This Row],[Age]]&lt;30, "18-29", D483&lt;=45,"30-45", D483&lt;=55, "46-55", TRUE, "55+")</f>
        <v>46-55</v>
      </c>
      <c r="F483" s="2" t="s">
        <v>41</v>
      </c>
      <c r="G483" s="2" t="s">
        <v>8</v>
      </c>
      <c r="H483" s="2" t="s">
        <v>17</v>
      </c>
      <c r="I483" s="5">
        <v>7</v>
      </c>
      <c r="J483" s="5" t="str">
        <f>_xlfn.IFS(Table1[[#This Row],[Experience(Years)]]&lt;5, "Junior", I483&lt;=12, "Mid-Level", I483&lt;=20, "Senior", I483&lt;=30, "Super Senior", TRUE, "Expert")</f>
        <v>Mid-Level</v>
      </c>
      <c r="K483" s="7">
        <v>40</v>
      </c>
      <c r="L483" s="7">
        <f>Table1[[#This Row],[Hourly Rate]]*1000</f>
        <v>40000</v>
      </c>
      <c r="M483" s="7" t="str">
        <f t="shared" si="7"/>
        <v>Standard</v>
      </c>
      <c r="N483" s="2">
        <f>IF(ISNUMBER(#REF!),#REF!, _xlfn.IFS( I483&gt;=30, 5, I483&gt;=25, 4.8, I483&gt;=15, 4, I483&gt;=10, 3.8, I483&gt;=5, 3, I483&gt;=2, 2.5, I483&gt;=0, 1.8, TRUE, 1.3))</f>
        <v>3</v>
      </c>
      <c r="O483" s="2" t="s">
        <v>2053</v>
      </c>
      <c r="P483" s="10">
        <v>0.94</v>
      </c>
      <c r="Q483" s="10" t="str">
        <f>_xlfn.IFS(Table1[[#This Row],[Rating]]&gt;=4, "Top Performer", Table1[[#This Row],[Rating]]&gt;=3, "Average", TRUE, "Needs Imporovement")</f>
        <v>Average</v>
      </c>
    </row>
    <row r="484" spans="1:17" x14ac:dyDescent="0.3">
      <c r="A484" s="2" t="s">
        <v>1011</v>
      </c>
      <c r="B484" s="2" t="s">
        <v>1012</v>
      </c>
      <c r="C484" s="2" t="s">
        <v>49</v>
      </c>
      <c r="D484" s="2">
        <v>38</v>
      </c>
      <c r="E484" s="2" t="str">
        <f>_xlfn.IFS(Table1[[#This Row],[Age]]&lt;30, "18-29", D484&lt;=45,"30-45", D484&lt;=55, "46-55", TRUE, "55+")</f>
        <v>30-45</v>
      </c>
      <c r="F484" s="2" t="s">
        <v>22</v>
      </c>
      <c r="G484" s="2" t="s">
        <v>23</v>
      </c>
      <c r="H484" s="2" t="s">
        <v>9</v>
      </c>
      <c r="I484" s="5">
        <v>11</v>
      </c>
      <c r="J484" s="5" t="str">
        <f>_xlfn.IFS(Table1[[#This Row],[Experience(Years)]]&lt;5, "Junior", I484&lt;=12, "Mid-Level", I484&lt;=20, "Senior", I484&lt;=30, "Super Senior", TRUE, "Expert")</f>
        <v>Mid-Level</v>
      </c>
      <c r="K484" s="7">
        <v>20</v>
      </c>
      <c r="L484" s="7">
        <f>Table1[[#This Row],[Hourly Rate]]*1000</f>
        <v>20000</v>
      </c>
      <c r="M484" s="7" t="str">
        <f t="shared" si="7"/>
        <v>Budget</v>
      </c>
      <c r="N484" s="2">
        <f>IF(ISNUMBER(#REF!),#REF!, _xlfn.IFS( I484&gt;=30, 5, I484&gt;=25, 4.8, I484&gt;=15, 4, I484&gt;=10, 3.8, I484&gt;=5, 3, I484&gt;=2, 2.5, I484&gt;=0, 1.8, TRUE, 1.3))</f>
        <v>3.8</v>
      </c>
      <c r="O484" s="2" t="s">
        <v>2052</v>
      </c>
      <c r="P484" s="10">
        <v>0.69</v>
      </c>
      <c r="Q484" s="10" t="str">
        <f>_xlfn.IFS(Table1[[#This Row],[Rating]]&gt;=4, "Top Performer", Table1[[#This Row],[Rating]]&gt;=3, "Average", TRUE, "Needs Imporovement")</f>
        <v>Average</v>
      </c>
    </row>
    <row r="485" spans="1:17" x14ac:dyDescent="0.3">
      <c r="A485" s="2" t="s">
        <v>1013</v>
      </c>
      <c r="B485" s="2" t="s">
        <v>1014</v>
      </c>
      <c r="C485" s="2" t="s">
        <v>68</v>
      </c>
      <c r="D485" s="2">
        <v>25</v>
      </c>
      <c r="E485" s="2" t="str">
        <f>_xlfn.IFS(Table1[[#This Row],[Age]]&lt;30, "18-29", D485&lt;=45,"30-45", D485&lt;=55, "46-55", TRUE, "55+")</f>
        <v>18-29</v>
      </c>
      <c r="F485" s="2" t="s">
        <v>22</v>
      </c>
      <c r="G485" s="2" t="s">
        <v>23</v>
      </c>
      <c r="H485" s="2" t="s">
        <v>9</v>
      </c>
      <c r="I485" s="5">
        <v>0</v>
      </c>
      <c r="J485" s="5" t="str">
        <f>_xlfn.IFS(Table1[[#This Row],[Experience(Years)]]&lt;5, "Junior", I485&lt;=12, "Mid-Level", I485&lt;=20, "Senior", I485&lt;=30, "Super Senior", TRUE, "Expert")</f>
        <v>Junior</v>
      </c>
      <c r="K485" s="7">
        <v>50</v>
      </c>
      <c r="L485" s="7">
        <f>Table1[[#This Row],[Hourly Rate]]*1000</f>
        <v>50000</v>
      </c>
      <c r="M485" s="7" t="str">
        <f t="shared" si="7"/>
        <v>Standard</v>
      </c>
      <c r="N485" s="2">
        <f>IF(ISNUMBER(#REF!),#REF!, _xlfn.IFS( I485&gt;=30, 5, I485&gt;=25, 4.8, I485&gt;=15, 4, I485&gt;=10, 3.8, I485&gt;=5, 3, I485&gt;=2, 2.5, I485&gt;=0, 1.8, TRUE, 1.3))</f>
        <v>1.8</v>
      </c>
      <c r="O485" s="2" t="s">
        <v>2053</v>
      </c>
      <c r="P485" s="10">
        <v>0.65</v>
      </c>
      <c r="Q485" s="10" t="str">
        <f>_xlfn.IFS(Table1[[#This Row],[Rating]]&gt;=4, "Top Performer", Table1[[#This Row],[Rating]]&gt;=3, "Average", TRUE, "Needs Imporovement")</f>
        <v>Needs Imporovement</v>
      </c>
    </row>
    <row r="486" spans="1:17" x14ac:dyDescent="0.3">
      <c r="A486" s="2" t="s">
        <v>1015</v>
      </c>
      <c r="B486" s="2" t="s">
        <v>1016</v>
      </c>
      <c r="C486" s="2" t="s">
        <v>68</v>
      </c>
      <c r="D486" s="2">
        <v>31</v>
      </c>
      <c r="E486" s="2" t="str">
        <f>_xlfn.IFS(Table1[[#This Row],[Age]]&lt;30, "18-29", D486&lt;=45,"30-45", D486&lt;=55, "46-55", TRUE, "55+")</f>
        <v>30-45</v>
      </c>
      <c r="F486" s="2" t="s">
        <v>107</v>
      </c>
      <c r="G486" s="2" t="s">
        <v>108</v>
      </c>
      <c r="H486" s="2" t="s">
        <v>9</v>
      </c>
      <c r="I486" s="5">
        <v>2</v>
      </c>
      <c r="J486" s="5" t="str">
        <f>_xlfn.IFS(Table1[[#This Row],[Experience(Years)]]&lt;5, "Junior", I486&lt;=12, "Mid-Level", I486&lt;=20, "Senior", I486&lt;=30, "Super Senior", TRUE, "Expert")</f>
        <v>Junior</v>
      </c>
      <c r="K486" s="7">
        <v>75</v>
      </c>
      <c r="L486" s="7">
        <f>Table1[[#This Row],[Hourly Rate]]*1000</f>
        <v>75000</v>
      </c>
      <c r="M486" s="7" t="str">
        <f t="shared" si="7"/>
        <v>Standard</v>
      </c>
      <c r="N486" s="2">
        <f>IF(ISNUMBER(#REF!),#REF!, _xlfn.IFS( I486&gt;=30, 5, I486&gt;=25, 4.8, I486&gt;=15, 4, I486&gt;=10, 3.8, I486&gt;=5, 3, I486&gt;=2, 2.5, I486&gt;=0, 1.8, TRUE, 1.3))</f>
        <v>2.5</v>
      </c>
      <c r="O486" s="2" t="s">
        <v>2052</v>
      </c>
      <c r="P486" s="10">
        <v>0.6</v>
      </c>
      <c r="Q486" s="10" t="str">
        <f>_xlfn.IFS(Table1[[#This Row],[Rating]]&gt;=4, "Top Performer", Table1[[#This Row],[Rating]]&gt;=3, "Average", TRUE, "Needs Imporovement")</f>
        <v>Needs Imporovement</v>
      </c>
    </row>
    <row r="487" spans="1:17" x14ac:dyDescent="0.3">
      <c r="A487" s="2" t="s">
        <v>1017</v>
      </c>
      <c r="B487" s="2" t="s">
        <v>1018</v>
      </c>
      <c r="C487" s="2" t="s">
        <v>68</v>
      </c>
      <c r="D487" s="2">
        <v>40</v>
      </c>
      <c r="E487" s="2" t="str">
        <f>_xlfn.IFS(Table1[[#This Row],[Age]]&lt;30, "18-29", D487&lt;=45,"30-45", D487&lt;=55, "46-55", TRUE, "55+")</f>
        <v>30-45</v>
      </c>
      <c r="F487" s="2" t="s">
        <v>37</v>
      </c>
      <c r="G487" s="2" t="s">
        <v>38</v>
      </c>
      <c r="H487" s="2" t="s">
        <v>61</v>
      </c>
      <c r="I487" s="5">
        <v>12</v>
      </c>
      <c r="J487" s="5" t="str">
        <f>_xlfn.IFS(Table1[[#This Row],[Experience(Years)]]&lt;5, "Junior", I487&lt;=12, "Mid-Level", I487&lt;=20, "Senior", I487&lt;=30, "Super Senior", TRUE, "Expert")</f>
        <v>Mid-Level</v>
      </c>
      <c r="K487" s="7">
        <v>75</v>
      </c>
      <c r="L487" s="7">
        <f>Table1[[#This Row],[Hourly Rate]]*1000</f>
        <v>75000</v>
      </c>
      <c r="M487" s="7" t="str">
        <f t="shared" si="7"/>
        <v>Standard</v>
      </c>
      <c r="N487" s="2">
        <f>IF(ISNUMBER(#REF!),#REF!, _xlfn.IFS( I487&gt;=30, 5, I487&gt;=25, 4.8, I487&gt;=15, 4, I487&gt;=10, 3.8, I487&gt;=5, 3, I487&gt;=2, 2.5, I487&gt;=0, 1.8, TRUE, 1.3))</f>
        <v>3.8</v>
      </c>
      <c r="O487" s="2" t="s">
        <v>2052</v>
      </c>
      <c r="P487" s="10">
        <v>0.75</v>
      </c>
      <c r="Q487" s="10" t="str">
        <f>_xlfn.IFS(Table1[[#This Row],[Rating]]&gt;=4, "Top Performer", Table1[[#This Row],[Rating]]&gt;=3, "Average", TRUE, "Needs Imporovement")</f>
        <v>Average</v>
      </c>
    </row>
    <row r="488" spans="1:17" x14ac:dyDescent="0.3">
      <c r="A488" s="2" t="s">
        <v>1019</v>
      </c>
      <c r="B488" s="2" t="s">
        <v>639</v>
      </c>
      <c r="C488" s="2" t="s">
        <v>49</v>
      </c>
      <c r="D488" s="2">
        <v>48</v>
      </c>
      <c r="E488" s="2" t="str">
        <f>_xlfn.IFS(Table1[[#This Row],[Age]]&lt;30, "18-29", D488&lt;=45,"30-45", D488&lt;=55, "46-55", TRUE, "55+")</f>
        <v>46-55</v>
      </c>
      <c r="F488" s="2" t="s">
        <v>92</v>
      </c>
      <c r="G488" s="2" t="s">
        <v>93</v>
      </c>
      <c r="H488" s="2" t="s">
        <v>4</v>
      </c>
      <c r="I488" s="5">
        <v>13</v>
      </c>
      <c r="J488" s="5" t="str">
        <f>_xlfn.IFS(Table1[[#This Row],[Experience(Years)]]&lt;5, "Junior", I488&lt;=12, "Mid-Level", I488&lt;=20, "Senior", I488&lt;=30, "Super Senior", TRUE, "Expert")</f>
        <v>Senior</v>
      </c>
      <c r="K488" s="7">
        <v>100</v>
      </c>
      <c r="L488" s="7">
        <f>Table1[[#This Row],[Hourly Rate]]*1000</f>
        <v>100000</v>
      </c>
      <c r="M488" s="7" t="str">
        <f t="shared" si="7"/>
        <v>Premium</v>
      </c>
      <c r="N488" s="2">
        <f>IF(ISNUMBER(#REF!),#REF!, _xlfn.IFS( I488&gt;=30, 5, I488&gt;=25, 4.8, I488&gt;=15, 4, I488&gt;=10, 3.8, I488&gt;=5, 3, I488&gt;=2, 2.5, I488&gt;=0, 1.8, TRUE, 1.3))</f>
        <v>3.8</v>
      </c>
      <c r="O488" s="2" t="str">
        <f>IF(AND( Table1[[#This Row],[Rating]]&gt;=3.5, Table1[[#This Row],[Experience(Years)]]&gt;=15), "Active", "Inactive")</f>
        <v>Inactive</v>
      </c>
      <c r="P488" s="10">
        <v>0.62</v>
      </c>
      <c r="Q488" s="10" t="str">
        <f>_xlfn.IFS(Table1[[#This Row],[Rating]]&gt;=4, "Top Performer", Table1[[#This Row],[Rating]]&gt;=3, "Average", TRUE, "Needs Imporovement")</f>
        <v>Average</v>
      </c>
    </row>
    <row r="489" spans="1:17" x14ac:dyDescent="0.3">
      <c r="A489" s="2" t="s">
        <v>1020</v>
      </c>
      <c r="B489" s="2" t="s">
        <v>1021</v>
      </c>
      <c r="C489" s="2" t="s">
        <v>49</v>
      </c>
      <c r="D489" s="2">
        <v>24</v>
      </c>
      <c r="E489" s="2" t="str">
        <f>_xlfn.IFS(Table1[[#This Row],[Age]]&lt;30, "18-29", D489&lt;=45,"30-45", D489&lt;=55, "46-55", TRUE, "55+")</f>
        <v>18-29</v>
      </c>
      <c r="F489" s="2" t="s">
        <v>121</v>
      </c>
      <c r="G489" s="2" t="s">
        <v>122</v>
      </c>
      <c r="H489" s="2" t="s">
        <v>9</v>
      </c>
      <c r="I489" s="5">
        <v>6</v>
      </c>
      <c r="J489" s="5" t="str">
        <f>_xlfn.IFS(Table1[[#This Row],[Experience(Years)]]&lt;5, "Junior", I489&lt;=12, "Mid-Level", I489&lt;=20, "Senior", I489&lt;=30, "Super Senior", TRUE, "Expert")</f>
        <v>Mid-Level</v>
      </c>
      <c r="K489" s="7">
        <v>30</v>
      </c>
      <c r="L489" s="7">
        <f>Table1[[#This Row],[Hourly Rate]]*1000</f>
        <v>30000</v>
      </c>
      <c r="M489" s="7" t="str">
        <f t="shared" si="7"/>
        <v>Budget</v>
      </c>
      <c r="N489" s="2">
        <f>IF(ISNUMBER(#REF!),#REF!, _xlfn.IFS( I489&gt;=30, 5, I489&gt;=25, 4.8, I489&gt;=15, 4, I489&gt;=10, 3.8, I489&gt;=5, 3, I489&gt;=2, 2.5, I489&gt;=0, 1.8, TRUE, 1.3))</f>
        <v>3</v>
      </c>
      <c r="O489" s="2" t="s">
        <v>2053</v>
      </c>
      <c r="P489" s="10">
        <v>0.6</v>
      </c>
      <c r="Q489" s="10" t="str">
        <f>_xlfn.IFS(Table1[[#This Row],[Rating]]&gt;=4, "Top Performer", Table1[[#This Row],[Rating]]&gt;=3, "Average", TRUE, "Needs Imporovement")</f>
        <v>Average</v>
      </c>
    </row>
    <row r="490" spans="1:17" x14ac:dyDescent="0.3">
      <c r="A490" s="2" t="s">
        <v>1022</v>
      </c>
      <c r="B490" s="2" t="s">
        <v>1023</v>
      </c>
      <c r="C490" s="2" t="s">
        <v>68</v>
      </c>
      <c r="D490" s="2">
        <v>33</v>
      </c>
      <c r="E490" s="2" t="str">
        <f>_xlfn.IFS(Table1[[#This Row],[Age]]&lt;30, "18-29", D490&lt;=45,"30-45", D490&lt;=55, "46-55", TRUE, "55+")</f>
        <v>30-45</v>
      </c>
      <c r="F490" s="2" t="s">
        <v>27</v>
      </c>
      <c r="G490" s="2" t="s">
        <v>28</v>
      </c>
      <c r="H490" s="2" t="s">
        <v>17</v>
      </c>
      <c r="I490" s="5">
        <v>10</v>
      </c>
      <c r="J490" s="5" t="str">
        <f>_xlfn.IFS(Table1[[#This Row],[Experience(Years)]]&lt;5, "Junior", I490&lt;=12, "Mid-Level", I490&lt;=20, "Senior", I490&lt;=30, "Super Senior", TRUE, "Expert")</f>
        <v>Mid-Level</v>
      </c>
      <c r="K490" s="7">
        <v>30</v>
      </c>
      <c r="L490" s="7">
        <f>Table1[[#This Row],[Hourly Rate]]*1000</f>
        <v>30000</v>
      </c>
      <c r="M490" s="7" t="str">
        <f t="shared" si="7"/>
        <v>Budget</v>
      </c>
      <c r="N490" s="2">
        <f>IF(ISNUMBER(#REF!),#REF!, _xlfn.IFS( I490&gt;=30, 5, I490&gt;=25, 4.8, I490&gt;=15, 4, I490&gt;=10, 3.8, I490&gt;=5, 3, I490&gt;=2, 2.5, I490&gt;=0, 1.8, TRUE, 1.3))</f>
        <v>3.8</v>
      </c>
      <c r="O490" s="2" t="s">
        <v>2053</v>
      </c>
      <c r="P490" s="10">
        <v>0.89</v>
      </c>
      <c r="Q490" s="10" t="str">
        <f>_xlfn.IFS(Table1[[#This Row],[Rating]]&gt;=4, "Top Performer", Table1[[#This Row],[Rating]]&gt;=3, "Average", TRUE, "Needs Imporovement")</f>
        <v>Average</v>
      </c>
    </row>
    <row r="491" spans="1:17" x14ac:dyDescent="0.3">
      <c r="A491" s="2" t="s">
        <v>1024</v>
      </c>
      <c r="B491" s="2" t="s">
        <v>1025</v>
      </c>
      <c r="C491" s="2" t="s">
        <v>49</v>
      </c>
      <c r="D491" s="2">
        <v>43</v>
      </c>
      <c r="E491" s="2" t="str">
        <f>_xlfn.IFS(Table1[[#This Row],[Age]]&lt;30, "18-29", D491&lt;=45,"30-45", D491&lt;=55, "46-55", TRUE, "55+")</f>
        <v>30-45</v>
      </c>
      <c r="F491" s="2" t="s">
        <v>77</v>
      </c>
      <c r="G491" s="2" t="s">
        <v>78</v>
      </c>
      <c r="H491" s="2" t="s">
        <v>46</v>
      </c>
      <c r="I491" s="5">
        <v>2</v>
      </c>
      <c r="J491" s="5" t="str">
        <f>_xlfn.IFS(Table1[[#This Row],[Experience(Years)]]&lt;5, "Junior", I491&lt;=12, "Mid-Level", I491&lt;=20, "Senior", I491&lt;=30, "Super Senior", TRUE, "Expert")</f>
        <v>Junior</v>
      </c>
      <c r="K491" s="7">
        <v>40</v>
      </c>
      <c r="L491" s="7">
        <f>Table1[[#This Row],[Hourly Rate]]*1000</f>
        <v>40000</v>
      </c>
      <c r="M491" s="7" t="str">
        <f t="shared" si="7"/>
        <v>Standard</v>
      </c>
      <c r="N491" s="2">
        <f>IF(ISNUMBER(#REF!),#REF!, _xlfn.IFS( I491&gt;=30, 5, I491&gt;=25, 4.8, I491&gt;=15, 4, I491&gt;=10, 3.8, I491&gt;=5, 3, I491&gt;=2, 2.5, I491&gt;=0, 1.8, TRUE, 1.3))</f>
        <v>2.5</v>
      </c>
      <c r="O491" s="2" t="s">
        <v>2053</v>
      </c>
      <c r="P491" s="10">
        <v>0.89</v>
      </c>
      <c r="Q491" s="10" t="str">
        <f>_xlfn.IFS(Table1[[#This Row],[Rating]]&gt;=4, "Top Performer", Table1[[#This Row],[Rating]]&gt;=3, "Average", TRUE, "Needs Imporovement")</f>
        <v>Needs Imporovement</v>
      </c>
    </row>
    <row r="492" spans="1:17" x14ac:dyDescent="0.3">
      <c r="A492" s="2" t="s">
        <v>1026</v>
      </c>
      <c r="B492" s="2" t="s">
        <v>1027</v>
      </c>
      <c r="C492" s="2" t="s">
        <v>68</v>
      </c>
      <c r="D492" s="2">
        <v>43</v>
      </c>
      <c r="E492" s="2" t="str">
        <f>_xlfn.IFS(Table1[[#This Row],[Age]]&lt;30, "18-29", D492&lt;=45,"30-45", D492&lt;=55, "46-55", TRUE, "55+")</f>
        <v>30-45</v>
      </c>
      <c r="F492" s="2" t="s">
        <v>156</v>
      </c>
      <c r="G492" s="2" t="s">
        <v>45</v>
      </c>
      <c r="H492" s="2" t="s">
        <v>4</v>
      </c>
      <c r="I492" s="5">
        <v>4</v>
      </c>
      <c r="J492" s="5" t="str">
        <f>_xlfn.IFS(Table1[[#This Row],[Experience(Years)]]&lt;5, "Junior", I492&lt;=12, "Mid-Level", I492&lt;=20, "Senior", I492&lt;=30, "Super Senior", TRUE, "Expert")</f>
        <v>Junior</v>
      </c>
      <c r="K492" s="7">
        <v>50</v>
      </c>
      <c r="L492" s="7">
        <f>Table1[[#This Row],[Hourly Rate]]*1000</f>
        <v>50000</v>
      </c>
      <c r="M492" s="7" t="str">
        <f t="shared" si="7"/>
        <v>Standard</v>
      </c>
      <c r="N492" s="2">
        <f>IF(ISNUMBER(#REF!),#REF!, _xlfn.IFS( I492&gt;=30, 5, I492&gt;=25, 4.8, I492&gt;=15, 4, I492&gt;=10, 3.8, I492&gt;=5, 3, I492&gt;=2, 2.5, I492&gt;=0, 1.8, TRUE, 1.3))</f>
        <v>2.5</v>
      </c>
      <c r="O492" s="2" t="s">
        <v>2053</v>
      </c>
      <c r="P492" s="10">
        <v>1</v>
      </c>
      <c r="Q492" s="10" t="str">
        <f>_xlfn.IFS(Table1[[#This Row],[Rating]]&gt;=4, "Top Performer", Table1[[#This Row],[Rating]]&gt;=3, "Average", TRUE, "Needs Imporovement")</f>
        <v>Needs Imporovement</v>
      </c>
    </row>
    <row r="493" spans="1:17" x14ac:dyDescent="0.3">
      <c r="A493" s="2" t="s">
        <v>1028</v>
      </c>
      <c r="B493" s="2" t="s">
        <v>1029</v>
      </c>
      <c r="C493" s="2" t="s">
        <v>49</v>
      </c>
      <c r="D493" s="2">
        <v>33</v>
      </c>
      <c r="E493" s="2" t="str">
        <f>_xlfn.IFS(Table1[[#This Row],[Age]]&lt;30, "18-29", D493&lt;=45,"30-45", D493&lt;=55, "46-55", TRUE, "55+")</f>
        <v>30-45</v>
      </c>
      <c r="F493" s="2" t="s">
        <v>7</v>
      </c>
      <c r="G493" s="2" t="s">
        <v>8</v>
      </c>
      <c r="H493" s="2" t="s">
        <v>17</v>
      </c>
      <c r="I493" s="5">
        <v>11</v>
      </c>
      <c r="J493" s="5" t="str">
        <f>_xlfn.IFS(Table1[[#This Row],[Experience(Years)]]&lt;5, "Junior", I493&lt;=12, "Mid-Level", I493&lt;=20, "Senior", I493&lt;=30, "Super Senior", TRUE, "Expert")</f>
        <v>Mid-Level</v>
      </c>
      <c r="K493" s="7">
        <v>60</v>
      </c>
      <c r="L493" s="7">
        <f>Table1[[#This Row],[Hourly Rate]]*1000</f>
        <v>60000</v>
      </c>
      <c r="M493" s="7" t="str">
        <f t="shared" si="7"/>
        <v>Standard</v>
      </c>
      <c r="N493" s="2">
        <f>IF(ISNUMBER(#REF!),#REF!, _xlfn.IFS( I493&gt;=30, 5, I493&gt;=25, 4.8, I493&gt;=15, 4, I493&gt;=10, 3.8, I493&gt;=5, 3, I493&gt;=2, 2.5, I493&gt;=0, 1.8, TRUE, 1.3))</f>
        <v>3.8</v>
      </c>
      <c r="O493" s="2" t="s">
        <v>2053</v>
      </c>
      <c r="P493" s="10">
        <v>0.75</v>
      </c>
      <c r="Q493" s="10" t="str">
        <f>_xlfn.IFS(Table1[[#This Row],[Rating]]&gt;=4, "Top Performer", Table1[[#This Row],[Rating]]&gt;=3, "Average", TRUE, "Needs Imporovement")</f>
        <v>Average</v>
      </c>
    </row>
    <row r="494" spans="1:17" x14ac:dyDescent="0.3">
      <c r="A494" s="2" t="s">
        <v>1030</v>
      </c>
      <c r="B494" s="2" t="s">
        <v>1031</v>
      </c>
      <c r="C494" s="2" t="s">
        <v>49</v>
      </c>
      <c r="D494" s="2">
        <v>49</v>
      </c>
      <c r="E494" s="2" t="str">
        <f>_xlfn.IFS(Table1[[#This Row],[Age]]&lt;30, "18-29", D494&lt;=45,"30-45", D494&lt;=55, "46-55", TRUE, "55+")</f>
        <v>46-55</v>
      </c>
      <c r="F494" s="2" t="s">
        <v>92</v>
      </c>
      <c r="G494" s="2" t="s">
        <v>93</v>
      </c>
      <c r="H494" s="2" t="s">
        <v>46</v>
      </c>
      <c r="I494" s="5">
        <v>14</v>
      </c>
      <c r="J494" s="5" t="str">
        <f>_xlfn.IFS(Table1[[#This Row],[Experience(Years)]]&lt;5, "Junior", I494&lt;=12, "Mid-Level", I494&lt;=20, "Senior", I494&lt;=30, "Super Senior", TRUE, "Expert")</f>
        <v>Senior</v>
      </c>
      <c r="K494" s="7">
        <v>40</v>
      </c>
      <c r="L494" s="7">
        <f>Table1[[#This Row],[Hourly Rate]]*1000</f>
        <v>40000</v>
      </c>
      <c r="M494" s="7" t="str">
        <f t="shared" si="7"/>
        <v>Standard</v>
      </c>
      <c r="N494" s="2">
        <f>IF(ISNUMBER(#REF!),#REF!, _xlfn.IFS( I494&gt;=30, 5, I494&gt;=25, 4.8, I494&gt;=15, 4, I494&gt;=10, 3.8, I494&gt;=5, 3, I494&gt;=2, 2.5, I494&gt;=0, 1.8, TRUE, 1.3))</f>
        <v>3.8</v>
      </c>
      <c r="O494" s="2" t="str">
        <f>IF(AND( Table1[[#This Row],[Rating]]&gt;=3.5, Table1[[#This Row],[Experience(Years)]]&gt;=15), "Active", "Inactive")</f>
        <v>Inactive</v>
      </c>
      <c r="P494" s="10">
        <v>0.6</v>
      </c>
      <c r="Q494" s="10" t="str">
        <f>_xlfn.IFS(Table1[[#This Row],[Rating]]&gt;=4, "Top Performer", Table1[[#This Row],[Rating]]&gt;=3, "Average", TRUE, "Needs Imporovement")</f>
        <v>Average</v>
      </c>
    </row>
    <row r="495" spans="1:17" x14ac:dyDescent="0.3">
      <c r="A495" s="2" t="s">
        <v>1032</v>
      </c>
      <c r="B495" s="2" t="s">
        <v>1033</v>
      </c>
      <c r="C495" s="2" t="s">
        <v>68</v>
      </c>
      <c r="D495" s="2">
        <v>55</v>
      </c>
      <c r="E495" s="2" t="str">
        <f>_xlfn.IFS(Table1[[#This Row],[Age]]&lt;30, "18-29", D495&lt;=45,"30-45", D495&lt;=55, "46-55", TRUE, "55+")</f>
        <v>46-55</v>
      </c>
      <c r="F495" s="2" t="s">
        <v>96</v>
      </c>
      <c r="G495" s="2" t="s">
        <v>8</v>
      </c>
      <c r="H495" s="2" t="s">
        <v>46</v>
      </c>
      <c r="I495" s="5">
        <v>10</v>
      </c>
      <c r="J495" s="5" t="str">
        <f>_xlfn.IFS(Table1[[#This Row],[Experience(Years)]]&lt;5, "Junior", I495&lt;=12, "Mid-Level", I495&lt;=20, "Senior", I495&lt;=30, "Super Senior", TRUE, "Expert")</f>
        <v>Mid-Level</v>
      </c>
      <c r="K495" s="7">
        <v>40</v>
      </c>
      <c r="L495" s="7">
        <f>Table1[[#This Row],[Hourly Rate]]*1000</f>
        <v>40000</v>
      </c>
      <c r="M495" s="7" t="str">
        <f t="shared" si="7"/>
        <v>Standard</v>
      </c>
      <c r="N495" s="2">
        <f>IF(ISNUMBER(#REF!),#REF!, _xlfn.IFS( I495&gt;=30, 5, I495&gt;=25, 4.8, I495&gt;=15, 4, I495&gt;=10, 3.8, I495&gt;=5, 3, I495&gt;=2, 2.5, I495&gt;=0, 1.8, TRUE, 1.3))</f>
        <v>3.8</v>
      </c>
      <c r="O495" s="2" t="s">
        <v>2052</v>
      </c>
      <c r="P495" s="10">
        <v>0.85</v>
      </c>
      <c r="Q495" s="10" t="str">
        <f>_xlfn.IFS(Table1[[#This Row],[Rating]]&gt;=4, "Top Performer", Table1[[#This Row],[Rating]]&gt;=3, "Average", TRUE, "Needs Imporovement")</f>
        <v>Average</v>
      </c>
    </row>
    <row r="496" spans="1:17" x14ac:dyDescent="0.3">
      <c r="A496" s="2" t="s">
        <v>1034</v>
      </c>
      <c r="B496" s="2" t="s">
        <v>1035</v>
      </c>
      <c r="C496" s="2" t="s">
        <v>49</v>
      </c>
      <c r="D496" s="2">
        <v>33</v>
      </c>
      <c r="E496" s="2" t="str">
        <f>_xlfn.IFS(Table1[[#This Row],[Age]]&lt;30, "18-29", D496&lt;=45,"30-45", D496&lt;=55, "46-55", TRUE, "55+")</f>
        <v>30-45</v>
      </c>
      <c r="F496" s="2" t="s">
        <v>81</v>
      </c>
      <c r="G496" s="2" t="s">
        <v>82</v>
      </c>
      <c r="H496" s="2" t="s">
        <v>14</v>
      </c>
      <c r="I496" s="5">
        <v>3</v>
      </c>
      <c r="J496" s="5" t="str">
        <f>_xlfn.IFS(Table1[[#This Row],[Experience(Years)]]&lt;5, "Junior", I496&lt;=12, "Mid-Level", I496&lt;=20, "Senior", I496&lt;=30, "Super Senior", TRUE, "Expert")</f>
        <v>Junior</v>
      </c>
      <c r="K496" s="7">
        <v>40</v>
      </c>
      <c r="L496" s="7">
        <f>Table1[[#This Row],[Hourly Rate]]*1000</f>
        <v>40000</v>
      </c>
      <c r="M496" s="7" t="str">
        <f t="shared" si="7"/>
        <v>Standard</v>
      </c>
      <c r="N496" s="2">
        <f>IF(ISNUMBER(#REF!),#REF!, _xlfn.IFS( I496&gt;=30, 5, I496&gt;=25, 4.8, I496&gt;=15, 4, I496&gt;=10, 3.8, I496&gt;=5, 3, I496&gt;=2, 2.5, I496&gt;=0, 1.8, TRUE, 1.3))</f>
        <v>2.5</v>
      </c>
      <c r="O496" s="2" t="str">
        <f>IF(AND( Table1[[#This Row],[Rating]]&gt;=3.5, Table1[[#This Row],[Experience(Years)]]&gt;=15), "Active", "Inactive")</f>
        <v>Inactive</v>
      </c>
      <c r="P496" s="10">
        <v>0.83</v>
      </c>
      <c r="Q496" s="10" t="str">
        <f>_xlfn.IFS(Table1[[#This Row],[Rating]]&gt;=4, "Top Performer", Table1[[#This Row],[Rating]]&gt;=3, "Average", TRUE, "Needs Imporovement")</f>
        <v>Needs Imporovement</v>
      </c>
    </row>
    <row r="497" spans="1:17" x14ac:dyDescent="0.3">
      <c r="A497" s="2" t="s">
        <v>1036</v>
      </c>
      <c r="B497" s="2" t="s">
        <v>1037</v>
      </c>
      <c r="C497" s="2" t="s">
        <v>68</v>
      </c>
      <c r="D497" s="2">
        <v>32</v>
      </c>
      <c r="E497" s="2" t="str">
        <f>_xlfn.IFS(Table1[[#This Row],[Age]]&lt;30, "18-29", D497&lt;=45,"30-45", D497&lt;=55, "46-55", TRUE, "55+")</f>
        <v>30-45</v>
      </c>
      <c r="F497" s="2" t="s">
        <v>44</v>
      </c>
      <c r="G497" s="2" t="s">
        <v>45</v>
      </c>
      <c r="H497" s="2" t="s">
        <v>24</v>
      </c>
      <c r="I497" s="5">
        <v>3</v>
      </c>
      <c r="J497" s="5" t="str">
        <f>_xlfn.IFS(Table1[[#This Row],[Experience(Years)]]&lt;5, "Junior", I497&lt;=12, "Mid-Level", I497&lt;=20, "Senior", I497&lt;=30, "Super Senior", TRUE, "Expert")</f>
        <v>Junior</v>
      </c>
      <c r="K497" s="7">
        <v>30</v>
      </c>
      <c r="L497" s="7">
        <f>Table1[[#This Row],[Hourly Rate]]*1000</f>
        <v>30000</v>
      </c>
      <c r="M497" s="7" t="str">
        <f t="shared" si="7"/>
        <v>Budget</v>
      </c>
      <c r="N497" s="2">
        <f>IF(ISNUMBER(#REF!),#REF!, _xlfn.IFS( I497&gt;=30, 5, I497&gt;=25, 4.8, I497&gt;=15, 4, I497&gt;=10, 3.8, I497&gt;=5, 3, I497&gt;=2, 2.5, I497&gt;=0, 1.8, TRUE, 1.3))</f>
        <v>2.5</v>
      </c>
      <c r="O497" s="2" t="s">
        <v>2052</v>
      </c>
      <c r="P497" s="10">
        <v>0.96</v>
      </c>
      <c r="Q497" s="10" t="str">
        <f>_xlfn.IFS(Table1[[#This Row],[Rating]]&gt;=4, "Top Performer", Table1[[#This Row],[Rating]]&gt;=3, "Average", TRUE, "Needs Imporovement")</f>
        <v>Needs Imporovement</v>
      </c>
    </row>
    <row r="498" spans="1:17" x14ac:dyDescent="0.3">
      <c r="A498" s="2" t="s">
        <v>1038</v>
      </c>
      <c r="B498" s="2" t="s">
        <v>1039</v>
      </c>
      <c r="C498" s="2" t="s">
        <v>68</v>
      </c>
      <c r="D498" s="2">
        <v>58</v>
      </c>
      <c r="E498" s="2" t="str">
        <f>_xlfn.IFS(Table1[[#This Row],[Age]]&lt;30, "18-29", D498&lt;=45,"30-45", D498&lt;=55, "46-55", TRUE, "55+")</f>
        <v>55+</v>
      </c>
      <c r="F498" s="2" t="s">
        <v>22</v>
      </c>
      <c r="G498" s="2" t="s">
        <v>23</v>
      </c>
      <c r="H498" s="2" t="s">
        <v>4</v>
      </c>
      <c r="I498" s="5">
        <v>33</v>
      </c>
      <c r="J498" s="5" t="str">
        <f>_xlfn.IFS(Table1[[#This Row],[Experience(Years)]]&lt;5, "Junior", I498&lt;=12, "Mid-Level", I498&lt;=20, "Senior", I498&lt;=30, "Super Senior", TRUE, "Expert")</f>
        <v>Expert</v>
      </c>
      <c r="K498" s="7">
        <v>80</v>
      </c>
      <c r="L498" s="7">
        <f>Table1[[#This Row],[Hourly Rate]]*1000</f>
        <v>80000</v>
      </c>
      <c r="M498" s="7" t="str">
        <f t="shared" si="7"/>
        <v>Standard</v>
      </c>
      <c r="N498" s="2">
        <f>IF(ISNUMBER(#REF!),#REF!, _xlfn.IFS( I498&gt;=30, 5, I498&gt;=25, 4.8, I498&gt;=15, 4, I498&gt;=10, 3.8, I498&gt;=5, 3, I498&gt;=2, 2.5, I498&gt;=0, 1.8, TRUE, 1.3))</f>
        <v>5</v>
      </c>
      <c r="O498" s="2" t="s">
        <v>2053</v>
      </c>
      <c r="P498" s="10">
        <v>0.83</v>
      </c>
      <c r="Q498" s="10" t="str">
        <f>_xlfn.IFS(Table1[[#This Row],[Rating]]&gt;=4, "Top Performer", Table1[[#This Row],[Rating]]&gt;=3, "Average", TRUE, "Needs Imporovement")</f>
        <v>Top Performer</v>
      </c>
    </row>
    <row r="499" spans="1:17" x14ac:dyDescent="0.3">
      <c r="A499" s="2" t="s">
        <v>1040</v>
      </c>
      <c r="B499" s="2" t="s">
        <v>1041</v>
      </c>
      <c r="C499" s="2" t="s">
        <v>68</v>
      </c>
      <c r="D499" s="2">
        <v>49</v>
      </c>
      <c r="E499" s="2" t="str">
        <f>_xlfn.IFS(Table1[[#This Row],[Age]]&lt;30, "18-29", D499&lt;=45,"30-45", D499&lt;=55, "46-55", TRUE, "55+")</f>
        <v>46-55</v>
      </c>
      <c r="F499" s="2" t="s">
        <v>27</v>
      </c>
      <c r="G499" s="2" t="s">
        <v>28</v>
      </c>
      <c r="H499" s="2" t="s">
        <v>29</v>
      </c>
      <c r="I499" s="5">
        <v>24</v>
      </c>
      <c r="J499" s="5" t="str">
        <f>_xlfn.IFS(Table1[[#This Row],[Experience(Years)]]&lt;5, "Junior", I499&lt;=12, "Mid-Level", I499&lt;=20, "Senior", I499&lt;=30, "Super Senior", TRUE, "Expert")</f>
        <v>Super Senior</v>
      </c>
      <c r="K499" s="7">
        <v>100</v>
      </c>
      <c r="L499" s="7">
        <f>Table1[[#This Row],[Hourly Rate]]*1000</f>
        <v>100000</v>
      </c>
      <c r="M499" s="7" t="str">
        <f t="shared" si="7"/>
        <v>Premium</v>
      </c>
      <c r="N499" s="2">
        <f>IF(ISNUMBER(#REF!),#REF!, _xlfn.IFS( I499&gt;=30, 5, I499&gt;=25, 4.8, I499&gt;=15, 4, I499&gt;=10, 3.8, I499&gt;=5, 3, I499&gt;=2, 2.5, I499&gt;=0, 1.8, TRUE, 1.3))</f>
        <v>4</v>
      </c>
      <c r="O499" s="2" t="s">
        <v>2052</v>
      </c>
      <c r="P499" s="10">
        <v>0.6</v>
      </c>
      <c r="Q499" s="10" t="str">
        <f>_xlfn.IFS(Table1[[#This Row],[Rating]]&gt;=4, "Top Performer", Table1[[#This Row],[Rating]]&gt;=3, "Average", TRUE, "Needs Imporovement")</f>
        <v>Top Performer</v>
      </c>
    </row>
    <row r="500" spans="1:17" x14ac:dyDescent="0.3">
      <c r="A500" s="2" t="s">
        <v>1042</v>
      </c>
      <c r="B500" s="2" t="s">
        <v>1043</v>
      </c>
      <c r="C500" s="2" t="s">
        <v>49</v>
      </c>
      <c r="D500" s="2">
        <v>22</v>
      </c>
      <c r="E500" s="2" t="str">
        <f>_xlfn.IFS(Table1[[#This Row],[Age]]&lt;30, "18-29", D500&lt;=45,"30-45", D500&lt;=55, "46-55", TRUE, "55+")</f>
        <v>18-29</v>
      </c>
      <c r="F500" s="2" t="s">
        <v>92</v>
      </c>
      <c r="G500" s="2" t="s">
        <v>93</v>
      </c>
      <c r="H500" s="2" t="s">
        <v>46</v>
      </c>
      <c r="I500" s="5">
        <v>3</v>
      </c>
      <c r="J500" s="5" t="str">
        <f>_xlfn.IFS(Table1[[#This Row],[Experience(Years)]]&lt;5, "Junior", I500&lt;=12, "Mid-Level", I500&lt;=20, "Senior", I500&lt;=30, "Super Senior", TRUE, "Expert")</f>
        <v>Junior</v>
      </c>
      <c r="K500" s="7">
        <v>100</v>
      </c>
      <c r="L500" s="7">
        <f>Table1[[#This Row],[Hourly Rate]]*1000</f>
        <v>100000</v>
      </c>
      <c r="M500" s="7" t="str">
        <f t="shared" si="7"/>
        <v>Premium</v>
      </c>
      <c r="N500" s="2">
        <f>IF(ISNUMBER(#REF!),#REF!, _xlfn.IFS( I500&gt;=30, 5, I500&gt;=25, 4.8, I500&gt;=15, 4, I500&gt;=10, 3.8, I500&gt;=5, 3, I500&gt;=2, 2.5, I500&gt;=0, 1.8, TRUE, 1.3))</f>
        <v>2.5</v>
      </c>
      <c r="O500" s="2" t="s">
        <v>2053</v>
      </c>
      <c r="P500" s="10">
        <v>0.78</v>
      </c>
      <c r="Q500" s="10" t="str">
        <f>_xlfn.IFS(Table1[[#This Row],[Rating]]&gt;=4, "Top Performer", Table1[[#This Row],[Rating]]&gt;=3, "Average", TRUE, "Needs Imporovement")</f>
        <v>Needs Imporovement</v>
      </c>
    </row>
    <row r="501" spans="1:17" x14ac:dyDescent="0.3">
      <c r="A501" s="2" t="s">
        <v>1044</v>
      </c>
      <c r="B501" s="2" t="s">
        <v>1045</v>
      </c>
      <c r="C501" s="2" t="s">
        <v>49</v>
      </c>
      <c r="D501" s="2">
        <v>40</v>
      </c>
      <c r="E501" s="2" t="str">
        <f>_xlfn.IFS(Table1[[#This Row],[Age]]&lt;30, "18-29", D501&lt;=45,"30-45", D501&lt;=55, "46-55", TRUE, "55+")</f>
        <v>30-45</v>
      </c>
      <c r="F501" s="2" t="s">
        <v>107</v>
      </c>
      <c r="G501" s="2" t="s">
        <v>108</v>
      </c>
      <c r="H501" s="2" t="s">
        <v>17</v>
      </c>
      <c r="I501" s="5">
        <v>11</v>
      </c>
      <c r="J501" s="5" t="str">
        <f>_xlfn.IFS(Table1[[#This Row],[Experience(Years)]]&lt;5, "Junior", I501&lt;=12, "Mid-Level", I501&lt;=20, "Senior", I501&lt;=30, "Super Senior", TRUE, "Expert")</f>
        <v>Mid-Level</v>
      </c>
      <c r="K501" s="7">
        <v>20</v>
      </c>
      <c r="L501" s="7">
        <f>Table1[[#This Row],[Hourly Rate]]*1000</f>
        <v>20000</v>
      </c>
      <c r="M501" s="7" t="str">
        <f t="shared" si="7"/>
        <v>Budget</v>
      </c>
      <c r="N501" s="2">
        <f>IF(ISNUMBER(#REF!),#REF!, _xlfn.IFS( I501&gt;=30, 5, I501&gt;=25, 4.8, I501&gt;=15, 4, I501&gt;=10, 3.8, I501&gt;=5, 3, I501&gt;=2, 2.5, I501&gt;=0, 1.8, TRUE, 1.3))</f>
        <v>3.8</v>
      </c>
      <c r="O501" s="2" t="s">
        <v>2053</v>
      </c>
      <c r="P501" s="10">
        <v>0.9</v>
      </c>
      <c r="Q501" s="10" t="str">
        <f>_xlfn.IFS(Table1[[#This Row],[Rating]]&gt;=4, "Top Performer", Table1[[#This Row],[Rating]]&gt;=3, "Average", TRUE, "Needs Imporovement")</f>
        <v>Average</v>
      </c>
    </row>
    <row r="502" spans="1:17" x14ac:dyDescent="0.3">
      <c r="A502" s="2" t="s">
        <v>1046</v>
      </c>
      <c r="B502" s="2" t="s">
        <v>1047</v>
      </c>
      <c r="C502" s="2" t="s">
        <v>68</v>
      </c>
      <c r="D502" s="2">
        <v>55</v>
      </c>
      <c r="E502" s="2" t="str">
        <f>_xlfn.IFS(Table1[[#This Row],[Age]]&lt;30, "18-29", D502&lt;=45,"30-45", D502&lt;=55, "46-55", TRUE, "55+")</f>
        <v>46-55</v>
      </c>
      <c r="F502" s="2" t="s">
        <v>7</v>
      </c>
      <c r="G502" s="2" t="s">
        <v>8</v>
      </c>
      <c r="H502" s="2" t="s">
        <v>29</v>
      </c>
      <c r="I502" s="5">
        <v>7</v>
      </c>
      <c r="J502" s="5" t="str">
        <f>_xlfn.IFS(Table1[[#This Row],[Experience(Years)]]&lt;5, "Junior", I502&lt;=12, "Mid-Level", I502&lt;=20, "Senior", I502&lt;=30, "Super Senior", TRUE, "Expert")</f>
        <v>Mid-Level</v>
      </c>
      <c r="K502" s="7">
        <v>100</v>
      </c>
      <c r="L502" s="7">
        <f>Table1[[#This Row],[Hourly Rate]]*1000</f>
        <v>100000</v>
      </c>
      <c r="M502" s="7" t="str">
        <f t="shared" si="7"/>
        <v>Premium</v>
      </c>
      <c r="N502" s="2">
        <f>IF(ISNUMBER(#REF!),#REF!, _xlfn.IFS( I502&gt;=30, 5, I502&gt;=25, 4.8, I502&gt;=15, 4, I502&gt;=10, 3.8, I502&gt;=5, 3, I502&gt;=2, 2.5, I502&gt;=0, 1.8, TRUE, 1.3))</f>
        <v>3</v>
      </c>
      <c r="O502" s="2" t="s">
        <v>2052</v>
      </c>
      <c r="P502" s="10">
        <v>0.66</v>
      </c>
      <c r="Q502" s="10" t="str">
        <f>_xlfn.IFS(Table1[[#This Row],[Rating]]&gt;=4, "Top Performer", Table1[[#This Row],[Rating]]&gt;=3, "Average", TRUE, "Needs Imporovement")</f>
        <v>Average</v>
      </c>
    </row>
    <row r="503" spans="1:17" x14ac:dyDescent="0.3">
      <c r="A503" s="2" t="s">
        <v>1048</v>
      </c>
      <c r="B503" s="2" t="s">
        <v>1049</v>
      </c>
      <c r="C503" s="2" t="s">
        <v>68</v>
      </c>
      <c r="D503" s="2">
        <v>32</v>
      </c>
      <c r="E503" s="2" t="str">
        <f>_xlfn.IFS(Table1[[#This Row],[Age]]&lt;30, "18-29", D503&lt;=45,"30-45", D503&lt;=55, "46-55", TRUE, "55+")</f>
        <v>30-45</v>
      </c>
      <c r="F503" s="2" t="s">
        <v>145</v>
      </c>
      <c r="G503" s="2" t="s">
        <v>45</v>
      </c>
      <c r="H503" s="2" t="s">
        <v>61</v>
      </c>
      <c r="I503" s="5">
        <v>1</v>
      </c>
      <c r="J503" s="5" t="str">
        <f>_xlfn.IFS(Table1[[#This Row],[Experience(Years)]]&lt;5, "Junior", I503&lt;=12, "Mid-Level", I503&lt;=20, "Senior", I503&lt;=30, "Super Senior", TRUE, "Expert")</f>
        <v>Junior</v>
      </c>
      <c r="K503" s="7">
        <v>50</v>
      </c>
      <c r="L503" s="7">
        <f>Table1[[#This Row],[Hourly Rate]]*1000</f>
        <v>50000</v>
      </c>
      <c r="M503" s="7" t="str">
        <f t="shared" si="7"/>
        <v>Standard</v>
      </c>
      <c r="N503" s="2">
        <f>IF(ISNUMBER(#REF!),#REF!, _xlfn.IFS( I503&gt;=30, 5, I503&gt;=25, 4.8, I503&gt;=15, 4, I503&gt;=10, 3.8, I503&gt;=5, 3, I503&gt;=2, 2.5, I503&gt;=0, 1.8, TRUE, 1.3))</f>
        <v>1.8</v>
      </c>
      <c r="O503" s="2" t="s">
        <v>2053</v>
      </c>
      <c r="P503" s="10">
        <v>0.7</v>
      </c>
      <c r="Q503" s="10" t="str">
        <f>_xlfn.IFS(Table1[[#This Row],[Rating]]&gt;=4, "Top Performer", Table1[[#This Row],[Rating]]&gt;=3, "Average", TRUE, "Needs Imporovement")</f>
        <v>Needs Imporovement</v>
      </c>
    </row>
    <row r="504" spans="1:17" x14ac:dyDescent="0.3">
      <c r="A504" s="2" t="s">
        <v>1050</v>
      </c>
      <c r="B504" s="2" t="s">
        <v>1051</v>
      </c>
      <c r="C504" s="2" t="s">
        <v>49</v>
      </c>
      <c r="D504" s="2">
        <v>21</v>
      </c>
      <c r="E504" s="2" t="str">
        <f>_xlfn.IFS(Table1[[#This Row],[Age]]&lt;30, "18-29", D504&lt;=45,"30-45", D504&lt;=55, "46-55", TRUE, "55+")</f>
        <v>18-29</v>
      </c>
      <c r="F504" s="2" t="s">
        <v>57</v>
      </c>
      <c r="G504" s="2" t="s">
        <v>58</v>
      </c>
      <c r="H504" s="2" t="s">
        <v>46</v>
      </c>
      <c r="I504" s="5">
        <v>0</v>
      </c>
      <c r="J504" s="5" t="str">
        <f>_xlfn.IFS(Table1[[#This Row],[Experience(Years)]]&lt;5, "Junior", I504&lt;=12, "Mid-Level", I504&lt;=20, "Senior", I504&lt;=30, "Super Senior", TRUE, "Expert")</f>
        <v>Junior</v>
      </c>
      <c r="K504" s="7">
        <v>30</v>
      </c>
      <c r="L504" s="7">
        <f>Table1[[#This Row],[Hourly Rate]]*1000</f>
        <v>30000</v>
      </c>
      <c r="M504" s="7" t="str">
        <f t="shared" si="7"/>
        <v>Budget</v>
      </c>
      <c r="N504" s="2">
        <f>IF(ISNUMBER(#REF!),#REF!, _xlfn.IFS( I504&gt;=30, 5, I504&gt;=25, 4.8, I504&gt;=15, 4, I504&gt;=10, 3.8, I504&gt;=5, 3, I504&gt;=2, 2.5, I504&gt;=0, 1.8, TRUE, 1.3))</f>
        <v>1.8</v>
      </c>
      <c r="O504" s="2" t="s">
        <v>2053</v>
      </c>
      <c r="P504" s="10">
        <v>0.79</v>
      </c>
      <c r="Q504" s="10" t="str">
        <f>_xlfn.IFS(Table1[[#This Row],[Rating]]&gt;=4, "Top Performer", Table1[[#This Row],[Rating]]&gt;=3, "Average", TRUE, "Needs Imporovement")</f>
        <v>Needs Imporovement</v>
      </c>
    </row>
    <row r="505" spans="1:17" x14ac:dyDescent="0.3">
      <c r="A505" s="2" t="s">
        <v>1052</v>
      </c>
      <c r="B505" s="2" t="s">
        <v>1053</v>
      </c>
      <c r="C505" s="2" t="s">
        <v>68</v>
      </c>
      <c r="D505" s="2">
        <v>23</v>
      </c>
      <c r="E505" s="2" t="str">
        <f>_xlfn.IFS(Table1[[#This Row],[Age]]&lt;30, "18-29", D505&lt;=45,"30-45", D505&lt;=55, "46-55", TRUE, "55+")</f>
        <v>18-29</v>
      </c>
      <c r="F505" s="2" t="s">
        <v>81</v>
      </c>
      <c r="G505" s="2" t="s">
        <v>82</v>
      </c>
      <c r="H505" s="2" t="s">
        <v>4</v>
      </c>
      <c r="I505" s="5">
        <v>1</v>
      </c>
      <c r="J505" s="5" t="str">
        <f>_xlfn.IFS(Table1[[#This Row],[Experience(Years)]]&lt;5, "Junior", I505&lt;=12, "Mid-Level", I505&lt;=20, "Senior", I505&lt;=30, "Super Senior", TRUE, "Expert")</f>
        <v>Junior</v>
      </c>
      <c r="K505" s="7">
        <v>40</v>
      </c>
      <c r="L505" s="7">
        <f>Table1[[#This Row],[Hourly Rate]]*1000</f>
        <v>40000</v>
      </c>
      <c r="M505" s="7" t="str">
        <f t="shared" si="7"/>
        <v>Standard</v>
      </c>
      <c r="N505" s="2">
        <f>IF(ISNUMBER(#REF!),#REF!, _xlfn.IFS( I505&gt;=30, 5, I505&gt;=25, 4.8, I505&gt;=15, 4, I505&gt;=10, 3.8, I505&gt;=5, 3, I505&gt;=2, 2.5, I505&gt;=0, 1.8, TRUE, 1.3))</f>
        <v>1.8</v>
      </c>
      <c r="O505" s="2" t="s">
        <v>2052</v>
      </c>
      <c r="P505" s="10">
        <v>0.64</v>
      </c>
      <c r="Q505" s="10" t="str">
        <f>_xlfn.IFS(Table1[[#This Row],[Rating]]&gt;=4, "Top Performer", Table1[[#This Row],[Rating]]&gt;=3, "Average", TRUE, "Needs Imporovement")</f>
        <v>Needs Imporovement</v>
      </c>
    </row>
    <row r="506" spans="1:17" x14ac:dyDescent="0.3">
      <c r="A506" s="2" t="s">
        <v>1054</v>
      </c>
      <c r="B506" s="2" t="s">
        <v>1055</v>
      </c>
      <c r="C506" s="2" t="s">
        <v>68</v>
      </c>
      <c r="D506" s="2">
        <v>21</v>
      </c>
      <c r="E506" s="2" t="str">
        <f>_xlfn.IFS(Table1[[#This Row],[Age]]&lt;30, "18-29", D506&lt;=45,"30-45", D506&lt;=55, "46-55", TRUE, "55+")</f>
        <v>18-29</v>
      </c>
      <c r="F506" s="2" t="s">
        <v>41</v>
      </c>
      <c r="G506" s="2" t="s">
        <v>8</v>
      </c>
      <c r="H506" s="2" t="s">
        <v>9</v>
      </c>
      <c r="I506" s="5">
        <v>1</v>
      </c>
      <c r="J506" s="5" t="str">
        <f>_xlfn.IFS(Table1[[#This Row],[Experience(Years)]]&lt;5, "Junior", I506&lt;=12, "Mid-Level", I506&lt;=20, "Senior", I506&lt;=30, "Super Senior", TRUE, "Expert")</f>
        <v>Junior</v>
      </c>
      <c r="K506" s="7">
        <v>30</v>
      </c>
      <c r="L506" s="7">
        <f>Table1[[#This Row],[Hourly Rate]]*1000</f>
        <v>30000</v>
      </c>
      <c r="M506" s="7" t="str">
        <f t="shared" si="7"/>
        <v>Budget</v>
      </c>
      <c r="N506" s="2">
        <f>IF(ISNUMBER(#REF!),#REF!, _xlfn.IFS( I506&gt;=30, 5, I506&gt;=25, 4.8, I506&gt;=15, 4, I506&gt;=10, 3.8, I506&gt;=5, 3, I506&gt;=2, 2.5, I506&gt;=0, 1.8, TRUE, 1.3))</f>
        <v>1.8</v>
      </c>
      <c r="O506" s="2" t="s">
        <v>2052</v>
      </c>
      <c r="P506" s="10">
        <v>0.81</v>
      </c>
      <c r="Q506" s="10" t="str">
        <f>_xlfn.IFS(Table1[[#This Row],[Rating]]&gt;=4, "Top Performer", Table1[[#This Row],[Rating]]&gt;=3, "Average", TRUE, "Needs Imporovement")</f>
        <v>Needs Imporovement</v>
      </c>
    </row>
    <row r="507" spans="1:17" x14ac:dyDescent="0.3">
      <c r="A507" s="2" t="s">
        <v>1056</v>
      </c>
      <c r="B507" s="2" t="s">
        <v>1057</v>
      </c>
      <c r="C507" s="2" t="s">
        <v>68</v>
      </c>
      <c r="D507" s="2">
        <v>31</v>
      </c>
      <c r="E507" s="2" t="str">
        <f>_xlfn.IFS(Table1[[#This Row],[Age]]&lt;30, "18-29", D507&lt;=45,"30-45", D507&lt;=55, "46-55", TRUE, "55+")</f>
        <v>30-45</v>
      </c>
      <c r="F507" s="2" t="s">
        <v>44</v>
      </c>
      <c r="G507" s="2" t="s">
        <v>45</v>
      </c>
      <c r="H507" s="2" t="s">
        <v>24</v>
      </c>
      <c r="I507" s="5">
        <v>7</v>
      </c>
      <c r="J507" s="5" t="str">
        <f>_xlfn.IFS(Table1[[#This Row],[Experience(Years)]]&lt;5, "Junior", I507&lt;=12, "Mid-Level", I507&lt;=20, "Senior", I507&lt;=30, "Super Senior", TRUE, "Expert")</f>
        <v>Mid-Level</v>
      </c>
      <c r="K507" s="7">
        <v>75</v>
      </c>
      <c r="L507" s="7">
        <f>Table1[[#This Row],[Hourly Rate]]*1000</f>
        <v>75000</v>
      </c>
      <c r="M507" s="7" t="str">
        <f t="shared" si="7"/>
        <v>Standard</v>
      </c>
      <c r="N507" s="2">
        <f>IF(ISNUMBER(#REF!),#REF!, _xlfn.IFS( I507&gt;=30, 5, I507&gt;=25, 4.8, I507&gt;=15, 4, I507&gt;=10, 3.8, I507&gt;=5, 3, I507&gt;=2, 2.5, I507&gt;=0, 1.8, TRUE, 1.3))</f>
        <v>3</v>
      </c>
      <c r="O507" s="2" t="s">
        <v>2052</v>
      </c>
      <c r="P507" s="10">
        <v>0.83</v>
      </c>
      <c r="Q507" s="10" t="str">
        <f>_xlfn.IFS(Table1[[#This Row],[Rating]]&gt;=4, "Top Performer", Table1[[#This Row],[Rating]]&gt;=3, "Average", TRUE, "Needs Imporovement")</f>
        <v>Average</v>
      </c>
    </row>
    <row r="508" spans="1:17" x14ac:dyDescent="0.3">
      <c r="A508" s="2" t="s">
        <v>1058</v>
      </c>
      <c r="B508" s="2" t="s">
        <v>1059</v>
      </c>
      <c r="C508" s="2" t="s">
        <v>68</v>
      </c>
      <c r="D508" s="2">
        <v>21</v>
      </c>
      <c r="E508" s="2" t="str">
        <f>_xlfn.IFS(Table1[[#This Row],[Age]]&lt;30, "18-29", D508&lt;=45,"30-45", D508&lt;=55, "46-55", TRUE, "55+")</f>
        <v>18-29</v>
      </c>
      <c r="F508" s="2" t="s">
        <v>145</v>
      </c>
      <c r="G508" s="2" t="s">
        <v>45</v>
      </c>
      <c r="H508" s="2" t="s">
        <v>4</v>
      </c>
      <c r="I508" s="5">
        <v>0</v>
      </c>
      <c r="J508" s="5" t="str">
        <f>_xlfn.IFS(Table1[[#This Row],[Experience(Years)]]&lt;5, "Junior", I508&lt;=12, "Mid-Level", I508&lt;=20, "Senior", I508&lt;=30, "Super Senior", TRUE, "Expert")</f>
        <v>Junior</v>
      </c>
      <c r="K508" s="7">
        <v>40</v>
      </c>
      <c r="L508" s="7">
        <f>Table1[[#This Row],[Hourly Rate]]*1000</f>
        <v>40000</v>
      </c>
      <c r="M508" s="7" t="str">
        <f t="shared" si="7"/>
        <v>Standard</v>
      </c>
      <c r="N508" s="2">
        <f>IF(ISNUMBER(#REF!),#REF!, _xlfn.IFS( I508&gt;=30, 5, I508&gt;=25, 4.8, I508&gt;=15, 4, I508&gt;=10, 3.8, I508&gt;=5, 3, I508&gt;=2, 2.5, I508&gt;=0, 1.8, TRUE, 1.3))</f>
        <v>1.8</v>
      </c>
      <c r="O508" s="2" t="s">
        <v>2052</v>
      </c>
      <c r="P508" s="10">
        <v>0.91</v>
      </c>
      <c r="Q508" s="10" t="str">
        <f>_xlfn.IFS(Table1[[#This Row],[Rating]]&gt;=4, "Top Performer", Table1[[#This Row],[Rating]]&gt;=3, "Average", TRUE, "Needs Imporovement")</f>
        <v>Needs Imporovement</v>
      </c>
    </row>
    <row r="509" spans="1:17" x14ac:dyDescent="0.3">
      <c r="A509" s="2" t="s">
        <v>1060</v>
      </c>
      <c r="B509" s="2" t="s">
        <v>1061</v>
      </c>
      <c r="C509" s="2" t="s">
        <v>68</v>
      </c>
      <c r="D509" s="2">
        <v>33</v>
      </c>
      <c r="E509" s="2" t="str">
        <f>_xlfn.IFS(Table1[[#This Row],[Age]]&lt;30, "18-29", D509&lt;=45,"30-45", D509&lt;=55, "46-55", TRUE, "55+")</f>
        <v>30-45</v>
      </c>
      <c r="F509" s="2" t="s">
        <v>41</v>
      </c>
      <c r="G509" s="2" t="s">
        <v>8</v>
      </c>
      <c r="H509" s="2" t="s">
        <v>50</v>
      </c>
      <c r="I509" s="5">
        <v>6</v>
      </c>
      <c r="J509" s="5" t="str">
        <f>_xlfn.IFS(Table1[[#This Row],[Experience(Years)]]&lt;5, "Junior", I509&lt;=12, "Mid-Level", I509&lt;=20, "Senior", I509&lt;=30, "Super Senior", TRUE, "Expert")</f>
        <v>Mid-Level</v>
      </c>
      <c r="K509" s="7">
        <v>50</v>
      </c>
      <c r="L509" s="7">
        <f>Table1[[#This Row],[Hourly Rate]]*1000</f>
        <v>50000</v>
      </c>
      <c r="M509" s="7" t="str">
        <f t="shared" si="7"/>
        <v>Standard</v>
      </c>
      <c r="N509" s="2">
        <f>IF(ISNUMBER(#REF!),#REF!, _xlfn.IFS( I509&gt;=30, 5, I509&gt;=25, 4.8, I509&gt;=15, 4, I509&gt;=10, 3.8, I509&gt;=5, 3, I509&gt;=2, 2.5, I509&gt;=0, 1.8, TRUE, 1.3))</f>
        <v>3</v>
      </c>
      <c r="O509" s="2" t="s">
        <v>2052</v>
      </c>
      <c r="P509" s="10">
        <v>0.6</v>
      </c>
      <c r="Q509" s="10" t="str">
        <f>_xlfn.IFS(Table1[[#This Row],[Rating]]&gt;=4, "Top Performer", Table1[[#This Row],[Rating]]&gt;=3, "Average", TRUE, "Needs Imporovement")</f>
        <v>Average</v>
      </c>
    </row>
    <row r="510" spans="1:17" x14ac:dyDescent="0.3">
      <c r="A510" s="2" t="s">
        <v>1062</v>
      </c>
      <c r="B510" s="2" t="s">
        <v>1063</v>
      </c>
      <c r="C510" s="2" t="s">
        <v>68</v>
      </c>
      <c r="D510" s="2">
        <v>57</v>
      </c>
      <c r="E510" s="2" t="str">
        <f>_xlfn.IFS(Table1[[#This Row],[Age]]&lt;30, "18-29", D510&lt;=45,"30-45", D510&lt;=55, "46-55", TRUE, "55+")</f>
        <v>55+</v>
      </c>
      <c r="F510" s="2" t="s">
        <v>77</v>
      </c>
      <c r="G510" s="2" t="s">
        <v>78</v>
      </c>
      <c r="H510" s="2" t="s">
        <v>17</v>
      </c>
      <c r="I510" s="5">
        <v>5</v>
      </c>
      <c r="J510" s="5" t="str">
        <f>_xlfn.IFS(Table1[[#This Row],[Experience(Years)]]&lt;5, "Junior", I510&lt;=12, "Mid-Level", I510&lt;=20, "Senior", I510&lt;=30, "Super Senior", TRUE, "Expert")</f>
        <v>Mid-Level</v>
      </c>
      <c r="K510" s="7">
        <v>75</v>
      </c>
      <c r="L510" s="7">
        <f>Table1[[#This Row],[Hourly Rate]]*1000</f>
        <v>75000</v>
      </c>
      <c r="M510" s="7" t="str">
        <f t="shared" si="7"/>
        <v>Standard</v>
      </c>
      <c r="N510" s="2">
        <f>IF(ISNUMBER(#REF!),#REF!, _xlfn.IFS( I510&gt;=30, 5, I510&gt;=25, 4.8, I510&gt;=15, 4, I510&gt;=10, 3.8, I510&gt;=5, 3, I510&gt;=2, 2.5, I510&gt;=0, 1.8, TRUE, 1.3))</f>
        <v>3</v>
      </c>
      <c r="O510" s="2" t="s">
        <v>2053</v>
      </c>
      <c r="P510" s="10">
        <v>0.77</v>
      </c>
      <c r="Q510" s="10" t="str">
        <f>_xlfn.IFS(Table1[[#This Row],[Rating]]&gt;=4, "Top Performer", Table1[[#This Row],[Rating]]&gt;=3, "Average", TRUE, "Needs Imporovement")</f>
        <v>Average</v>
      </c>
    </row>
    <row r="511" spans="1:17" x14ac:dyDescent="0.3">
      <c r="A511" s="2" t="s">
        <v>1064</v>
      </c>
      <c r="B511" s="2" t="s">
        <v>1065</v>
      </c>
      <c r="C511" s="2" t="s">
        <v>68</v>
      </c>
      <c r="D511" s="2">
        <v>52</v>
      </c>
      <c r="E511" s="2" t="str">
        <f>_xlfn.IFS(Table1[[#This Row],[Age]]&lt;30, "18-29", D511&lt;=45,"30-45", D511&lt;=55, "46-55", TRUE, "55+")</f>
        <v>46-55</v>
      </c>
      <c r="F511" s="2" t="s">
        <v>34</v>
      </c>
      <c r="G511" s="2" t="s">
        <v>8</v>
      </c>
      <c r="H511" s="2" t="s">
        <v>61</v>
      </c>
      <c r="I511" s="5">
        <v>17</v>
      </c>
      <c r="J511" s="5" t="str">
        <f>_xlfn.IFS(Table1[[#This Row],[Experience(Years)]]&lt;5, "Junior", I511&lt;=12, "Mid-Level", I511&lt;=20, "Senior", I511&lt;=30, "Super Senior", TRUE, "Expert")</f>
        <v>Senior</v>
      </c>
      <c r="K511" s="7">
        <v>75</v>
      </c>
      <c r="L511" s="7">
        <f>Table1[[#This Row],[Hourly Rate]]*1000</f>
        <v>75000</v>
      </c>
      <c r="M511" s="7" t="str">
        <f t="shared" si="7"/>
        <v>Standard</v>
      </c>
      <c r="N511" s="2">
        <f>IF(ISNUMBER(#REF!),#REF!, _xlfn.IFS( I511&gt;=30, 5, I511&gt;=25, 4.8, I511&gt;=15, 4, I511&gt;=10, 3.8, I511&gt;=5, 3, I511&gt;=2, 2.5, I511&gt;=0, 1.8, TRUE, 1.3))</f>
        <v>4</v>
      </c>
      <c r="O511" s="2" t="s">
        <v>2052</v>
      </c>
      <c r="P511" s="10">
        <v>0.94</v>
      </c>
      <c r="Q511" s="10" t="str">
        <f>_xlfn.IFS(Table1[[#This Row],[Rating]]&gt;=4, "Top Performer", Table1[[#This Row],[Rating]]&gt;=3, "Average", TRUE, "Needs Imporovement")</f>
        <v>Top Performer</v>
      </c>
    </row>
    <row r="512" spans="1:17" x14ac:dyDescent="0.3">
      <c r="A512" s="2" t="s">
        <v>1066</v>
      </c>
      <c r="B512" s="2" t="s">
        <v>1067</v>
      </c>
      <c r="C512" s="2" t="s">
        <v>49</v>
      </c>
      <c r="D512" s="2">
        <v>21</v>
      </c>
      <c r="E512" s="2" t="str">
        <f>_xlfn.IFS(Table1[[#This Row],[Age]]&lt;30, "18-29", D512&lt;=45,"30-45", D512&lt;=55, "46-55", TRUE, "55+")</f>
        <v>18-29</v>
      </c>
      <c r="F512" s="2" t="s">
        <v>12</v>
      </c>
      <c r="G512" s="2" t="s">
        <v>13</v>
      </c>
      <c r="H512" s="2" t="s">
        <v>17</v>
      </c>
      <c r="I512" s="5">
        <v>0</v>
      </c>
      <c r="J512" s="5" t="str">
        <f>_xlfn.IFS(Table1[[#This Row],[Experience(Years)]]&lt;5, "Junior", I512&lt;=12, "Mid-Level", I512&lt;=20, "Senior", I512&lt;=30, "Super Senior", TRUE, "Expert")</f>
        <v>Junior</v>
      </c>
      <c r="K512" s="7">
        <v>20</v>
      </c>
      <c r="L512" s="7">
        <f>Table1[[#This Row],[Hourly Rate]]*1000</f>
        <v>20000</v>
      </c>
      <c r="M512" s="7" t="str">
        <f t="shared" si="7"/>
        <v>Budget</v>
      </c>
      <c r="N512" s="2">
        <f>IF(ISNUMBER(#REF!),#REF!, _xlfn.IFS( I512&gt;=30, 5, I512&gt;=25, 4.8, I512&gt;=15, 4, I512&gt;=10, 3.8, I512&gt;=5, 3, I512&gt;=2, 2.5, I512&gt;=0, 1.8, TRUE, 1.3))</f>
        <v>1.8</v>
      </c>
      <c r="O512" s="2" t="s">
        <v>2053</v>
      </c>
      <c r="P512" s="10">
        <v>0.61</v>
      </c>
      <c r="Q512" s="10" t="str">
        <f>_xlfn.IFS(Table1[[#This Row],[Rating]]&gt;=4, "Top Performer", Table1[[#This Row],[Rating]]&gt;=3, "Average", TRUE, "Needs Imporovement")</f>
        <v>Needs Imporovement</v>
      </c>
    </row>
    <row r="513" spans="1:17" x14ac:dyDescent="0.3">
      <c r="A513" s="2" t="s">
        <v>1068</v>
      </c>
      <c r="B513" s="2" t="s">
        <v>1069</v>
      </c>
      <c r="C513" s="2" t="s">
        <v>49</v>
      </c>
      <c r="D513" s="2">
        <v>36</v>
      </c>
      <c r="E513" s="2" t="str">
        <f>_xlfn.IFS(Table1[[#This Row],[Age]]&lt;30, "18-29", D513&lt;=45,"30-45", D513&lt;=55, "46-55", TRUE, "55+")</f>
        <v>30-45</v>
      </c>
      <c r="F513" s="2" t="s">
        <v>44</v>
      </c>
      <c r="G513" s="2" t="s">
        <v>45</v>
      </c>
      <c r="H513" s="2" t="s">
        <v>46</v>
      </c>
      <c r="I513" s="5">
        <v>8</v>
      </c>
      <c r="J513" s="5" t="str">
        <f>_xlfn.IFS(Table1[[#This Row],[Experience(Years)]]&lt;5, "Junior", I513&lt;=12, "Mid-Level", I513&lt;=20, "Senior", I513&lt;=30, "Super Senior", TRUE, "Expert")</f>
        <v>Mid-Level</v>
      </c>
      <c r="K513" s="7">
        <v>100</v>
      </c>
      <c r="L513" s="7">
        <f>Table1[[#This Row],[Hourly Rate]]*1000</f>
        <v>100000</v>
      </c>
      <c r="M513" s="7" t="str">
        <f t="shared" si="7"/>
        <v>Premium</v>
      </c>
      <c r="N513" s="2">
        <f>IF(ISNUMBER(#REF!),#REF!, _xlfn.IFS( I513&gt;=30, 5, I513&gt;=25, 4.8, I513&gt;=15, 4, I513&gt;=10, 3.8, I513&gt;=5, 3, I513&gt;=2, 2.5, I513&gt;=0, 1.8, TRUE, 1.3))</f>
        <v>3</v>
      </c>
      <c r="O513" s="2" t="s">
        <v>2052</v>
      </c>
      <c r="P513" s="10">
        <v>0.68</v>
      </c>
      <c r="Q513" s="10" t="str">
        <f>_xlfn.IFS(Table1[[#This Row],[Rating]]&gt;=4, "Top Performer", Table1[[#This Row],[Rating]]&gt;=3, "Average", TRUE, "Needs Imporovement")</f>
        <v>Average</v>
      </c>
    </row>
    <row r="514" spans="1:17" x14ac:dyDescent="0.3">
      <c r="A514" s="2" t="s">
        <v>1070</v>
      </c>
      <c r="B514" s="2" t="s">
        <v>1071</v>
      </c>
      <c r="C514" s="2" t="s">
        <v>68</v>
      </c>
      <c r="D514" s="2">
        <v>33</v>
      </c>
      <c r="E514" s="2" t="str">
        <f>_xlfn.IFS(Table1[[#This Row],[Age]]&lt;30, "18-29", D514&lt;=45,"30-45", D514&lt;=55, "46-55", TRUE, "55+")</f>
        <v>30-45</v>
      </c>
      <c r="F514" s="2" t="s">
        <v>156</v>
      </c>
      <c r="G514" s="2" t="s">
        <v>45</v>
      </c>
      <c r="H514" s="2" t="s">
        <v>83</v>
      </c>
      <c r="I514" s="5">
        <v>13</v>
      </c>
      <c r="J514" s="5" t="str">
        <f>_xlfn.IFS(Table1[[#This Row],[Experience(Years)]]&lt;5, "Junior", I514&lt;=12, "Mid-Level", I514&lt;=20, "Senior", I514&lt;=30, "Super Senior", TRUE, "Expert")</f>
        <v>Senior</v>
      </c>
      <c r="K514" s="7">
        <v>50</v>
      </c>
      <c r="L514" s="7">
        <f>Table1[[#This Row],[Hourly Rate]]*1000</f>
        <v>50000</v>
      </c>
      <c r="M514" s="7" t="str">
        <f t="shared" ref="M514:M577" si="8">_xlfn.IFS(K514&lt;40, "Budget", K514&lt;=80, "Standard", TRUE, "Premium")</f>
        <v>Standard</v>
      </c>
      <c r="N514" s="2">
        <f>IF(ISNUMBER(#REF!),#REF!, _xlfn.IFS( I514&gt;=30, 5, I514&gt;=25, 4.8, I514&gt;=15, 4, I514&gt;=10, 3.8, I514&gt;=5, 3, I514&gt;=2, 2.5, I514&gt;=0, 1.8, TRUE, 1.3))</f>
        <v>3.8</v>
      </c>
      <c r="O514" s="2" t="s">
        <v>2052</v>
      </c>
      <c r="P514" s="10">
        <v>0.7</v>
      </c>
      <c r="Q514" s="10" t="str">
        <f>_xlfn.IFS(Table1[[#This Row],[Rating]]&gt;=4, "Top Performer", Table1[[#This Row],[Rating]]&gt;=3, "Average", TRUE, "Needs Imporovement")</f>
        <v>Average</v>
      </c>
    </row>
    <row r="515" spans="1:17" x14ac:dyDescent="0.3">
      <c r="A515" s="2" t="s">
        <v>1072</v>
      </c>
      <c r="B515" s="2" t="s">
        <v>1073</v>
      </c>
      <c r="C515" s="2" t="s">
        <v>49</v>
      </c>
      <c r="D515" s="2">
        <v>54</v>
      </c>
      <c r="E515" s="2" t="str">
        <f>_xlfn.IFS(Table1[[#This Row],[Age]]&lt;30, "18-29", D515&lt;=45,"30-45", D515&lt;=55, "46-55", TRUE, "55+")</f>
        <v>46-55</v>
      </c>
      <c r="F515" s="2" t="s">
        <v>41</v>
      </c>
      <c r="G515" s="2" t="s">
        <v>8</v>
      </c>
      <c r="H515" s="2" t="s">
        <v>29</v>
      </c>
      <c r="I515" s="5">
        <v>15</v>
      </c>
      <c r="J515" s="5" t="str">
        <f>_xlfn.IFS(Table1[[#This Row],[Experience(Years)]]&lt;5, "Junior", I515&lt;=12, "Mid-Level", I515&lt;=20, "Senior", I515&lt;=30, "Super Senior", TRUE, "Expert")</f>
        <v>Senior</v>
      </c>
      <c r="K515" s="7">
        <v>40</v>
      </c>
      <c r="L515" s="7">
        <f>Table1[[#This Row],[Hourly Rate]]*1000</f>
        <v>40000</v>
      </c>
      <c r="M515" s="7" t="str">
        <f t="shared" si="8"/>
        <v>Standard</v>
      </c>
      <c r="N515" s="2">
        <f>IF(ISNUMBER(#REF!),#REF!, _xlfn.IFS( I515&gt;=30, 5, I515&gt;=25, 4.8, I515&gt;=15, 4, I515&gt;=10, 3.8, I515&gt;=5, 3, I515&gt;=2, 2.5, I515&gt;=0, 1.8, TRUE, 1.3))</f>
        <v>4</v>
      </c>
      <c r="O515" s="2" t="s">
        <v>2053</v>
      </c>
      <c r="P515" s="10">
        <v>0.71</v>
      </c>
      <c r="Q515" s="10" t="str">
        <f>_xlfn.IFS(Table1[[#This Row],[Rating]]&gt;=4, "Top Performer", Table1[[#This Row],[Rating]]&gt;=3, "Average", TRUE, "Needs Imporovement")</f>
        <v>Top Performer</v>
      </c>
    </row>
    <row r="516" spans="1:17" x14ac:dyDescent="0.3">
      <c r="A516" s="2" t="s">
        <v>1074</v>
      </c>
      <c r="B516" s="2" t="s">
        <v>1075</v>
      </c>
      <c r="C516" s="2" t="s">
        <v>49</v>
      </c>
      <c r="D516" s="2">
        <v>33</v>
      </c>
      <c r="E516" s="2" t="str">
        <f>_xlfn.IFS(Table1[[#This Row],[Age]]&lt;30, "18-29", D516&lt;=45,"30-45", D516&lt;=55, "46-55", TRUE, "55+")</f>
        <v>30-45</v>
      </c>
      <c r="F516" s="2" t="s">
        <v>34</v>
      </c>
      <c r="G516" s="2" t="s">
        <v>8</v>
      </c>
      <c r="H516" s="2" t="s">
        <v>4</v>
      </c>
      <c r="I516" s="5">
        <v>2</v>
      </c>
      <c r="J516" s="5" t="str">
        <f>_xlfn.IFS(Table1[[#This Row],[Experience(Years)]]&lt;5, "Junior", I516&lt;=12, "Mid-Level", I516&lt;=20, "Senior", I516&lt;=30, "Super Senior", TRUE, "Expert")</f>
        <v>Junior</v>
      </c>
      <c r="K516" s="7">
        <v>100</v>
      </c>
      <c r="L516" s="7">
        <f>Table1[[#This Row],[Hourly Rate]]*1000</f>
        <v>100000</v>
      </c>
      <c r="M516" s="7" t="str">
        <f t="shared" si="8"/>
        <v>Premium</v>
      </c>
      <c r="N516" s="2">
        <f>IF(ISNUMBER(#REF!),#REF!, _xlfn.IFS( I516&gt;=30, 5, I516&gt;=25, 4.8, I516&gt;=15, 4, I516&gt;=10, 3.8, I516&gt;=5, 3, I516&gt;=2, 2.5, I516&gt;=0, 1.8, TRUE, 1.3))</f>
        <v>2.5</v>
      </c>
      <c r="O516" s="2" t="s">
        <v>2052</v>
      </c>
      <c r="P516" s="10">
        <v>0.35</v>
      </c>
      <c r="Q516" s="10" t="str">
        <f>_xlfn.IFS(Table1[[#This Row],[Rating]]&gt;=4, "Top Performer", Table1[[#This Row],[Rating]]&gt;=3, "Average", TRUE, "Needs Imporovement")</f>
        <v>Needs Imporovement</v>
      </c>
    </row>
    <row r="517" spans="1:17" x14ac:dyDescent="0.3">
      <c r="A517" s="2" t="s">
        <v>1076</v>
      </c>
      <c r="B517" s="2" t="s">
        <v>1077</v>
      </c>
      <c r="C517" s="2" t="s">
        <v>49</v>
      </c>
      <c r="D517" s="2">
        <v>36</v>
      </c>
      <c r="E517" s="2" t="str">
        <f>_xlfn.IFS(Table1[[#This Row],[Age]]&lt;30, "18-29", D517&lt;=45,"30-45", D517&lt;=55, "46-55", TRUE, "55+")</f>
        <v>30-45</v>
      </c>
      <c r="F517" s="2" t="s">
        <v>57</v>
      </c>
      <c r="G517" s="2" t="s">
        <v>58</v>
      </c>
      <c r="H517" s="2" t="s">
        <v>83</v>
      </c>
      <c r="I517" s="5">
        <v>9</v>
      </c>
      <c r="J517" s="5" t="str">
        <f>_xlfn.IFS(Table1[[#This Row],[Experience(Years)]]&lt;5, "Junior", I517&lt;=12, "Mid-Level", I517&lt;=20, "Senior", I517&lt;=30, "Super Senior", TRUE, "Expert")</f>
        <v>Mid-Level</v>
      </c>
      <c r="K517" s="7">
        <v>30</v>
      </c>
      <c r="L517" s="7">
        <f>Table1[[#This Row],[Hourly Rate]]*1000</f>
        <v>30000</v>
      </c>
      <c r="M517" s="7" t="str">
        <f t="shared" si="8"/>
        <v>Budget</v>
      </c>
      <c r="N517" s="2">
        <f>IF(ISNUMBER(#REF!),#REF!, _xlfn.IFS( I517&gt;=30, 5, I517&gt;=25, 4.8, I517&gt;=15, 4, I517&gt;=10, 3.8, I517&gt;=5, 3, I517&gt;=2, 2.5, I517&gt;=0, 1.8, TRUE, 1.3))</f>
        <v>3</v>
      </c>
      <c r="O517" s="2" t="s">
        <v>2053</v>
      </c>
      <c r="P517" s="10">
        <v>0.78</v>
      </c>
      <c r="Q517" s="10" t="str">
        <f>_xlfn.IFS(Table1[[#This Row],[Rating]]&gt;=4, "Top Performer", Table1[[#This Row],[Rating]]&gt;=3, "Average", TRUE, "Needs Imporovement")</f>
        <v>Average</v>
      </c>
    </row>
    <row r="518" spans="1:17" x14ac:dyDescent="0.3">
      <c r="A518" s="2" t="s">
        <v>1078</v>
      </c>
      <c r="B518" s="2" t="s">
        <v>1079</v>
      </c>
      <c r="C518" s="2" t="s">
        <v>49</v>
      </c>
      <c r="D518" s="2">
        <v>36</v>
      </c>
      <c r="E518" s="2" t="str">
        <f>_xlfn.IFS(Table1[[#This Row],[Age]]&lt;30, "18-29", D518&lt;=45,"30-45", D518&lt;=55, "46-55", TRUE, "55+")</f>
        <v>30-45</v>
      </c>
      <c r="F518" s="2" t="s">
        <v>37</v>
      </c>
      <c r="G518" s="2" t="s">
        <v>38</v>
      </c>
      <c r="H518" s="2" t="s">
        <v>24</v>
      </c>
      <c r="I518" s="5">
        <v>3</v>
      </c>
      <c r="J518" s="5" t="str">
        <f>_xlfn.IFS(Table1[[#This Row],[Experience(Years)]]&lt;5, "Junior", I518&lt;=12, "Mid-Level", I518&lt;=20, "Senior", I518&lt;=30, "Super Senior", TRUE, "Expert")</f>
        <v>Junior</v>
      </c>
      <c r="K518" s="7">
        <v>50</v>
      </c>
      <c r="L518" s="7">
        <f>Table1[[#This Row],[Hourly Rate]]*1000</f>
        <v>50000</v>
      </c>
      <c r="M518" s="7" t="str">
        <f t="shared" si="8"/>
        <v>Standard</v>
      </c>
      <c r="N518" s="2">
        <f>IF(ISNUMBER(#REF!),#REF!, _xlfn.IFS( I518&gt;=30, 5, I518&gt;=25, 4.8, I518&gt;=15, 4, I518&gt;=10, 3.8, I518&gt;=5, 3, I518&gt;=2, 2.5, I518&gt;=0, 1.8, TRUE, 1.3))</f>
        <v>2.5</v>
      </c>
      <c r="O518" s="2" t="s">
        <v>2052</v>
      </c>
      <c r="P518" s="10">
        <v>0.75</v>
      </c>
      <c r="Q518" s="10" t="str">
        <f>_xlfn.IFS(Table1[[#This Row],[Rating]]&gt;=4, "Top Performer", Table1[[#This Row],[Rating]]&gt;=3, "Average", TRUE, "Needs Imporovement")</f>
        <v>Needs Imporovement</v>
      </c>
    </row>
    <row r="519" spans="1:17" x14ac:dyDescent="0.3">
      <c r="A519" s="2" t="s">
        <v>1080</v>
      </c>
      <c r="B519" s="2" t="s">
        <v>1081</v>
      </c>
      <c r="C519" s="2" t="s">
        <v>49</v>
      </c>
      <c r="D519" s="2">
        <v>43</v>
      </c>
      <c r="E519" s="2" t="str">
        <f>_xlfn.IFS(Table1[[#This Row],[Age]]&lt;30, "18-29", D519&lt;=45,"30-45", D519&lt;=55, "46-55", TRUE, "55+")</f>
        <v>30-45</v>
      </c>
      <c r="F519" s="2" t="s">
        <v>141</v>
      </c>
      <c r="G519" s="2" t="s">
        <v>142</v>
      </c>
      <c r="H519" s="2" t="s">
        <v>24</v>
      </c>
      <c r="I519" s="5">
        <v>15</v>
      </c>
      <c r="J519" s="5" t="str">
        <f>_xlfn.IFS(Table1[[#This Row],[Experience(Years)]]&lt;5, "Junior", I519&lt;=12, "Mid-Level", I519&lt;=20, "Senior", I519&lt;=30, "Super Senior", TRUE, "Expert")</f>
        <v>Senior</v>
      </c>
      <c r="K519" s="7">
        <v>20</v>
      </c>
      <c r="L519" s="7">
        <f>Table1[[#This Row],[Hourly Rate]]*1000</f>
        <v>20000</v>
      </c>
      <c r="M519" s="7" t="str">
        <f t="shared" si="8"/>
        <v>Budget</v>
      </c>
      <c r="N519" s="2">
        <f>IF(ISNUMBER(#REF!),#REF!, _xlfn.IFS( I519&gt;=30, 5, I519&gt;=25, 4.8, I519&gt;=15, 4, I519&gt;=10, 3.8, I519&gt;=5, 3, I519&gt;=2, 2.5, I519&gt;=0, 1.8, TRUE, 1.3))</f>
        <v>4</v>
      </c>
      <c r="O519" s="2" t="s">
        <v>2053</v>
      </c>
      <c r="P519" s="10">
        <v>0.91</v>
      </c>
      <c r="Q519" s="10" t="str">
        <f>_xlfn.IFS(Table1[[#This Row],[Rating]]&gt;=4, "Top Performer", Table1[[#This Row],[Rating]]&gt;=3, "Average", TRUE, "Needs Imporovement")</f>
        <v>Top Performer</v>
      </c>
    </row>
    <row r="520" spans="1:17" x14ac:dyDescent="0.3">
      <c r="A520" s="2" t="s">
        <v>1082</v>
      </c>
      <c r="B520" s="2" t="s">
        <v>1083</v>
      </c>
      <c r="C520" s="2" t="s">
        <v>68</v>
      </c>
      <c r="D520" s="2">
        <v>52</v>
      </c>
      <c r="E520" s="2" t="str">
        <f>_xlfn.IFS(Table1[[#This Row],[Age]]&lt;30, "18-29", D520&lt;=45,"30-45", D520&lt;=55, "46-55", TRUE, "55+")</f>
        <v>46-55</v>
      </c>
      <c r="F520" s="2" t="s">
        <v>41</v>
      </c>
      <c r="G520" s="2" t="s">
        <v>8</v>
      </c>
      <c r="H520" s="2" t="s">
        <v>29</v>
      </c>
      <c r="I520" s="5">
        <v>21</v>
      </c>
      <c r="J520" s="5" t="str">
        <f>_xlfn.IFS(Table1[[#This Row],[Experience(Years)]]&lt;5, "Junior", I520&lt;=12, "Mid-Level", I520&lt;=20, "Senior", I520&lt;=30, "Super Senior", TRUE, "Expert")</f>
        <v>Super Senior</v>
      </c>
      <c r="K520" s="7">
        <v>75</v>
      </c>
      <c r="L520" s="7">
        <f>Table1[[#This Row],[Hourly Rate]]*1000</f>
        <v>75000</v>
      </c>
      <c r="M520" s="7" t="str">
        <f t="shared" si="8"/>
        <v>Standard</v>
      </c>
      <c r="N520" s="2">
        <f>IF(ISNUMBER(#REF!),#REF!, _xlfn.IFS( I520&gt;=30, 5, I520&gt;=25, 4.8, I520&gt;=15, 4, I520&gt;=10, 3.8, I520&gt;=5, 3, I520&gt;=2, 2.5, I520&gt;=0, 1.8, TRUE, 1.3))</f>
        <v>4</v>
      </c>
      <c r="O520" s="2" t="s">
        <v>2053</v>
      </c>
      <c r="P520" s="10">
        <v>0.66</v>
      </c>
      <c r="Q520" s="10" t="str">
        <f>_xlfn.IFS(Table1[[#This Row],[Rating]]&gt;=4, "Top Performer", Table1[[#This Row],[Rating]]&gt;=3, "Average", TRUE, "Needs Imporovement")</f>
        <v>Top Performer</v>
      </c>
    </row>
    <row r="521" spans="1:17" x14ac:dyDescent="0.3">
      <c r="A521" s="2" t="s">
        <v>1084</v>
      </c>
      <c r="B521" s="2" t="s">
        <v>1085</v>
      </c>
      <c r="C521" s="2" t="s">
        <v>49</v>
      </c>
      <c r="D521" s="2">
        <v>28</v>
      </c>
      <c r="E521" s="2" t="str">
        <f>_xlfn.IFS(Table1[[#This Row],[Age]]&lt;30, "18-29", D521&lt;=45,"30-45", D521&lt;=55, "46-55", TRUE, "55+")</f>
        <v>18-29</v>
      </c>
      <c r="F521" s="2" t="s">
        <v>27</v>
      </c>
      <c r="G521" s="2" t="s">
        <v>28</v>
      </c>
      <c r="H521" s="2" t="s">
        <v>50</v>
      </c>
      <c r="I521" s="5">
        <v>2</v>
      </c>
      <c r="J521" s="5" t="str">
        <f>_xlfn.IFS(Table1[[#This Row],[Experience(Years)]]&lt;5, "Junior", I521&lt;=12, "Mid-Level", I521&lt;=20, "Senior", I521&lt;=30, "Super Senior", TRUE, "Expert")</f>
        <v>Junior</v>
      </c>
      <c r="K521" s="7">
        <v>75</v>
      </c>
      <c r="L521" s="7">
        <f>Table1[[#This Row],[Hourly Rate]]*1000</f>
        <v>75000</v>
      </c>
      <c r="M521" s="7" t="str">
        <f t="shared" si="8"/>
        <v>Standard</v>
      </c>
      <c r="N521" s="2">
        <f>IF(ISNUMBER(#REF!),#REF!, _xlfn.IFS( I521&gt;=30, 5, I521&gt;=25, 4.8, I521&gt;=15, 4, I521&gt;=10, 3.8, I521&gt;=5, 3, I521&gt;=2, 2.5, I521&gt;=0, 1.8, TRUE, 1.3))</f>
        <v>2.5</v>
      </c>
      <c r="O521" s="2" t="s">
        <v>2053</v>
      </c>
      <c r="P521" s="10">
        <v>0.68</v>
      </c>
      <c r="Q521" s="10" t="str">
        <f>_xlfn.IFS(Table1[[#This Row],[Rating]]&gt;=4, "Top Performer", Table1[[#This Row],[Rating]]&gt;=3, "Average", TRUE, "Needs Imporovement")</f>
        <v>Needs Imporovement</v>
      </c>
    </row>
    <row r="522" spans="1:17" x14ac:dyDescent="0.3">
      <c r="A522" s="2" t="s">
        <v>1086</v>
      </c>
      <c r="B522" s="2" t="s">
        <v>1087</v>
      </c>
      <c r="C522" s="2" t="s">
        <v>49</v>
      </c>
      <c r="D522" s="2">
        <v>47</v>
      </c>
      <c r="E522" s="2" t="str">
        <f>_xlfn.IFS(Table1[[#This Row],[Age]]&lt;30, "18-29", D522&lt;=45,"30-45", D522&lt;=55, "46-55", TRUE, "55+")</f>
        <v>46-55</v>
      </c>
      <c r="F522" s="2" t="s">
        <v>141</v>
      </c>
      <c r="G522" s="2" t="s">
        <v>142</v>
      </c>
      <c r="H522" s="2" t="s">
        <v>50</v>
      </c>
      <c r="I522" s="5">
        <v>21</v>
      </c>
      <c r="J522" s="5" t="str">
        <f>_xlfn.IFS(Table1[[#This Row],[Experience(Years)]]&lt;5, "Junior", I522&lt;=12, "Mid-Level", I522&lt;=20, "Senior", I522&lt;=30, "Super Senior", TRUE, "Expert")</f>
        <v>Super Senior</v>
      </c>
      <c r="K522" s="7">
        <v>100</v>
      </c>
      <c r="L522" s="7">
        <f>Table1[[#This Row],[Hourly Rate]]*1000</f>
        <v>100000</v>
      </c>
      <c r="M522" s="7" t="str">
        <f t="shared" si="8"/>
        <v>Premium</v>
      </c>
      <c r="N522" s="2">
        <f>IF(ISNUMBER(#REF!),#REF!, _xlfn.IFS( I522&gt;=30, 5, I522&gt;=25, 4.8, I522&gt;=15, 4, I522&gt;=10, 3.8, I522&gt;=5, 3, I522&gt;=2, 2.5, I522&gt;=0, 1.8, TRUE, 1.3))</f>
        <v>4</v>
      </c>
      <c r="O522" s="2" t="s">
        <v>2052</v>
      </c>
      <c r="P522" s="10">
        <v>0.85</v>
      </c>
      <c r="Q522" s="10" t="str">
        <f>_xlfn.IFS(Table1[[#This Row],[Rating]]&gt;=4, "Top Performer", Table1[[#This Row],[Rating]]&gt;=3, "Average", TRUE, "Needs Imporovement")</f>
        <v>Top Performer</v>
      </c>
    </row>
    <row r="523" spans="1:17" x14ac:dyDescent="0.3">
      <c r="A523" s="2" t="s">
        <v>1088</v>
      </c>
      <c r="B523" s="2" t="s">
        <v>1089</v>
      </c>
      <c r="C523" s="2" t="s">
        <v>49</v>
      </c>
      <c r="D523" s="2">
        <v>30</v>
      </c>
      <c r="E523" s="2" t="str">
        <f>_xlfn.IFS(Table1[[#This Row],[Age]]&lt;30, "18-29", D523&lt;=45,"30-45", D523&lt;=55, "46-55", TRUE, "55+")</f>
        <v>30-45</v>
      </c>
      <c r="F523" s="2" t="s">
        <v>103</v>
      </c>
      <c r="G523" s="2" t="s">
        <v>104</v>
      </c>
      <c r="H523" s="2" t="s">
        <v>61</v>
      </c>
      <c r="I523" s="5">
        <v>0</v>
      </c>
      <c r="J523" s="5" t="str">
        <f>_xlfn.IFS(Table1[[#This Row],[Experience(Years)]]&lt;5, "Junior", I523&lt;=12, "Mid-Level", I523&lt;=20, "Senior", I523&lt;=30, "Super Senior", TRUE, "Expert")</f>
        <v>Junior</v>
      </c>
      <c r="K523" s="7">
        <v>100</v>
      </c>
      <c r="L523" s="7">
        <f>Table1[[#This Row],[Hourly Rate]]*1000</f>
        <v>100000</v>
      </c>
      <c r="M523" s="7" t="str">
        <f t="shared" si="8"/>
        <v>Premium</v>
      </c>
      <c r="N523" s="2">
        <f>IF(ISNUMBER(#REF!),#REF!, _xlfn.IFS( I523&gt;=30, 5, I523&gt;=25, 4.8, I523&gt;=15, 4, I523&gt;=10, 3.8, I523&gt;=5, 3, I523&gt;=2, 2.5, I523&gt;=0, 1.8, TRUE, 1.3))</f>
        <v>1.8</v>
      </c>
      <c r="O523" s="2" t="s">
        <v>2052</v>
      </c>
      <c r="P523" s="10">
        <v>0.62</v>
      </c>
      <c r="Q523" s="10" t="str">
        <f>_xlfn.IFS(Table1[[#This Row],[Rating]]&gt;=4, "Top Performer", Table1[[#This Row],[Rating]]&gt;=3, "Average", TRUE, "Needs Imporovement")</f>
        <v>Needs Imporovement</v>
      </c>
    </row>
    <row r="524" spans="1:17" x14ac:dyDescent="0.3">
      <c r="A524" s="2" t="s">
        <v>1090</v>
      </c>
      <c r="B524" s="2" t="s">
        <v>1091</v>
      </c>
      <c r="C524" s="2" t="s">
        <v>68</v>
      </c>
      <c r="D524" s="2">
        <v>36</v>
      </c>
      <c r="E524" s="2" t="str">
        <f>_xlfn.IFS(Table1[[#This Row],[Age]]&lt;30, "18-29", D524&lt;=45,"30-45", D524&lt;=55, "46-55", TRUE, "55+")</f>
        <v>30-45</v>
      </c>
      <c r="F524" s="2" t="s">
        <v>107</v>
      </c>
      <c r="G524" s="2" t="s">
        <v>108</v>
      </c>
      <c r="H524" s="2" t="s">
        <v>4</v>
      </c>
      <c r="I524" s="5">
        <v>4</v>
      </c>
      <c r="J524" s="5" t="str">
        <f>_xlfn.IFS(Table1[[#This Row],[Experience(Years)]]&lt;5, "Junior", I524&lt;=12, "Mid-Level", I524&lt;=20, "Senior", I524&lt;=30, "Super Senior", TRUE, "Expert")</f>
        <v>Junior</v>
      </c>
      <c r="K524" s="7">
        <v>40</v>
      </c>
      <c r="L524" s="7">
        <f>Table1[[#This Row],[Hourly Rate]]*1000</f>
        <v>40000</v>
      </c>
      <c r="M524" s="7" t="str">
        <f t="shared" si="8"/>
        <v>Standard</v>
      </c>
      <c r="N524" s="2">
        <f>IF(ISNUMBER(#REF!),#REF!, _xlfn.IFS( I524&gt;=30, 5, I524&gt;=25, 4.8, I524&gt;=15, 4, I524&gt;=10, 3.8, I524&gt;=5, 3, I524&gt;=2, 2.5, I524&gt;=0, 1.8, TRUE, 1.3))</f>
        <v>2.5</v>
      </c>
      <c r="O524" s="2" t="s">
        <v>2052</v>
      </c>
      <c r="P524" s="10">
        <v>0.9</v>
      </c>
      <c r="Q524" s="10" t="str">
        <f>_xlfn.IFS(Table1[[#This Row],[Rating]]&gt;=4, "Top Performer", Table1[[#This Row],[Rating]]&gt;=3, "Average", TRUE, "Needs Imporovement")</f>
        <v>Needs Imporovement</v>
      </c>
    </row>
    <row r="525" spans="1:17" x14ac:dyDescent="0.3">
      <c r="A525" s="2" t="s">
        <v>1092</v>
      </c>
      <c r="B525" s="2" t="s">
        <v>1093</v>
      </c>
      <c r="C525" s="2" t="s">
        <v>49</v>
      </c>
      <c r="D525" s="2">
        <v>45</v>
      </c>
      <c r="E525" s="2" t="str">
        <f>_xlfn.IFS(Table1[[#This Row],[Age]]&lt;30, "18-29", D525&lt;=45,"30-45", D525&lt;=55, "46-55", TRUE, "55+")</f>
        <v>30-45</v>
      </c>
      <c r="F525" s="2" t="s">
        <v>34</v>
      </c>
      <c r="G525" s="2" t="s">
        <v>8</v>
      </c>
      <c r="H525" s="2" t="s">
        <v>46</v>
      </c>
      <c r="I525" s="5">
        <v>23</v>
      </c>
      <c r="J525" s="5" t="str">
        <f>_xlfn.IFS(Table1[[#This Row],[Experience(Years)]]&lt;5, "Junior", I525&lt;=12, "Mid-Level", I525&lt;=20, "Senior", I525&lt;=30, "Super Senior", TRUE, "Expert")</f>
        <v>Super Senior</v>
      </c>
      <c r="K525" s="7">
        <v>100</v>
      </c>
      <c r="L525" s="7">
        <f>Table1[[#This Row],[Hourly Rate]]*1000</f>
        <v>100000</v>
      </c>
      <c r="M525" s="7" t="str">
        <f t="shared" si="8"/>
        <v>Premium</v>
      </c>
      <c r="N525" s="2">
        <f>IF(ISNUMBER(#REF!),#REF!, _xlfn.IFS( I525&gt;=30, 5, I525&gt;=25, 4.8, I525&gt;=15, 4, I525&gt;=10, 3.8, I525&gt;=5, 3, I525&gt;=2, 2.5, I525&gt;=0, 1.8, TRUE, 1.3))</f>
        <v>4</v>
      </c>
      <c r="O525" s="2" t="s">
        <v>2052</v>
      </c>
      <c r="P525" s="10">
        <v>0.96</v>
      </c>
      <c r="Q525" s="10" t="str">
        <f>_xlfn.IFS(Table1[[#This Row],[Rating]]&gt;=4, "Top Performer", Table1[[#This Row],[Rating]]&gt;=3, "Average", TRUE, "Needs Imporovement")</f>
        <v>Top Performer</v>
      </c>
    </row>
    <row r="526" spans="1:17" x14ac:dyDescent="0.3">
      <c r="A526" s="2" t="s">
        <v>1094</v>
      </c>
      <c r="B526" s="2" t="s">
        <v>1095</v>
      </c>
      <c r="C526" s="2" t="s">
        <v>49</v>
      </c>
      <c r="D526" s="2">
        <v>51</v>
      </c>
      <c r="E526" s="2" t="str">
        <f>_xlfn.IFS(Table1[[#This Row],[Age]]&lt;30, "18-29", D526&lt;=45,"30-45", D526&lt;=55, "46-55", TRUE, "55+")</f>
        <v>46-55</v>
      </c>
      <c r="F526" s="2" t="s">
        <v>34</v>
      </c>
      <c r="G526" s="2" t="s">
        <v>8</v>
      </c>
      <c r="H526" s="2" t="s">
        <v>4</v>
      </c>
      <c r="I526" s="5">
        <v>25</v>
      </c>
      <c r="J526" s="5" t="str">
        <f>_xlfn.IFS(Table1[[#This Row],[Experience(Years)]]&lt;5, "Junior", I526&lt;=12, "Mid-Level", I526&lt;=20, "Senior", I526&lt;=30, "Super Senior", TRUE, "Expert")</f>
        <v>Super Senior</v>
      </c>
      <c r="K526" s="7">
        <v>50</v>
      </c>
      <c r="L526" s="7">
        <f>Table1[[#This Row],[Hourly Rate]]*1000</f>
        <v>50000</v>
      </c>
      <c r="M526" s="7" t="str">
        <f t="shared" si="8"/>
        <v>Standard</v>
      </c>
      <c r="N526" s="2">
        <f>IF(ISNUMBER(#REF!),#REF!, _xlfn.IFS( I526&gt;=30, 5, I526&gt;=25, 4.8, I526&gt;=15, 4, I526&gt;=10, 3.8, I526&gt;=5, 3, I526&gt;=2, 2.5, I526&gt;=0, 1.8, TRUE, 1.3))</f>
        <v>4.8</v>
      </c>
      <c r="O526" s="2" t="s">
        <v>2053</v>
      </c>
      <c r="P526" s="10">
        <v>0.6</v>
      </c>
      <c r="Q526" s="10" t="str">
        <f>_xlfn.IFS(Table1[[#This Row],[Rating]]&gt;=4, "Top Performer", Table1[[#This Row],[Rating]]&gt;=3, "Average", TRUE, "Needs Imporovement")</f>
        <v>Top Performer</v>
      </c>
    </row>
    <row r="527" spans="1:17" x14ac:dyDescent="0.3">
      <c r="A527" s="2" t="s">
        <v>1096</v>
      </c>
      <c r="B527" s="2" t="s">
        <v>1097</v>
      </c>
      <c r="C527" s="2" t="s">
        <v>68</v>
      </c>
      <c r="D527" s="2">
        <v>46</v>
      </c>
      <c r="E527" s="2" t="str">
        <f>_xlfn.IFS(Table1[[#This Row],[Age]]&lt;30, "18-29", D527&lt;=45,"30-45", D527&lt;=55, "46-55", TRUE, "55+")</f>
        <v>46-55</v>
      </c>
      <c r="F527" s="2" t="s">
        <v>37</v>
      </c>
      <c r="G527" s="2" t="s">
        <v>38</v>
      </c>
      <c r="H527" s="2" t="s">
        <v>9</v>
      </c>
      <c r="I527" s="5">
        <v>10</v>
      </c>
      <c r="J527" s="5" t="str">
        <f>_xlfn.IFS(Table1[[#This Row],[Experience(Years)]]&lt;5, "Junior", I527&lt;=12, "Mid-Level", I527&lt;=20, "Senior", I527&lt;=30, "Super Senior", TRUE, "Expert")</f>
        <v>Mid-Level</v>
      </c>
      <c r="K527" s="7">
        <v>45</v>
      </c>
      <c r="L527" s="7">
        <f>Table1[[#This Row],[Hourly Rate]]*1000</f>
        <v>45000</v>
      </c>
      <c r="M527" s="7" t="str">
        <f t="shared" si="8"/>
        <v>Standard</v>
      </c>
      <c r="N527" s="2">
        <f>IF(ISNUMBER(#REF!),#REF!, _xlfn.IFS( I527&gt;=30, 5, I527&gt;=25, 4.8, I527&gt;=15, 4, I527&gt;=10, 3.8, I527&gt;=5, 3, I527&gt;=2, 2.5, I527&gt;=0, 1.8, TRUE, 1.3))</f>
        <v>3.8</v>
      </c>
      <c r="O527" s="2" t="s">
        <v>2053</v>
      </c>
      <c r="P527" s="10">
        <v>0.62</v>
      </c>
      <c r="Q527" s="10" t="str">
        <f>_xlfn.IFS(Table1[[#This Row],[Rating]]&gt;=4, "Top Performer", Table1[[#This Row],[Rating]]&gt;=3, "Average", TRUE, "Needs Imporovement")</f>
        <v>Average</v>
      </c>
    </row>
    <row r="528" spans="1:17" x14ac:dyDescent="0.3">
      <c r="A528" s="2" t="s">
        <v>1098</v>
      </c>
      <c r="B528" s="2" t="s">
        <v>1099</v>
      </c>
      <c r="C528" s="2" t="s">
        <v>49</v>
      </c>
      <c r="D528" s="2">
        <v>38</v>
      </c>
      <c r="E528" s="2" t="str">
        <f>_xlfn.IFS(Table1[[#This Row],[Age]]&lt;30, "18-29", D528&lt;=45,"30-45", D528&lt;=55, "46-55", TRUE, "55+")</f>
        <v>30-45</v>
      </c>
      <c r="F528" s="2" t="s">
        <v>2</v>
      </c>
      <c r="G528" s="2" t="s">
        <v>3</v>
      </c>
      <c r="H528" s="2" t="s">
        <v>29</v>
      </c>
      <c r="I528" s="5">
        <v>18</v>
      </c>
      <c r="J528" s="5" t="str">
        <f>_xlfn.IFS(Table1[[#This Row],[Experience(Years)]]&lt;5, "Junior", I528&lt;=12, "Mid-Level", I528&lt;=20, "Senior", I528&lt;=30, "Super Senior", TRUE, "Expert")</f>
        <v>Senior</v>
      </c>
      <c r="K528" s="7">
        <v>40</v>
      </c>
      <c r="L528" s="7">
        <f>Table1[[#This Row],[Hourly Rate]]*1000</f>
        <v>40000</v>
      </c>
      <c r="M528" s="7" t="str">
        <f t="shared" si="8"/>
        <v>Standard</v>
      </c>
      <c r="N528" s="2">
        <f>IF(ISNUMBER(#REF!),#REF!, _xlfn.IFS( I528&gt;=30, 5, I528&gt;=25, 4.8, I528&gt;=15, 4, I528&gt;=10, 3.8, I528&gt;=5, 3, I528&gt;=2, 2.5, I528&gt;=0, 1.8, TRUE, 1.3))</f>
        <v>4</v>
      </c>
      <c r="O528" s="2" t="s">
        <v>2052</v>
      </c>
      <c r="P528" s="10">
        <v>0.74</v>
      </c>
      <c r="Q528" s="10" t="str">
        <f>_xlfn.IFS(Table1[[#This Row],[Rating]]&gt;=4, "Top Performer", Table1[[#This Row],[Rating]]&gt;=3, "Average", TRUE, "Needs Imporovement")</f>
        <v>Top Performer</v>
      </c>
    </row>
    <row r="529" spans="1:17" x14ac:dyDescent="0.3">
      <c r="A529" s="2" t="s">
        <v>1100</v>
      </c>
      <c r="B529" s="2" t="s">
        <v>1101</v>
      </c>
      <c r="C529" s="2" t="s">
        <v>68</v>
      </c>
      <c r="D529" s="2">
        <v>26</v>
      </c>
      <c r="E529" s="2" t="str">
        <f>_xlfn.IFS(Table1[[#This Row],[Age]]&lt;30, "18-29", D529&lt;=45,"30-45", D529&lt;=55, "46-55", TRUE, "55+")</f>
        <v>18-29</v>
      </c>
      <c r="F529" s="2" t="s">
        <v>156</v>
      </c>
      <c r="G529" s="2" t="s">
        <v>45</v>
      </c>
      <c r="H529" s="2" t="s">
        <v>4</v>
      </c>
      <c r="I529" s="5">
        <v>1</v>
      </c>
      <c r="J529" s="5" t="str">
        <f>_xlfn.IFS(Table1[[#This Row],[Experience(Years)]]&lt;5, "Junior", I529&lt;=12, "Mid-Level", I529&lt;=20, "Senior", I529&lt;=30, "Super Senior", TRUE, "Expert")</f>
        <v>Junior</v>
      </c>
      <c r="K529" s="7">
        <v>20</v>
      </c>
      <c r="L529" s="7">
        <f>Table1[[#This Row],[Hourly Rate]]*1000</f>
        <v>20000</v>
      </c>
      <c r="M529" s="7" t="str">
        <f t="shared" si="8"/>
        <v>Budget</v>
      </c>
      <c r="N529" s="2">
        <f>IF(ISNUMBER(#REF!),#REF!, _xlfn.IFS( I529&gt;=30, 5, I529&gt;=25, 4.8, I529&gt;=15, 4, I529&gt;=10, 3.8, I529&gt;=5, 3, I529&gt;=2, 2.5, I529&gt;=0, 1.8, TRUE, 1.3))</f>
        <v>1.8</v>
      </c>
      <c r="O529" s="2" t="s">
        <v>2053</v>
      </c>
      <c r="P529" s="10">
        <v>0.3</v>
      </c>
      <c r="Q529" s="10" t="str">
        <f>_xlfn.IFS(Table1[[#This Row],[Rating]]&gt;=4, "Top Performer", Table1[[#This Row],[Rating]]&gt;=3, "Average", TRUE, "Needs Imporovement")</f>
        <v>Needs Imporovement</v>
      </c>
    </row>
    <row r="530" spans="1:17" x14ac:dyDescent="0.3">
      <c r="A530" s="2" t="s">
        <v>1102</v>
      </c>
      <c r="B530" s="2" t="s">
        <v>1103</v>
      </c>
      <c r="C530" s="2" t="s">
        <v>49</v>
      </c>
      <c r="D530" s="2">
        <v>40</v>
      </c>
      <c r="E530" s="2" t="str">
        <f>_xlfn.IFS(Table1[[#This Row],[Age]]&lt;30, "18-29", D530&lt;=45,"30-45", D530&lt;=55, "46-55", TRUE, "55+")</f>
        <v>30-45</v>
      </c>
      <c r="F530" s="2" t="s">
        <v>41</v>
      </c>
      <c r="G530" s="2" t="s">
        <v>8</v>
      </c>
      <c r="H530" s="2" t="s">
        <v>61</v>
      </c>
      <c r="I530" s="5">
        <v>12</v>
      </c>
      <c r="J530" s="5" t="str">
        <f>_xlfn.IFS(Table1[[#This Row],[Experience(Years)]]&lt;5, "Junior", I530&lt;=12, "Mid-Level", I530&lt;=20, "Senior", I530&lt;=30, "Super Senior", TRUE, "Expert")</f>
        <v>Mid-Level</v>
      </c>
      <c r="K530" s="7">
        <v>30</v>
      </c>
      <c r="L530" s="7">
        <f>Table1[[#This Row],[Hourly Rate]]*1000</f>
        <v>30000</v>
      </c>
      <c r="M530" s="7" t="str">
        <f t="shared" si="8"/>
        <v>Budget</v>
      </c>
      <c r="N530" s="2">
        <f>IF(ISNUMBER(#REF!),#REF!, _xlfn.IFS( I530&gt;=30, 5, I530&gt;=25, 4.8, I530&gt;=15, 4, I530&gt;=10, 3.8, I530&gt;=5, 3, I530&gt;=2, 2.5, I530&gt;=0, 1.8, TRUE, 1.3))</f>
        <v>3.8</v>
      </c>
      <c r="O530" s="2" t="str">
        <f>IF(AND( Table1[[#This Row],[Rating]]&gt;=3.5, Table1[[#This Row],[Experience(Years)]]&gt;=15), "Active", "Inactive")</f>
        <v>Inactive</v>
      </c>
      <c r="P530" s="10">
        <v>0.98</v>
      </c>
      <c r="Q530" s="10" t="str">
        <f>_xlfn.IFS(Table1[[#This Row],[Rating]]&gt;=4, "Top Performer", Table1[[#This Row],[Rating]]&gt;=3, "Average", TRUE, "Needs Imporovement")</f>
        <v>Average</v>
      </c>
    </row>
    <row r="531" spans="1:17" x14ac:dyDescent="0.3">
      <c r="A531" s="2" t="s">
        <v>1104</v>
      </c>
      <c r="B531" s="2" t="s">
        <v>1105</v>
      </c>
      <c r="C531" s="2" t="s">
        <v>68</v>
      </c>
      <c r="D531" s="2">
        <v>37</v>
      </c>
      <c r="E531" s="2" t="str">
        <f>_xlfn.IFS(Table1[[#This Row],[Age]]&lt;30, "18-29", D531&lt;=45,"30-45", D531&lt;=55, "46-55", TRUE, "55+")</f>
        <v>30-45</v>
      </c>
      <c r="F531" s="2" t="s">
        <v>12</v>
      </c>
      <c r="G531" s="2" t="s">
        <v>13</v>
      </c>
      <c r="H531" s="2" t="s">
        <v>83</v>
      </c>
      <c r="I531" s="5">
        <v>10</v>
      </c>
      <c r="J531" s="5" t="str">
        <f>_xlfn.IFS(Table1[[#This Row],[Experience(Years)]]&lt;5, "Junior", I531&lt;=12, "Mid-Level", I531&lt;=20, "Senior", I531&lt;=30, "Super Senior", TRUE, "Expert")</f>
        <v>Mid-Level</v>
      </c>
      <c r="K531" s="7">
        <v>60</v>
      </c>
      <c r="L531" s="7">
        <f>Table1[[#This Row],[Hourly Rate]]*1000</f>
        <v>60000</v>
      </c>
      <c r="M531" s="7" t="str">
        <f t="shared" si="8"/>
        <v>Standard</v>
      </c>
      <c r="N531" s="2">
        <f>IF(ISNUMBER(#REF!),#REF!, _xlfn.IFS( I531&gt;=30, 5, I531&gt;=25, 4.8, I531&gt;=15, 4, I531&gt;=10, 3.8, I531&gt;=5, 3, I531&gt;=2, 2.5, I531&gt;=0, 1.8, TRUE, 1.3))</f>
        <v>3.8</v>
      </c>
      <c r="O531" s="2" t="s">
        <v>2053</v>
      </c>
      <c r="P531" s="10">
        <v>0.63</v>
      </c>
      <c r="Q531" s="10" t="str">
        <f>_xlfn.IFS(Table1[[#This Row],[Rating]]&gt;=4, "Top Performer", Table1[[#This Row],[Rating]]&gt;=3, "Average", TRUE, "Needs Imporovement")</f>
        <v>Average</v>
      </c>
    </row>
    <row r="532" spans="1:17" x14ac:dyDescent="0.3">
      <c r="A532" s="2" t="s">
        <v>1106</v>
      </c>
      <c r="B532" s="2" t="s">
        <v>1107</v>
      </c>
      <c r="C532" s="2" t="s">
        <v>68</v>
      </c>
      <c r="D532" s="2">
        <v>28</v>
      </c>
      <c r="E532" s="2" t="str">
        <f>_xlfn.IFS(Table1[[#This Row],[Age]]&lt;30, "18-29", D532&lt;=45,"30-45", D532&lt;=55, "46-55", TRUE, "55+")</f>
        <v>18-29</v>
      </c>
      <c r="F532" s="2" t="s">
        <v>96</v>
      </c>
      <c r="G532" s="2" t="s">
        <v>8</v>
      </c>
      <c r="H532" s="2" t="s">
        <v>4</v>
      </c>
      <c r="I532" s="5">
        <v>5</v>
      </c>
      <c r="J532" s="5" t="str">
        <f>_xlfn.IFS(Table1[[#This Row],[Experience(Years)]]&lt;5, "Junior", I532&lt;=12, "Mid-Level", I532&lt;=20, "Senior", I532&lt;=30, "Super Senior", TRUE, "Expert")</f>
        <v>Mid-Level</v>
      </c>
      <c r="K532" s="7">
        <v>50</v>
      </c>
      <c r="L532" s="7">
        <f>Table1[[#This Row],[Hourly Rate]]*1000</f>
        <v>50000</v>
      </c>
      <c r="M532" s="7" t="str">
        <f t="shared" si="8"/>
        <v>Standard</v>
      </c>
      <c r="N532" s="2">
        <f>IF(ISNUMBER(#REF!),#REF!, _xlfn.IFS( I532&gt;=30, 5, I532&gt;=25, 4.8, I532&gt;=15, 4, I532&gt;=10, 3.8, I532&gt;=5, 3, I532&gt;=2, 2.5, I532&gt;=0, 1.8, TRUE, 1.3))</f>
        <v>3</v>
      </c>
      <c r="O532" s="2" t="s">
        <v>2053</v>
      </c>
      <c r="P532" s="10">
        <v>0.96</v>
      </c>
      <c r="Q532" s="10" t="str">
        <f>_xlfn.IFS(Table1[[#This Row],[Rating]]&gt;=4, "Top Performer", Table1[[#This Row],[Rating]]&gt;=3, "Average", TRUE, "Needs Imporovement")</f>
        <v>Average</v>
      </c>
    </row>
    <row r="533" spans="1:17" x14ac:dyDescent="0.3">
      <c r="A533" s="2" t="s">
        <v>1108</v>
      </c>
      <c r="B533" s="2" t="s">
        <v>1109</v>
      </c>
      <c r="C533" s="2" t="s">
        <v>49</v>
      </c>
      <c r="D533" s="2">
        <v>48</v>
      </c>
      <c r="E533" s="2" t="str">
        <f>_xlfn.IFS(Table1[[#This Row],[Age]]&lt;30, "18-29", D533&lt;=45,"30-45", D533&lt;=55, "46-55", TRUE, "55+")</f>
        <v>46-55</v>
      </c>
      <c r="F533" s="2" t="s">
        <v>64</v>
      </c>
      <c r="G533" s="2" t="s">
        <v>65</v>
      </c>
      <c r="H533" s="2" t="s">
        <v>9</v>
      </c>
      <c r="I533" s="5">
        <v>28</v>
      </c>
      <c r="J533" s="5" t="str">
        <f>_xlfn.IFS(Table1[[#This Row],[Experience(Years)]]&lt;5, "Junior", I533&lt;=12, "Mid-Level", I533&lt;=20, "Senior", I533&lt;=30, "Super Senior", TRUE, "Expert")</f>
        <v>Super Senior</v>
      </c>
      <c r="K533" s="7">
        <v>20</v>
      </c>
      <c r="L533" s="7">
        <f>Table1[[#This Row],[Hourly Rate]]*1000</f>
        <v>20000</v>
      </c>
      <c r="M533" s="7" t="str">
        <f t="shared" si="8"/>
        <v>Budget</v>
      </c>
      <c r="N533" s="2">
        <f>IF(ISNUMBER(#REF!),#REF!, _xlfn.IFS( I533&gt;=30, 5, I533&gt;=25, 4.8, I533&gt;=15, 4, I533&gt;=10, 3.8, I533&gt;=5, 3, I533&gt;=2, 2.5, I533&gt;=0, 1.8, TRUE, 1.3))</f>
        <v>4.8</v>
      </c>
      <c r="O533" s="2" t="s">
        <v>2052</v>
      </c>
      <c r="P533" s="10">
        <v>0.88</v>
      </c>
      <c r="Q533" s="10" t="str">
        <f>_xlfn.IFS(Table1[[#This Row],[Rating]]&gt;=4, "Top Performer", Table1[[#This Row],[Rating]]&gt;=3, "Average", TRUE, "Needs Imporovement")</f>
        <v>Top Performer</v>
      </c>
    </row>
    <row r="534" spans="1:17" x14ac:dyDescent="0.3">
      <c r="A534" s="2" t="s">
        <v>1110</v>
      </c>
      <c r="B534" s="2" t="s">
        <v>1111</v>
      </c>
      <c r="C534" s="2" t="s">
        <v>68</v>
      </c>
      <c r="D534" s="2">
        <v>22</v>
      </c>
      <c r="E534" s="2" t="str">
        <f>_xlfn.IFS(Table1[[#This Row],[Age]]&lt;30, "18-29", D534&lt;=45,"30-45", D534&lt;=55, "46-55", TRUE, "55+")</f>
        <v>18-29</v>
      </c>
      <c r="F534" s="2" t="s">
        <v>64</v>
      </c>
      <c r="G534" s="2" t="s">
        <v>65</v>
      </c>
      <c r="H534" s="2" t="s">
        <v>24</v>
      </c>
      <c r="I534" s="5">
        <v>0</v>
      </c>
      <c r="J534" s="5" t="str">
        <f>_xlfn.IFS(Table1[[#This Row],[Experience(Years)]]&lt;5, "Junior", I534&lt;=12, "Mid-Level", I534&lt;=20, "Senior", I534&lt;=30, "Super Senior", TRUE, "Expert")</f>
        <v>Junior</v>
      </c>
      <c r="K534" s="7">
        <v>20</v>
      </c>
      <c r="L534" s="7">
        <f>Table1[[#This Row],[Hourly Rate]]*1000</f>
        <v>20000</v>
      </c>
      <c r="M534" s="7" t="str">
        <f t="shared" si="8"/>
        <v>Budget</v>
      </c>
      <c r="N534" s="2">
        <f>IF(ISNUMBER(#REF!),#REF!, _xlfn.IFS( I534&gt;=30, 5, I534&gt;=25, 4.8, I534&gt;=15, 4, I534&gt;=10, 3.8, I534&gt;=5, 3, I534&gt;=2, 2.5, I534&gt;=0, 1.8, TRUE, 1.3))</f>
        <v>1.8</v>
      </c>
      <c r="O534" s="2" t="s">
        <v>2052</v>
      </c>
      <c r="P534" s="10">
        <v>0.3</v>
      </c>
      <c r="Q534" s="10" t="str">
        <f>_xlfn.IFS(Table1[[#This Row],[Rating]]&gt;=4, "Top Performer", Table1[[#This Row],[Rating]]&gt;=3, "Average", TRUE, "Needs Imporovement")</f>
        <v>Needs Imporovement</v>
      </c>
    </row>
    <row r="535" spans="1:17" x14ac:dyDescent="0.3">
      <c r="A535" s="2" t="s">
        <v>1112</v>
      </c>
      <c r="B535" s="2" t="s">
        <v>1113</v>
      </c>
      <c r="C535" s="2" t="s">
        <v>49</v>
      </c>
      <c r="D535" s="2">
        <v>41</v>
      </c>
      <c r="E535" s="2" t="str">
        <f>_xlfn.IFS(Table1[[#This Row],[Age]]&lt;30, "18-29", D535&lt;=45,"30-45", D535&lt;=55, "46-55", TRUE, "55+")</f>
        <v>30-45</v>
      </c>
      <c r="F535" s="2" t="s">
        <v>12</v>
      </c>
      <c r="G535" s="2" t="s">
        <v>13</v>
      </c>
      <c r="H535" s="2" t="s">
        <v>17</v>
      </c>
      <c r="I535" s="5">
        <v>14</v>
      </c>
      <c r="J535" s="5" t="str">
        <f>_xlfn.IFS(Table1[[#This Row],[Experience(Years)]]&lt;5, "Junior", I535&lt;=12, "Mid-Level", I535&lt;=20, "Senior", I535&lt;=30, "Super Senior", TRUE, "Expert")</f>
        <v>Senior</v>
      </c>
      <c r="K535" s="7">
        <v>40</v>
      </c>
      <c r="L535" s="7">
        <f>Table1[[#This Row],[Hourly Rate]]*1000</f>
        <v>40000</v>
      </c>
      <c r="M535" s="7" t="str">
        <f t="shared" si="8"/>
        <v>Standard</v>
      </c>
      <c r="N535" s="2">
        <f>IF(ISNUMBER(#REF!),#REF!, _xlfn.IFS( I535&gt;=30, 5, I535&gt;=25, 4.8, I535&gt;=15, 4, I535&gt;=10, 3.8, I535&gt;=5, 3, I535&gt;=2, 2.5, I535&gt;=0, 1.8, TRUE, 1.3))</f>
        <v>3.8</v>
      </c>
      <c r="O535" s="2" t="s">
        <v>2053</v>
      </c>
      <c r="P535" s="10">
        <v>0.73</v>
      </c>
      <c r="Q535" s="10" t="str">
        <f>_xlfn.IFS(Table1[[#This Row],[Rating]]&gt;=4, "Top Performer", Table1[[#This Row],[Rating]]&gt;=3, "Average", TRUE, "Needs Imporovement")</f>
        <v>Average</v>
      </c>
    </row>
    <row r="536" spans="1:17" x14ac:dyDescent="0.3">
      <c r="A536" s="2" t="s">
        <v>1114</v>
      </c>
      <c r="B536" s="2" t="s">
        <v>1115</v>
      </c>
      <c r="C536" s="2" t="s">
        <v>68</v>
      </c>
      <c r="D536" s="2">
        <v>38</v>
      </c>
      <c r="E536" s="2" t="str">
        <f>_xlfn.IFS(Table1[[#This Row],[Age]]&lt;30, "18-29", D536&lt;=45,"30-45", D536&lt;=55, "46-55", TRUE, "55+")</f>
        <v>30-45</v>
      </c>
      <c r="F536" s="2" t="s">
        <v>34</v>
      </c>
      <c r="G536" s="2" t="s">
        <v>8</v>
      </c>
      <c r="H536" s="2" t="s">
        <v>14</v>
      </c>
      <c r="I536" s="5">
        <v>15</v>
      </c>
      <c r="J536" s="5" t="str">
        <f>_xlfn.IFS(Table1[[#This Row],[Experience(Years)]]&lt;5, "Junior", I536&lt;=12, "Mid-Level", I536&lt;=20, "Senior", I536&lt;=30, "Super Senior", TRUE, "Expert")</f>
        <v>Senior</v>
      </c>
      <c r="K536" s="7">
        <v>50</v>
      </c>
      <c r="L536" s="7">
        <f>Table1[[#This Row],[Hourly Rate]]*1000</f>
        <v>50000</v>
      </c>
      <c r="M536" s="7" t="str">
        <f t="shared" si="8"/>
        <v>Standard</v>
      </c>
      <c r="N536" s="2">
        <f>IF(ISNUMBER(#REF!),#REF!, _xlfn.IFS( I536&gt;=30, 5, I536&gt;=25, 4.8, I536&gt;=15, 4, I536&gt;=10, 3.8, I536&gt;=5, 3, I536&gt;=2, 2.5, I536&gt;=0, 1.8, TRUE, 1.3))</f>
        <v>4</v>
      </c>
      <c r="O536" s="2" t="s">
        <v>2052</v>
      </c>
      <c r="P536" s="10">
        <v>0.88</v>
      </c>
      <c r="Q536" s="10" t="str">
        <f>_xlfn.IFS(Table1[[#This Row],[Rating]]&gt;=4, "Top Performer", Table1[[#This Row],[Rating]]&gt;=3, "Average", TRUE, "Needs Imporovement")</f>
        <v>Top Performer</v>
      </c>
    </row>
    <row r="537" spans="1:17" x14ac:dyDescent="0.3">
      <c r="A537" s="2" t="s">
        <v>1116</v>
      </c>
      <c r="B537" s="2" t="s">
        <v>1117</v>
      </c>
      <c r="C537" s="2" t="s">
        <v>49</v>
      </c>
      <c r="D537" s="2">
        <v>31</v>
      </c>
      <c r="E537" s="2" t="str">
        <f>_xlfn.IFS(Table1[[#This Row],[Age]]&lt;30, "18-29", D537&lt;=45,"30-45", D537&lt;=55, "46-55", TRUE, "55+")</f>
        <v>30-45</v>
      </c>
      <c r="F537" s="2" t="s">
        <v>121</v>
      </c>
      <c r="G537" s="2" t="s">
        <v>122</v>
      </c>
      <c r="H537" s="2" t="s">
        <v>46</v>
      </c>
      <c r="I537" s="5">
        <v>9</v>
      </c>
      <c r="J537" s="5" t="str">
        <f>_xlfn.IFS(Table1[[#This Row],[Experience(Years)]]&lt;5, "Junior", I537&lt;=12, "Mid-Level", I537&lt;=20, "Senior", I537&lt;=30, "Super Senior", TRUE, "Expert")</f>
        <v>Mid-Level</v>
      </c>
      <c r="K537" s="7">
        <v>90</v>
      </c>
      <c r="L537" s="7">
        <f>Table1[[#This Row],[Hourly Rate]]*1000</f>
        <v>90000</v>
      </c>
      <c r="M537" s="7" t="str">
        <f t="shared" si="8"/>
        <v>Premium</v>
      </c>
      <c r="N537" s="2">
        <f>IF(ISNUMBER(#REF!),#REF!, _xlfn.IFS( I537&gt;=30, 5, I537&gt;=25, 4.8, I537&gt;=15, 4, I537&gt;=10, 3.8, I537&gt;=5, 3, I537&gt;=2, 2.5, I537&gt;=0, 1.8, TRUE, 1.3))</f>
        <v>3</v>
      </c>
      <c r="O537" s="2" t="s">
        <v>2052</v>
      </c>
      <c r="P537" s="10">
        <v>0.91</v>
      </c>
      <c r="Q537" s="10" t="str">
        <f>_xlfn.IFS(Table1[[#This Row],[Rating]]&gt;=4, "Top Performer", Table1[[#This Row],[Rating]]&gt;=3, "Average", TRUE, "Needs Imporovement")</f>
        <v>Average</v>
      </c>
    </row>
    <row r="538" spans="1:17" x14ac:dyDescent="0.3">
      <c r="A538" s="2" t="s">
        <v>1118</v>
      </c>
      <c r="B538" s="2" t="s">
        <v>1119</v>
      </c>
      <c r="C538" s="2" t="s">
        <v>49</v>
      </c>
      <c r="D538" s="2">
        <v>30</v>
      </c>
      <c r="E538" s="2" t="str">
        <f>_xlfn.IFS(Table1[[#This Row],[Age]]&lt;30, "18-29", D538&lt;=45,"30-45", D538&lt;=55, "46-55", TRUE, "55+")</f>
        <v>30-45</v>
      </c>
      <c r="F538" s="2" t="s">
        <v>141</v>
      </c>
      <c r="G538" s="2" t="s">
        <v>142</v>
      </c>
      <c r="H538" s="2" t="s">
        <v>9</v>
      </c>
      <c r="I538" s="5">
        <v>9</v>
      </c>
      <c r="J538" s="5" t="str">
        <f>_xlfn.IFS(Table1[[#This Row],[Experience(Years)]]&lt;5, "Junior", I538&lt;=12, "Mid-Level", I538&lt;=20, "Senior", I538&lt;=30, "Super Senior", TRUE, "Expert")</f>
        <v>Mid-Level</v>
      </c>
      <c r="K538" s="7">
        <v>30</v>
      </c>
      <c r="L538" s="7">
        <f>Table1[[#This Row],[Hourly Rate]]*1000</f>
        <v>30000</v>
      </c>
      <c r="M538" s="7" t="str">
        <f t="shared" si="8"/>
        <v>Budget</v>
      </c>
      <c r="N538" s="2">
        <f>IF(ISNUMBER(#REF!),#REF!, _xlfn.IFS( I538&gt;=30, 5, I538&gt;=25, 4.8, I538&gt;=15, 4, I538&gt;=10, 3.8, I538&gt;=5, 3, I538&gt;=2, 2.5, I538&gt;=0, 1.8, TRUE, 1.3))</f>
        <v>3</v>
      </c>
      <c r="O538" s="2" t="s">
        <v>2052</v>
      </c>
      <c r="P538" s="10">
        <v>0.65</v>
      </c>
      <c r="Q538" s="10" t="str">
        <f>_xlfn.IFS(Table1[[#This Row],[Rating]]&gt;=4, "Top Performer", Table1[[#This Row],[Rating]]&gt;=3, "Average", TRUE, "Needs Imporovement")</f>
        <v>Average</v>
      </c>
    </row>
    <row r="539" spans="1:17" x14ac:dyDescent="0.3">
      <c r="A539" s="2" t="s">
        <v>1120</v>
      </c>
      <c r="B539" s="2" t="s">
        <v>1121</v>
      </c>
      <c r="C539" s="2" t="s">
        <v>68</v>
      </c>
      <c r="D539" s="2">
        <v>51</v>
      </c>
      <c r="E539" s="2" t="str">
        <f>_xlfn.IFS(Table1[[#This Row],[Age]]&lt;30, "18-29", D539&lt;=45,"30-45", D539&lt;=55, "46-55", TRUE, "55+")</f>
        <v>46-55</v>
      </c>
      <c r="F539" s="2" t="s">
        <v>145</v>
      </c>
      <c r="G539" s="2" t="s">
        <v>45</v>
      </c>
      <c r="H539" s="2" t="s">
        <v>46</v>
      </c>
      <c r="I539" s="5">
        <v>22</v>
      </c>
      <c r="J539" s="5" t="str">
        <f>_xlfn.IFS(Table1[[#This Row],[Experience(Years)]]&lt;5, "Junior", I539&lt;=12, "Mid-Level", I539&lt;=20, "Senior", I539&lt;=30, "Super Senior", TRUE, "Expert")</f>
        <v>Super Senior</v>
      </c>
      <c r="K539" s="7">
        <v>20</v>
      </c>
      <c r="L539" s="7">
        <f>Table1[[#This Row],[Hourly Rate]]*1000</f>
        <v>20000</v>
      </c>
      <c r="M539" s="7" t="str">
        <f t="shared" si="8"/>
        <v>Budget</v>
      </c>
      <c r="N539" s="2">
        <f>IF(ISNUMBER(#REF!),#REF!, _xlfn.IFS( I539&gt;=30, 5, I539&gt;=25, 4.8, I539&gt;=15, 4, I539&gt;=10, 3.8, I539&gt;=5, 3, I539&gt;=2, 2.5, I539&gt;=0, 1.8, TRUE, 1.3))</f>
        <v>4</v>
      </c>
      <c r="O539" s="2" t="s">
        <v>2053</v>
      </c>
      <c r="P539" s="10">
        <v>0.9</v>
      </c>
      <c r="Q539" s="10" t="str">
        <f>_xlfn.IFS(Table1[[#This Row],[Rating]]&gt;=4, "Top Performer", Table1[[#This Row],[Rating]]&gt;=3, "Average", TRUE, "Needs Imporovement")</f>
        <v>Top Performer</v>
      </c>
    </row>
    <row r="540" spans="1:17" x14ac:dyDescent="0.3">
      <c r="A540" s="2" t="s">
        <v>1122</v>
      </c>
      <c r="B540" s="2" t="s">
        <v>1123</v>
      </c>
      <c r="C540" s="2" t="s">
        <v>49</v>
      </c>
      <c r="D540" s="2">
        <v>21</v>
      </c>
      <c r="E540" s="2" t="str">
        <f>_xlfn.IFS(Table1[[#This Row],[Age]]&lt;30, "18-29", D540&lt;=45,"30-45", D540&lt;=55, "46-55", TRUE, "55+")</f>
        <v>18-29</v>
      </c>
      <c r="F540" s="2" t="s">
        <v>12</v>
      </c>
      <c r="G540" s="2" t="s">
        <v>13</v>
      </c>
      <c r="H540" s="2" t="s">
        <v>61</v>
      </c>
      <c r="I540" s="5">
        <v>0</v>
      </c>
      <c r="J540" s="5" t="str">
        <f>_xlfn.IFS(Table1[[#This Row],[Experience(Years)]]&lt;5, "Junior", I540&lt;=12, "Mid-Level", I540&lt;=20, "Senior", I540&lt;=30, "Super Senior", TRUE, "Expert")</f>
        <v>Junior</v>
      </c>
      <c r="K540" s="7">
        <v>20</v>
      </c>
      <c r="L540" s="7">
        <f>Table1[[#This Row],[Hourly Rate]]*1000</f>
        <v>20000</v>
      </c>
      <c r="M540" s="7" t="str">
        <f t="shared" si="8"/>
        <v>Budget</v>
      </c>
      <c r="N540" s="2">
        <f>IF(ISNUMBER(#REF!),#REF!, _xlfn.IFS( I540&gt;=30, 5, I540&gt;=25, 4.8, I540&gt;=15, 4, I540&gt;=10, 3.8, I540&gt;=5, 3, I540&gt;=2, 2.5, I540&gt;=0, 1.8, TRUE, 1.3))</f>
        <v>1.8</v>
      </c>
      <c r="O540" s="2" t="s">
        <v>2052</v>
      </c>
      <c r="P540" s="10">
        <v>0.72</v>
      </c>
      <c r="Q540" s="10" t="str">
        <f>_xlfn.IFS(Table1[[#This Row],[Rating]]&gt;=4, "Top Performer", Table1[[#This Row],[Rating]]&gt;=3, "Average", TRUE, "Needs Imporovement")</f>
        <v>Needs Imporovement</v>
      </c>
    </row>
    <row r="541" spans="1:17" x14ac:dyDescent="0.3">
      <c r="A541" s="2" t="s">
        <v>1124</v>
      </c>
      <c r="B541" s="2" t="s">
        <v>1125</v>
      </c>
      <c r="C541" s="2" t="s">
        <v>49</v>
      </c>
      <c r="D541" s="2">
        <v>20</v>
      </c>
      <c r="E541" s="2" t="str">
        <f>_xlfn.IFS(Table1[[#This Row],[Age]]&lt;30, "18-29", D541&lt;=45,"30-45", D541&lt;=55, "46-55", TRUE, "55+")</f>
        <v>18-29</v>
      </c>
      <c r="F541" s="2" t="s">
        <v>2</v>
      </c>
      <c r="G541" s="2" t="s">
        <v>3</v>
      </c>
      <c r="H541" s="2" t="s">
        <v>61</v>
      </c>
      <c r="I541" s="5">
        <v>1</v>
      </c>
      <c r="J541" s="5" t="str">
        <f>_xlfn.IFS(Table1[[#This Row],[Experience(Years)]]&lt;5, "Junior", I541&lt;=12, "Mid-Level", I541&lt;=20, "Senior", I541&lt;=30, "Super Senior", TRUE, "Expert")</f>
        <v>Junior</v>
      </c>
      <c r="K541" s="7">
        <v>40</v>
      </c>
      <c r="L541" s="7">
        <f>Table1[[#This Row],[Hourly Rate]]*1000</f>
        <v>40000</v>
      </c>
      <c r="M541" s="7" t="str">
        <f t="shared" si="8"/>
        <v>Standard</v>
      </c>
      <c r="N541" s="2">
        <f>IF(ISNUMBER(#REF!),#REF!, _xlfn.IFS( I541&gt;=30, 5, I541&gt;=25, 4.8, I541&gt;=15, 4, I541&gt;=10, 3.8, I541&gt;=5, 3, I541&gt;=2, 2.5, I541&gt;=0, 1.8, TRUE, 1.3))</f>
        <v>1.8</v>
      </c>
      <c r="O541" s="2" t="s">
        <v>2053</v>
      </c>
      <c r="P541" s="10">
        <v>0.72</v>
      </c>
      <c r="Q541" s="10" t="str">
        <f>_xlfn.IFS(Table1[[#This Row],[Rating]]&gt;=4, "Top Performer", Table1[[#This Row],[Rating]]&gt;=3, "Average", TRUE, "Needs Imporovement")</f>
        <v>Needs Imporovement</v>
      </c>
    </row>
    <row r="542" spans="1:17" x14ac:dyDescent="0.3">
      <c r="A542" s="2" t="s">
        <v>1126</v>
      </c>
      <c r="B542" s="2" t="s">
        <v>1127</v>
      </c>
      <c r="C542" s="2" t="s">
        <v>68</v>
      </c>
      <c r="D542" s="2">
        <v>30</v>
      </c>
      <c r="E542" s="2" t="str">
        <f>_xlfn.IFS(Table1[[#This Row],[Age]]&lt;30, "18-29", D542&lt;=45,"30-45", D542&lt;=55, "46-55", TRUE, "55+")</f>
        <v>30-45</v>
      </c>
      <c r="F542" s="2" t="s">
        <v>57</v>
      </c>
      <c r="G542" s="2" t="s">
        <v>58</v>
      </c>
      <c r="H542" s="2" t="s">
        <v>4</v>
      </c>
      <c r="I542" s="5">
        <v>5</v>
      </c>
      <c r="J542" s="5" t="str">
        <f>_xlfn.IFS(Table1[[#This Row],[Experience(Years)]]&lt;5, "Junior", I542&lt;=12, "Mid-Level", I542&lt;=20, "Senior", I542&lt;=30, "Super Senior", TRUE, "Expert")</f>
        <v>Mid-Level</v>
      </c>
      <c r="K542" s="7">
        <v>30</v>
      </c>
      <c r="L542" s="7">
        <f>Table1[[#This Row],[Hourly Rate]]*1000</f>
        <v>30000</v>
      </c>
      <c r="M542" s="7" t="str">
        <f t="shared" si="8"/>
        <v>Budget</v>
      </c>
      <c r="N542" s="2">
        <f>IF(ISNUMBER(#REF!),#REF!, _xlfn.IFS( I542&gt;=30, 5, I542&gt;=25, 4.8, I542&gt;=15, 4, I542&gt;=10, 3.8, I542&gt;=5, 3, I542&gt;=2, 2.5, I542&gt;=0, 1.8, TRUE, 1.3))</f>
        <v>3</v>
      </c>
      <c r="O542" s="2" t="s">
        <v>2052</v>
      </c>
      <c r="P542" s="10">
        <v>0.6</v>
      </c>
      <c r="Q542" s="10" t="str">
        <f>_xlfn.IFS(Table1[[#This Row],[Rating]]&gt;=4, "Top Performer", Table1[[#This Row],[Rating]]&gt;=3, "Average", TRUE, "Needs Imporovement")</f>
        <v>Average</v>
      </c>
    </row>
    <row r="543" spans="1:17" x14ac:dyDescent="0.3">
      <c r="A543" s="2" t="s">
        <v>1128</v>
      </c>
      <c r="B543" s="2" t="s">
        <v>1129</v>
      </c>
      <c r="C543" s="2" t="s">
        <v>68</v>
      </c>
      <c r="D543" s="2">
        <v>41</v>
      </c>
      <c r="E543" s="2" t="str">
        <f>_xlfn.IFS(Table1[[#This Row],[Age]]&lt;30, "18-29", D543&lt;=45,"30-45", D543&lt;=55, "46-55", TRUE, "55+")</f>
        <v>30-45</v>
      </c>
      <c r="F543" s="2" t="s">
        <v>141</v>
      </c>
      <c r="G543" s="2" t="s">
        <v>142</v>
      </c>
      <c r="H543" s="2" t="s">
        <v>29</v>
      </c>
      <c r="I543" s="5">
        <v>0</v>
      </c>
      <c r="J543" s="5" t="str">
        <f>_xlfn.IFS(Table1[[#This Row],[Experience(Years)]]&lt;5, "Junior", I543&lt;=12, "Mid-Level", I543&lt;=20, "Senior", I543&lt;=30, "Super Senior", TRUE, "Expert")</f>
        <v>Junior</v>
      </c>
      <c r="K543" s="7">
        <v>40</v>
      </c>
      <c r="L543" s="7">
        <f>Table1[[#This Row],[Hourly Rate]]*1000</f>
        <v>40000</v>
      </c>
      <c r="M543" s="7" t="str">
        <f t="shared" si="8"/>
        <v>Standard</v>
      </c>
      <c r="N543" s="2">
        <f>IF(ISNUMBER(#REF!),#REF!, _xlfn.IFS( I543&gt;=30, 5, I543&gt;=25, 4.8, I543&gt;=15, 4, I543&gt;=10, 3.8, I543&gt;=5, 3, I543&gt;=2, 2.5, I543&gt;=0, 1.8, TRUE, 1.3))</f>
        <v>1.8</v>
      </c>
      <c r="O543" s="2" t="s">
        <v>2052</v>
      </c>
      <c r="P543" s="10">
        <v>0.68</v>
      </c>
      <c r="Q543" s="10" t="str">
        <f>_xlfn.IFS(Table1[[#This Row],[Rating]]&gt;=4, "Top Performer", Table1[[#This Row],[Rating]]&gt;=3, "Average", TRUE, "Needs Imporovement")</f>
        <v>Needs Imporovement</v>
      </c>
    </row>
    <row r="544" spans="1:17" x14ac:dyDescent="0.3">
      <c r="A544" s="2" t="s">
        <v>1130</v>
      </c>
      <c r="B544" s="2" t="s">
        <v>1131</v>
      </c>
      <c r="C544" s="2" t="s">
        <v>68</v>
      </c>
      <c r="D544" s="2">
        <v>22</v>
      </c>
      <c r="E544" s="2" t="str">
        <f>_xlfn.IFS(Table1[[#This Row],[Age]]&lt;30, "18-29", D544&lt;=45,"30-45", D544&lt;=55, "46-55", TRUE, "55+")</f>
        <v>18-29</v>
      </c>
      <c r="F544" s="2" t="s">
        <v>156</v>
      </c>
      <c r="G544" s="2" t="s">
        <v>45</v>
      </c>
      <c r="H544" s="2" t="s">
        <v>4</v>
      </c>
      <c r="I544" s="5">
        <v>0</v>
      </c>
      <c r="J544" s="5" t="str">
        <f>_xlfn.IFS(Table1[[#This Row],[Experience(Years)]]&lt;5, "Junior", I544&lt;=12, "Mid-Level", I544&lt;=20, "Senior", I544&lt;=30, "Super Senior", TRUE, "Expert")</f>
        <v>Junior</v>
      </c>
      <c r="K544" s="7">
        <v>30</v>
      </c>
      <c r="L544" s="7">
        <f>Table1[[#This Row],[Hourly Rate]]*1000</f>
        <v>30000</v>
      </c>
      <c r="M544" s="7" t="str">
        <f t="shared" si="8"/>
        <v>Budget</v>
      </c>
      <c r="N544" s="2">
        <f>IF(ISNUMBER(#REF!),#REF!, _xlfn.IFS( I544&gt;=30, 5, I544&gt;=25, 4.8, I544&gt;=15, 4, I544&gt;=10, 3.8, I544&gt;=5, 3, I544&gt;=2, 2.5, I544&gt;=0, 1.8, TRUE, 1.3))</f>
        <v>1.8</v>
      </c>
      <c r="O544" s="2" t="s">
        <v>2052</v>
      </c>
      <c r="P544" s="10">
        <v>0.87</v>
      </c>
      <c r="Q544" s="10" t="str">
        <f>_xlfn.IFS(Table1[[#This Row],[Rating]]&gt;=4, "Top Performer", Table1[[#This Row],[Rating]]&gt;=3, "Average", TRUE, "Needs Imporovement")</f>
        <v>Needs Imporovement</v>
      </c>
    </row>
    <row r="545" spans="1:17" x14ac:dyDescent="0.3">
      <c r="A545" s="2" t="s">
        <v>1132</v>
      </c>
      <c r="B545" s="2" t="s">
        <v>1133</v>
      </c>
      <c r="C545" s="2" t="s">
        <v>68</v>
      </c>
      <c r="D545" s="2">
        <v>45</v>
      </c>
      <c r="E545" s="2" t="str">
        <f>_xlfn.IFS(Table1[[#This Row],[Age]]&lt;30, "18-29", D545&lt;=45,"30-45", D545&lt;=55, "46-55", TRUE, "55+")</f>
        <v>30-45</v>
      </c>
      <c r="F545" s="2" t="s">
        <v>145</v>
      </c>
      <c r="G545" s="2" t="s">
        <v>45</v>
      </c>
      <c r="H545" s="2" t="s">
        <v>50</v>
      </c>
      <c r="I545" s="5">
        <v>19</v>
      </c>
      <c r="J545" s="5" t="str">
        <f>_xlfn.IFS(Table1[[#This Row],[Experience(Years)]]&lt;5, "Junior", I545&lt;=12, "Mid-Level", I545&lt;=20, "Senior", I545&lt;=30, "Super Senior", TRUE, "Expert")</f>
        <v>Senior</v>
      </c>
      <c r="K545" s="7">
        <v>75</v>
      </c>
      <c r="L545" s="7">
        <f>Table1[[#This Row],[Hourly Rate]]*1000</f>
        <v>75000</v>
      </c>
      <c r="M545" s="7" t="str">
        <f t="shared" si="8"/>
        <v>Standard</v>
      </c>
      <c r="N545" s="2">
        <f>IF(ISNUMBER(#REF!),#REF!, _xlfn.IFS( I545&gt;=30, 5, I545&gt;=25, 4.8, I545&gt;=15, 4, I545&gt;=10, 3.8, I545&gt;=5, 3, I545&gt;=2, 2.5, I545&gt;=0, 1.8, TRUE, 1.3))</f>
        <v>4</v>
      </c>
      <c r="O545" s="2" t="s">
        <v>2052</v>
      </c>
      <c r="P545" s="10">
        <v>0.72</v>
      </c>
      <c r="Q545" s="10" t="str">
        <f>_xlfn.IFS(Table1[[#This Row],[Rating]]&gt;=4, "Top Performer", Table1[[#This Row],[Rating]]&gt;=3, "Average", TRUE, "Needs Imporovement")</f>
        <v>Top Performer</v>
      </c>
    </row>
    <row r="546" spans="1:17" x14ac:dyDescent="0.3">
      <c r="A546" s="2" t="s">
        <v>1134</v>
      </c>
      <c r="B546" s="2" t="s">
        <v>1135</v>
      </c>
      <c r="C546" s="2" t="s">
        <v>49</v>
      </c>
      <c r="D546" s="2">
        <v>22</v>
      </c>
      <c r="E546" s="2" t="str">
        <f>_xlfn.IFS(Table1[[#This Row],[Age]]&lt;30, "18-29", D546&lt;=45,"30-45", D546&lt;=55, "46-55", TRUE, "55+")</f>
        <v>18-29</v>
      </c>
      <c r="F546" s="2" t="s">
        <v>7</v>
      </c>
      <c r="G546" s="2" t="s">
        <v>8</v>
      </c>
      <c r="H546" s="2" t="s">
        <v>29</v>
      </c>
      <c r="I546" s="5">
        <v>2</v>
      </c>
      <c r="J546" s="5" t="str">
        <f>_xlfn.IFS(Table1[[#This Row],[Experience(Years)]]&lt;5, "Junior", I546&lt;=12, "Mid-Level", I546&lt;=20, "Senior", I546&lt;=30, "Super Senior", TRUE, "Expert")</f>
        <v>Junior</v>
      </c>
      <c r="K546" s="7">
        <v>40</v>
      </c>
      <c r="L546" s="7">
        <f>Table1[[#This Row],[Hourly Rate]]*1000</f>
        <v>40000</v>
      </c>
      <c r="M546" s="7" t="str">
        <f t="shared" si="8"/>
        <v>Standard</v>
      </c>
      <c r="N546" s="2">
        <f>IF(ISNUMBER(#REF!),#REF!, _xlfn.IFS( I546&gt;=30, 5, I546&gt;=25, 4.8, I546&gt;=15, 4, I546&gt;=10, 3.8, I546&gt;=5, 3, I546&gt;=2, 2.5, I546&gt;=0, 1.8, TRUE, 1.3))</f>
        <v>2.5</v>
      </c>
      <c r="O546" s="2" t="s">
        <v>2052</v>
      </c>
      <c r="P546" s="10">
        <v>0.76</v>
      </c>
      <c r="Q546" s="10" t="str">
        <f>_xlfn.IFS(Table1[[#This Row],[Rating]]&gt;=4, "Top Performer", Table1[[#This Row],[Rating]]&gt;=3, "Average", TRUE, "Needs Imporovement")</f>
        <v>Needs Imporovement</v>
      </c>
    </row>
    <row r="547" spans="1:17" x14ac:dyDescent="0.3">
      <c r="A547" s="2" t="s">
        <v>1136</v>
      </c>
      <c r="B547" s="2" t="s">
        <v>1137</v>
      </c>
      <c r="C547" s="2" t="s">
        <v>49</v>
      </c>
      <c r="D547" s="2">
        <v>20</v>
      </c>
      <c r="E547" s="2" t="str">
        <f>_xlfn.IFS(Table1[[#This Row],[Age]]&lt;30, "18-29", D547&lt;=45,"30-45", D547&lt;=55, "46-55", TRUE, "55+")</f>
        <v>18-29</v>
      </c>
      <c r="F547" s="2" t="s">
        <v>37</v>
      </c>
      <c r="G547" s="2" t="s">
        <v>38</v>
      </c>
      <c r="H547" s="2" t="s">
        <v>9</v>
      </c>
      <c r="I547" s="5">
        <v>0</v>
      </c>
      <c r="J547" s="5" t="str">
        <f>_xlfn.IFS(Table1[[#This Row],[Experience(Years)]]&lt;5, "Junior", I547&lt;=12, "Mid-Level", I547&lt;=20, "Senior", I547&lt;=30, "Super Senior", TRUE, "Expert")</f>
        <v>Junior</v>
      </c>
      <c r="K547" s="7">
        <v>100</v>
      </c>
      <c r="L547" s="7">
        <f>Table1[[#This Row],[Hourly Rate]]*1000</f>
        <v>100000</v>
      </c>
      <c r="M547" s="7" t="str">
        <f t="shared" si="8"/>
        <v>Premium</v>
      </c>
      <c r="N547" s="2">
        <f>IF(ISNUMBER(#REF!),#REF!, _xlfn.IFS( I547&gt;=30, 5, I547&gt;=25, 4.8, I547&gt;=15, 4, I547&gt;=10, 3.8, I547&gt;=5, 3, I547&gt;=2, 2.5, I547&gt;=0, 1.8, TRUE, 1.3))</f>
        <v>1.8</v>
      </c>
      <c r="O547" s="2" t="s">
        <v>2052</v>
      </c>
      <c r="P547" s="10">
        <v>0.63</v>
      </c>
      <c r="Q547" s="10" t="str">
        <f>_xlfn.IFS(Table1[[#This Row],[Rating]]&gt;=4, "Top Performer", Table1[[#This Row],[Rating]]&gt;=3, "Average", TRUE, "Needs Imporovement")</f>
        <v>Needs Imporovement</v>
      </c>
    </row>
    <row r="548" spans="1:17" x14ac:dyDescent="0.3">
      <c r="A548" s="2" t="s">
        <v>1138</v>
      </c>
      <c r="B548" s="2" t="s">
        <v>1139</v>
      </c>
      <c r="C548" s="2" t="s">
        <v>49</v>
      </c>
      <c r="D548" s="2">
        <v>20</v>
      </c>
      <c r="E548" s="2" t="str">
        <f>_xlfn.IFS(Table1[[#This Row],[Age]]&lt;30, "18-29", D548&lt;=45,"30-45", D548&lt;=55, "46-55", TRUE, "55+")</f>
        <v>18-29</v>
      </c>
      <c r="F548" s="2" t="s">
        <v>96</v>
      </c>
      <c r="G548" s="2" t="s">
        <v>8</v>
      </c>
      <c r="H548" s="2" t="s">
        <v>29</v>
      </c>
      <c r="I548" s="5">
        <v>2</v>
      </c>
      <c r="J548" s="5" t="str">
        <f>_xlfn.IFS(Table1[[#This Row],[Experience(Years)]]&lt;5, "Junior", I548&lt;=12, "Mid-Level", I548&lt;=20, "Senior", I548&lt;=30, "Super Senior", TRUE, "Expert")</f>
        <v>Junior</v>
      </c>
      <c r="K548" s="7">
        <v>40</v>
      </c>
      <c r="L548" s="7">
        <f>Table1[[#This Row],[Hourly Rate]]*1000</f>
        <v>40000</v>
      </c>
      <c r="M548" s="7" t="str">
        <f t="shared" si="8"/>
        <v>Standard</v>
      </c>
      <c r="N548" s="2">
        <f>IF(ISNUMBER(#REF!),#REF!, _xlfn.IFS( I548&gt;=30, 5, I548&gt;=25, 4.8, I548&gt;=15, 4, I548&gt;=10, 3.8, I548&gt;=5, 3, I548&gt;=2, 2.5, I548&gt;=0, 1.8, TRUE, 1.3))</f>
        <v>2.5</v>
      </c>
      <c r="O548" s="2" t="s">
        <v>2053</v>
      </c>
      <c r="P548" s="10">
        <v>0.91</v>
      </c>
      <c r="Q548" s="10" t="str">
        <f>_xlfn.IFS(Table1[[#This Row],[Rating]]&gt;=4, "Top Performer", Table1[[#This Row],[Rating]]&gt;=3, "Average", TRUE, "Needs Imporovement")</f>
        <v>Needs Imporovement</v>
      </c>
    </row>
    <row r="549" spans="1:17" x14ac:dyDescent="0.3">
      <c r="A549" s="2" t="s">
        <v>1140</v>
      </c>
      <c r="B549" s="2" t="s">
        <v>1141</v>
      </c>
      <c r="C549" s="2" t="s">
        <v>68</v>
      </c>
      <c r="D549" s="2">
        <v>21</v>
      </c>
      <c r="E549" s="2" t="str">
        <f>_xlfn.IFS(Table1[[#This Row],[Age]]&lt;30, "18-29", D549&lt;=45,"30-45", D549&lt;=55, "46-55", TRUE, "55+")</f>
        <v>18-29</v>
      </c>
      <c r="F549" s="2" t="s">
        <v>41</v>
      </c>
      <c r="G549" s="2" t="s">
        <v>8</v>
      </c>
      <c r="H549" s="2" t="s">
        <v>24</v>
      </c>
      <c r="I549" s="5">
        <v>0</v>
      </c>
      <c r="J549" s="5" t="str">
        <f>_xlfn.IFS(Table1[[#This Row],[Experience(Years)]]&lt;5, "Junior", I549&lt;=12, "Mid-Level", I549&lt;=20, "Senior", I549&lt;=30, "Super Senior", TRUE, "Expert")</f>
        <v>Junior</v>
      </c>
      <c r="K549" s="7">
        <v>100</v>
      </c>
      <c r="L549" s="7">
        <f>Table1[[#This Row],[Hourly Rate]]*1000</f>
        <v>100000</v>
      </c>
      <c r="M549" s="7" t="str">
        <f t="shared" si="8"/>
        <v>Premium</v>
      </c>
      <c r="N549" s="2">
        <f>IF(ISNUMBER(#REF!),#REF!, _xlfn.IFS( I549&gt;=30, 5, I549&gt;=25, 4.8, I549&gt;=15, 4, I549&gt;=10, 3.8, I549&gt;=5, 3, I549&gt;=2, 2.5, I549&gt;=0, 1.8, TRUE, 1.3))</f>
        <v>1.8</v>
      </c>
      <c r="O549" s="2" t="s">
        <v>2052</v>
      </c>
      <c r="P549" s="10">
        <v>0.73</v>
      </c>
      <c r="Q549" s="10" t="str">
        <f>_xlfn.IFS(Table1[[#This Row],[Rating]]&gt;=4, "Top Performer", Table1[[#This Row],[Rating]]&gt;=3, "Average", TRUE, "Needs Imporovement")</f>
        <v>Needs Imporovement</v>
      </c>
    </row>
    <row r="550" spans="1:17" x14ac:dyDescent="0.3">
      <c r="A550" s="2" t="s">
        <v>1142</v>
      </c>
      <c r="B550" s="2" t="s">
        <v>1143</v>
      </c>
      <c r="C550" s="2" t="s">
        <v>68</v>
      </c>
      <c r="D550" s="2">
        <v>22</v>
      </c>
      <c r="E550" s="2" t="str">
        <f>_xlfn.IFS(Table1[[#This Row],[Age]]&lt;30, "18-29", D550&lt;=45,"30-45", D550&lt;=55, "46-55", TRUE, "55+")</f>
        <v>18-29</v>
      </c>
      <c r="F550" s="2" t="s">
        <v>22</v>
      </c>
      <c r="G550" s="2" t="s">
        <v>23</v>
      </c>
      <c r="H550" s="2" t="s">
        <v>50</v>
      </c>
      <c r="I550" s="5">
        <v>1</v>
      </c>
      <c r="J550" s="5" t="str">
        <f>_xlfn.IFS(Table1[[#This Row],[Experience(Years)]]&lt;5, "Junior", I550&lt;=12, "Mid-Level", I550&lt;=20, "Senior", I550&lt;=30, "Super Senior", TRUE, "Expert")</f>
        <v>Junior</v>
      </c>
      <c r="K550" s="7">
        <v>40</v>
      </c>
      <c r="L550" s="7">
        <f>Table1[[#This Row],[Hourly Rate]]*1000</f>
        <v>40000</v>
      </c>
      <c r="M550" s="7" t="str">
        <f t="shared" si="8"/>
        <v>Standard</v>
      </c>
      <c r="N550" s="2">
        <f>IF(ISNUMBER(#REF!),#REF!, _xlfn.IFS( I550&gt;=30, 5, I550&gt;=25, 4.8, I550&gt;=15, 4, I550&gt;=10, 3.8, I550&gt;=5, 3, I550&gt;=2, 2.5, I550&gt;=0, 1.8, TRUE, 1.3))</f>
        <v>1.8</v>
      </c>
      <c r="O550" s="2" t="s">
        <v>2052</v>
      </c>
      <c r="P550" s="10">
        <v>0.63</v>
      </c>
      <c r="Q550" s="10" t="str">
        <f>_xlfn.IFS(Table1[[#This Row],[Rating]]&gt;=4, "Top Performer", Table1[[#This Row],[Rating]]&gt;=3, "Average", TRUE, "Needs Imporovement")</f>
        <v>Needs Imporovement</v>
      </c>
    </row>
    <row r="551" spans="1:17" x14ac:dyDescent="0.3">
      <c r="A551" s="2" t="s">
        <v>1144</v>
      </c>
      <c r="B551" s="2" t="s">
        <v>1145</v>
      </c>
      <c r="C551" s="2" t="s">
        <v>49</v>
      </c>
      <c r="D551" s="2">
        <v>28</v>
      </c>
      <c r="E551" s="2" t="str">
        <f>_xlfn.IFS(Table1[[#This Row],[Age]]&lt;30, "18-29", D551&lt;=45,"30-45", D551&lt;=55, "46-55", TRUE, "55+")</f>
        <v>18-29</v>
      </c>
      <c r="F551" s="2" t="s">
        <v>41</v>
      </c>
      <c r="G551" s="2" t="s">
        <v>8</v>
      </c>
      <c r="H551" s="2" t="s">
        <v>61</v>
      </c>
      <c r="I551" s="5">
        <v>3</v>
      </c>
      <c r="J551" s="5" t="str">
        <f>_xlfn.IFS(Table1[[#This Row],[Experience(Years)]]&lt;5, "Junior", I551&lt;=12, "Mid-Level", I551&lt;=20, "Senior", I551&lt;=30, "Super Senior", TRUE, "Expert")</f>
        <v>Junior</v>
      </c>
      <c r="K551" s="7">
        <v>20</v>
      </c>
      <c r="L551" s="7">
        <f>Table1[[#This Row],[Hourly Rate]]*1000</f>
        <v>20000</v>
      </c>
      <c r="M551" s="7" t="str">
        <f t="shared" si="8"/>
        <v>Budget</v>
      </c>
      <c r="N551" s="2">
        <f>IF(ISNUMBER(#REF!),#REF!, _xlfn.IFS( I551&gt;=30, 5, I551&gt;=25, 4.8, I551&gt;=15, 4, I551&gt;=10, 3.8, I551&gt;=5, 3, I551&gt;=2, 2.5, I551&gt;=0, 1.8, TRUE, 1.3))</f>
        <v>2.5</v>
      </c>
      <c r="O551" s="2" t="s">
        <v>2053</v>
      </c>
      <c r="P551" s="10">
        <v>0.79</v>
      </c>
      <c r="Q551" s="10" t="str">
        <f>_xlfn.IFS(Table1[[#This Row],[Rating]]&gt;=4, "Top Performer", Table1[[#This Row],[Rating]]&gt;=3, "Average", TRUE, "Needs Imporovement")</f>
        <v>Needs Imporovement</v>
      </c>
    </row>
    <row r="552" spans="1:17" x14ac:dyDescent="0.3">
      <c r="A552" s="2" t="s">
        <v>1146</v>
      </c>
      <c r="B552" s="2" t="s">
        <v>1147</v>
      </c>
      <c r="C552" s="2" t="s">
        <v>49</v>
      </c>
      <c r="D552" s="2">
        <v>59</v>
      </c>
      <c r="E552" s="2" t="str">
        <f>_xlfn.IFS(Table1[[#This Row],[Age]]&lt;30, "18-29", D552&lt;=45,"30-45", D552&lt;=55, "46-55", TRUE, "55+")</f>
        <v>55+</v>
      </c>
      <c r="F552" s="2" t="s">
        <v>44</v>
      </c>
      <c r="G552" s="2" t="s">
        <v>45</v>
      </c>
      <c r="H552" s="2" t="s">
        <v>24</v>
      </c>
      <c r="I552" s="5">
        <v>8</v>
      </c>
      <c r="J552" s="5" t="str">
        <f>_xlfn.IFS(Table1[[#This Row],[Experience(Years)]]&lt;5, "Junior", I552&lt;=12, "Mid-Level", I552&lt;=20, "Senior", I552&lt;=30, "Super Senior", TRUE, "Expert")</f>
        <v>Mid-Level</v>
      </c>
      <c r="K552" s="7">
        <v>20</v>
      </c>
      <c r="L552" s="7">
        <f>Table1[[#This Row],[Hourly Rate]]*1000</f>
        <v>20000</v>
      </c>
      <c r="M552" s="7" t="str">
        <f t="shared" si="8"/>
        <v>Budget</v>
      </c>
      <c r="N552" s="2">
        <f>IF(ISNUMBER(#REF!),#REF!, _xlfn.IFS( I552&gt;=30, 5, I552&gt;=25, 4.8, I552&gt;=15, 4, I552&gt;=10, 3.8, I552&gt;=5, 3, I552&gt;=2, 2.5, I552&gt;=0, 1.8, TRUE, 1.3))</f>
        <v>3</v>
      </c>
      <c r="O552" s="2" t="s">
        <v>2052</v>
      </c>
      <c r="P552" s="10">
        <v>0.75</v>
      </c>
      <c r="Q552" s="10" t="str">
        <f>_xlfn.IFS(Table1[[#This Row],[Rating]]&gt;=4, "Top Performer", Table1[[#This Row],[Rating]]&gt;=3, "Average", TRUE, "Needs Imporovement")</f>
        <v>Average</v>
      </c>
    </row>
    <row r="553" spans="1:17" x14ac:dyDescent="0.3">
      <c r="A553" s="2" t="s">
        <v>1148</v>
      </c>
      <c r="B553" s="2" t="s">
        <v>1149</v>
      </c>
      <c r="C553" s="2" t="s">
        <v>49</v>
      </c>
      <c r="D553" s="2">
        <v>28</v>
      </c>
      <c r="E553" s="2" t="str">
        <f>_xlfn.IFS(Table1[[#This Row],[Age]]&lt;30, "18-29", D553&lt;=45,"30-45", D553&lt;=55, "46-55", TRUE, "55+")</f>
        <v>18-29</v>
      </c>
      <c r="F553" s="2" t="s">
        <v>103</v>
      </c>
      <c r="G553" s="2" t="s">
        <v>104</v>
      </c>
      <c r="H553" s="2" t="s">
        <v>17</v>
      </c>
      <c r="I553" s="5">
        <v>1</v>
      </c>
      <c r="J553" s="5" t="str">
        <f>_xlfn.IFS(Table1[[#This Row],[Experience(Years)]]&lt;5, "Junior", I553&lt;=12, "Mid-Level", I553&lt;=20, "Senior", I553&lt;=30, "Super Senior", TRUE, "Expert")</f>
        <v>Junior</v>
      </c>
      <c r="K553" s="7">
        <v>30</v>
      </c>
      <c r="L553" s="7">
        <f>Table1[[#This Row],[Hourly Rate]]*1000</f>
        <v>30000</v>
      </c>
      <c r="M553" s="7" t="str">
        <f t="shared" si="8"/>
        <v>Budget</v>
      </c>
      <c r="N553" s="2">
        <f>IF(ISNUMBER(#REF!),#REF!, _xlfn.IFS( I553&gt;=30, 5, I553&gt;=25, 4.8, I553&gt;=15, 4, I553&gt;=10, 3.8, I553&gt;=5, 3, I553&gt;=2, 2.5, I553&gt;=0, 1.8, TRUE, 1.3))</f>
        <v>1.8</v>
      </c>
      <c r="O553" s="2" t="s">
        <v>2052</v>
      </c>
      <c r="P553" s="10">
        <v>0.7</v>
      </c>
      <c r="Q553" s="10" t="str">
        <f>_xlfn.IFS(Table1[[#This Row],[Rating]]&gt;=4, "Top Performer", Table1[[#This Row],[Rating]]&gt;=3, "Average", TRUE, "Needs Imporovement")</f>
        <v>Needs Imporovement</v>
      </c>
    </row>
    <row r="554" spans="1:17" x14ac:dyDescent="0.3">
      <c r="A554" s="2" t="s">
        <v>1150</v>
      </c>
      <c r="B554" s="2" t="s">
        <v>1151</v>
      </c>
      <c r="C554" s="2" t="s">
        <v>49</v>
      </c>
      <c r="D554" s="2">
        <v>40</v>
      </c>
      <c r="E554" s="2" t="str">
        <f>_xlfn.IFS(Table1[[#This Row],[Age]]&lt;30, "18-29", D554&lt;=45,"30-45", D554&lt;=55, "46-55", TRUE, "55+")</f>
        <v>30-45</v>
      </c>
      <c r="F554" s="2" t="s">
        <v>7</v>
      </c>
      <c r="G554" s="2" t="s">
        <v>8</v>
      </c>
      <c r="H554" s="2" t="s">
        <v>61</v>
      </c>
      <c r="I554" s="5">
        <v>0</v>
      </c>
      <c r="J554" s="5" t="str">
        <f>_xlfn.IFS(Table1[[#This Row],[Experience(Years)]]&lt;5, "Junior", I554&lt;=12, "Mid-Level", I554&lt;=20, "Senior", I554&lt;=30, "Super Senior", TRUE, "Expert")</f>
        <v>Junior</v>
      </c>
      <c r="K554" s="7">
        <v>100</v>
      </c>
      <c r="L554" s="7">
        <f>Table1[[#This Row],[Hourly Rate]]*1000</f>
        <v>100000</v>
      </c>
      <c r="M554" s="7" t="str">
        <f t="shared" si="8"/>
        <v>Premium</v>
      </c>
      <c r="N554" s="2">
        <f>IF(ISNUMBER(#REF!),#REF!, _xlfn.IFS( I554&gt;=30, 5, I554&gt;=25, 4.8, I554&gt;=15, 4, I554&gt;=10, 3.8, I554&gt;=5, 3, I554&gt;=2, 2.5, I554&gt;=0, 1.8, TRUE, 1.3))</f>
        <v>1.8</v>
      </c>
      <c r="O554" s="2" t="str">
        <f>IF(AND( Table1[[#This Row],[Rating]]&gt;=3.5, Table1[[#This Row],[Experience(Years)]]&gt;=15), "Active", "Inactive")</f>
        <v>Inactive</v>
      </c>
      <c r="P554" s="10">
        <v>0.87</v>
      </c>
      <c r="Q554" s="10" t="str">
        <f>_xlfn.IFS(Table1[[#This Row],[Rating]]&gt;=4, "Top Performer", Table1[[#This Row],[Rating]]&gt;=3, "Average", TRUE, "Needs Imporovement")</f>
        <v>Needs Imporovement</v>
      </c>
    </row>
    <row r="555" spans="1:17" x14ac:dyDescent="0.3">
      <c r="A555" s="2" t="s">
        <v>1152</v>
      </c>
      <c r="B555" s="2" t="s">
        <v>1153</v>
      </c>
      <c r="C555" s="2" t="s">
        <v>68</v>
      </c>
      <c r="D555" s="2">
        <v>57</v>
      </c>
      <c r="E555" s="2" t="str">
        <f>_xlfn.IFS(Table1[[#This Row],[Age]]&lt;30, "18-29", D555&lt;=45,"30-45", D555&lt;=55, "46-55", TRUE, "55+")</f>
        <v>55+</v>
      </c>
      <c r="F555" s="2" t="s">
        <v>2</v>
      </c>
      <c r="G555" s="2" t="s">
        <v>3</v>
      </c>
      <c r="H555" s="2" t="s">
        <v>4</v>
      </c>
      <c r="I555" s="5">
        <v>7</v>
      </c>
      <c r="J555" s="5" t="str">
        <f>_xlfn.IFS(Table1[[#This Row],[Experience(Years)]]&lt;5, "Junior", I555&lt;=12, "Mid-Level", I555&lt;=20, "Senior", I555&lt;=30, "Super Senior", TRUE, "Expert")</f>
        <v>Mid-Level</v>
      </c>
      <c r="K555" s="7">
        <v>30</v>
      </c>
      <c r="L555" s="7">
        <f>Table1[[#This Row],[Hourly Rate]]*1000</f>
        <v>30000</v>
      </c>
      <c r="M555" s="7" t="str">
        <f t="shared" si="8"/>
        <v>Budget</v>
      </c>
      <c r="N555" s="2">
        <f>IF(ISNUMBER(#REF!),#REF!, _xlfn.IFS( I555&gt;=30, 5, I555&gt;=25, 4.8, I555&gt;=15, 4, I555&gt;=10, 3.8, I555&gt;=5, 3, I555&gt;=2, 2.5, I555&gt;=0, 1.8, TRUE, 1.3))</f>
        <v>3</v>
      </c>
      <c r="O555" s="2" t="s">
        <v>2052</v>
      </c>
      <c r="P555" s="10">
        <v>0.6</v>
      </c>
      <c r="Q555" s="10" t="str">
        <f>_xlfn.IFS(Table1[[#This Row],[Rating]]&gt;=4, "Top Performer", Table1[[#This Row],[Rating]]&gt;=3, "Average", TRUE, "Needs Imporovement")</f>
        <v>Average</v>
      </c>
    </row>
    <row r="556" spans="1:17" x14ac:dyDescent="0.3">
      <c r="A556" s="2" t="s">
        <v>1154</v>
      </c>
      <c r="B556" s="2" t="s">
        <v>1155</v>
      </c>
      <c r="C556" s="2" t="s">
        <v>68</v>
      </c>
      <c r="D556" s="2">
        <v>47</v>
      </c>
      <c r="E556" s="2" t="str">
        <f>_xlfn.IFS(Table1[[#This Row],[Age]]&lt;30, "18-29", D556&lt;=45,"30-45", D556&lt;=55, "46-55", TRUE, "55+")</f>
        <v>46-55</v>
      </c>
      <c r="F556" s="2" t="s">
        <v>37</v>
      </c>
      <c r="G556" s="2" t="s">
        <v>38</v>
      </c>
      <c r="H556" s="2" t="s">
        <v>61</v>
      </c>
      <c r="I556" s="5">
        <v>1</v>
      </c>
      <c r="J556" s="5" t="str">
        <f>_xlfn.IFS(Table1[[#This Row],[Experience(Years)]]&lt;5, "Junior", I556&lt;=12, "Mid-Level", I556&lt;=20, "Senior", I556&lt;=30, "Super Senior", TRUE, "Expert")</f>
        <v>Junior</v>
      </c>
      <c r="K556" s="7">
        <v>50</v>
      </c>
      <c r="L556" s="7">
        <f>Table1[[#This Row],[Hourly Rate]]*1000</f>
        <v>50000</v>
      </c>
      <c r="M556" s="7" t="str">
        <f t="shared" si="8"/>
        <v>Standard</v>
      </c>
      <c r="N556" s="2">
        <f>IF(ISNUMBER(#REF!),#REF!, _xlfn.IFS( I556&gt;=30, 5, I556&gt;=25, 4.8, I556&gt;=15, 4, I556&gt;=10, 3.8, I556&gt;=5, 3, I556&gt;=2, 2.5, I556&gt;=0, 1.8, TRUE, 1.3))</f>
        <v>1.8</v>
      </c>
      <c r="O556" s="2" t="s">
        <v>2053</v>
      </c>
      <c r="P556" s="10">
        <v>0.88</v>
      </c>
      <c r="Q556" s="10" t="str">
        <f>_xlfn.IFS(Table1[[#This Row],[Rating]]&gt;=4, "Top Performer", Table1[[#This Row],[Rating]]&gt;=3, "Average", TRUE, "Needs Imporovement")</f>
        <v>Needs Imporovement</v>
      </c>
    </row>
    <row r="557" spans="1:17" x14ac:dyDescent="0.3">
      <c r="A557" s="2" t="s">
        <v>1156</v>
      </c>
      <c r="B557" s="2" t="s">
        <v>1157</v>
      </c>
      <c r="C557" s="2" t="s">
        <v>68</v>
      </c>
      <c r="D557" s="2">
        <v>48</v>
      </c>
      <c r="E557" s="2" t="str">
        <f>_xlfn.IFS(Table1[[#This Row],[Age]]&lt;30, "18-29", D557&lt;=45,"30-45", D557&lt;=55, "46-55", TRUE, "55+")</f>
        <v>46-55</v>
      </c>
      <c r="F557" s="2" t="s">
        <v>81</v>
      </c>
      <c r="G557" s="2" t="s">
        <v>82</v>
      </c>
      <c r="H557" s="2" t="s">
        <v>50</v>
      </c>
      <c r="I557" s="5">
        <v>21</v>
      </c>
      <c r="J557" s="5" t="str">
        <f>_xlfn.IFS(Table1[[#This Row],[Experience(Years)]]&lt;5, "Junior", I557&lt;=12, "Mid-Level", I557&lt;=20, "Senior", I557&lt;=30, "Super Senior", TRUE, "Expert")</f>
        <v>Super Senior</v>
      </c>
      <c r="K557" s="7">
        <v>40</v>
      </c>
      <c r="L557" s="7">
        <f>Table1[[#This Row],[Hourly Rate]]*1000</f>
        <v>40000</v>
      </c>
      <c r="M557" s="7" t="str">
        <f t="shared" si="8"/>
        <v>Standard</v>
      </c>
      <c r="N557" s="2">
        <f>IF(ISNUMBER(#REF!),#REF!, _xlfn.IFS( I557&gt;=30, 5, I557&gt;=25, 4.8, I557&gt;=15, 4, I557&gt;=10, 3.8, I557&gt;=5, 3, I557&gt;=2, 2.5, I557&gt;=0, 1.8, TRUE, 1.3))</f>
        <v>4</v>
      </c>
      <c r="O557" s="2" t="s">
        <v>2053</v>
      </c>
      <c r="P557" s="10">
        <v>0.85</v>
      </c>
      <c r="Q557" s="10" t="str">
        <f>_xlfn.IFS(Table1[[#This Row],[Rating]]&gt;=4, "Top Performer", Table1[[#This Row],[Rating]]&gt;=3, "Average", TRUE, "Needs Imporovement")</f>
        <v>Top Performer</v>
      </c>
    </row>
    <row r="558" spans="1:17" x14ac:dyDescent="0.3">
      <c r="A558" s="2" t="s">
        <v>1158</v>
      </c>
      <c r="B558" s="2" t="s">
        <v>1159</v>
      </c>
      <c r="C558" s="2" t="s">
        <v>68</v>
      </c>
      <c r="D558" s="2">
        <v>28</v>
      </c>
      <c r="E558" s="2" t="str">
        <f>_xlfn.IFS(Table1[[#This Row],[Age]]&lt;30, "18-29", D558&lt;=45,"30-45", D558&lt;=55, "46-55", TRUE, "55+")</f>
        <v>18-29</v>
      </c>
      <c r="F558" s="2" t="s">
        <v>34</v>
      </c>
      <c r="G558" s="2" t="s">
        <v>8</v>
      </c>
      <c r="H558" s="2" t="s">
        <v>46</v>
      </c>
      <c r="I558" s="5">
        <v>1</v>
      </c>
      <c r="J558" s="5" t="str">
        <f>_xlfn.IFS(Table1[[#This Row],[Experience(Years)]]&lt;5, "Junior", I558&lt;=12, "Mid-Level", I558&lt;=20, "Senior", I558&lt;=30, "Super Senior", TRUE, "Expert")</f>
        <v>Junior</v>
      </c>
      <c r="K558" s="7">
        <v>20</v>
      </c>
      <c r="L558" s="7">
        <f>Table1[[#This Row],[Hourly Rate]]*1000</f>
        <v>20000</v>
      </c>
      <c r="M558" s="7" t="str">
        <f t="shared" si="8"/>
        <v>Budget</v>
      </c>
      <c r="N558" s="2">
        <f>IF(ISNUMBER(#REF!),#REF!, _xlfn.IFS( I558&gt;=30, 5, I558&gt;=25, 4.8, I558&gt;=15, 4, I558&gt;=10, 3.8, I558&gt;=5, 3, I558&gt;=2, 2.5, I558&gt;=0, 1.8, TRUE, 1.3))</f>
        <v>1.8</v>
      </c>
      <c r="O558" s="2" t="s">
        <v>2052</v>
      </c>
      <c r="P558" s="10">
        <v>0.93</v>
      </c>
      <c r="Q558" s="10" t="str">
        <f>_xlfn.IFS(Table1[[#This Row],[Rating]]&gt;=4, "Top Performer", Table1[[#This Row],[Rating]]&gt;=3, "Average", TRUE, "Needs Imporovement")</f>
        <v>Needs Imporovement</v>
      </c>
    </row>
    <row r="559" spans="1:17" x14ac:dyDescent="0.3">
      <c r="A559" s="2" t="s">
        <v>1160</v>
      </c>
      <c r="B559" s="2" t="s">
        <v>1161</v>
      </c>
      <c r="C559" s="2" t="s">
        <v>68</v>
      </c>
      <c r="D559" s="2">
        <v>41</v>
      </c>
      <c r="E559" s="2" t="str">
        <f>_xlfn.IFS(Table1[[#This Row],[Age]]&lt;30, "18-29", D559&lt;=45,"30-45", D559&lt;=55, "46-55", TRUE, "55+")</f>
        <v>30-45</v>
      </c>
      <c r="F559" s="2" t="s">
        <v>37</v>
      </c>
      <c r="G559" s="2" t="s">
        <v>38</v>
      </c>
      <c r="H559" s="2" t="s">
        <v>14</v>
      </c>
      <c r="I559" s="5">
        <v>15</v>
      </c>
      <c r="J559" s="5" t="str">
        <f>_xlfn.IFS(Table1[[#This Row],[Experience(Years)]]&lt;5, "Junior", I559&lt;=12, "Mid-Level", I559&lt;=20, "Senior", I559&lt;=30, "Super Senior", TRUE, "Expert")</f>
        <v>Senior</v>
      </c>
      <c r="K559" s="7">
        <v>70</v>
      </c>
      <c r="L559" s="7">
        <f>Table1[[#This Row],[Hourly Rate]]*1000</f>
        <v>70000</v>
      </c>
      <c r="M559" s="7" t="str">
        <f t="shared" si="8"/>
        <v>Standard</v>
      </c>
      <c r="N559" s="2">
        <f>IF(ISNUMBER(#REF!),#REF!, _xlfn.IFS( I559&gt;=30, 5, I559&gt;=25, 4.8, I559&gt;=15, 4, I559&gt;=10, 3.8, I559&gt;=5, 3, I559&gt;=2, 2.5, I559&gt;=0, 1.8, TRUE, 1.3))</f>
        <v>4</v>
      </c>
      <c r="O559" s="2" t="s">
        <v>2053</v>
      </c>
      <c r="P559" s="10">
        <v>0.85</v>
      </c>
      <c r="Q559" s="10" t="str">
        <f>_xlfn.IFS(Table1[[#This Row],[Rating]]&gt;=4, "Top Performer", Table1[[#This Row],[Rating]]&gt;=3, "Average", TRUE, "Needs Imporovement")</f>
        <v>Top Performer</v>
      </c>
    </row>
    <row r="560" spans="1:17" x14ac:dyDescent="0.3">
      <c r="A560" s="2" t="s">
        <v>1162</v>
      </c>
      <c r="B560" s="2" t="s">
        <v>1163</v>
      </c>
      <c r="C560" s="2" t="s">
        <v>49</v>
      </c>
      <c r="D560" s="2">
        <v>57</v>
      </c>
      <c r="E560" s="2" t="str">
        <f>_xlfn.IFS(Table1[[#This Row],[Age]]&lt;30, "18-29", D560&lt;=45,"30-45", D560&lt;=55, "46-55", TRUE, "55+")</f>
        <v>55+</v>
      </c>
      <c r="F560" s="2" t="s">
        <v>121</v>
      </c>
      <c r="G560" s="2" t="s">
        <v>122</v>
      </c>
      <c r="H560" s="2" t="s">
        <v>50</v>
      </c>
      <c r="I560" s="5">
        <v>33</v>
      </c>
      <c r="J560" s="5" t="str">
        <f>_xlfn.IFS(Table1[[#This Row],[Experience(Years)]]&lt;5, "Junior", I560&lt;=12, "Mid-Level", I560&lt;=20, "Senior", I560&lt;=30, "Super Senior", TRUE, "Expert")</f>
        <v>Expert</v>
      </c>
      <c r="K560" s="7">
        <v>100</v>
      </c>
      <c r="L560" s="7">
        <f>Table1[[#This Row],[Hourly Rate]]*1000</f>
        <v>100000</v>
      </c>
      <c r="M560" s="7" t="str">
        <f t="shared" si="8"/>
        <v>Premium</v>
      </c>
      <c r="N560" s="2">
        <f>IF(ISNUMBER(#REF!),#REF!, _xlfn.IFS( I560&gt;=30, 5, I560&gt;=25, 4.8, I560&gt;=15, 4, I560&gt;=10, 3.8, I560&gt;=5, 3, I560&gt;=2, 2.5, I560&gt;=0, 1.8, TRUE, 1.3))</f>
        <v>5</v>
      </c>
      <c r="O560" s="2" t="s">
        <v>2052</v>
      </c>
      <c r="P560" s="10">
        <v>0.74</v>
      </c>
      <c r="Q560" s="10" t="str">
        <f>_xlfn.IFS(Table1[[#This Row],[Rating]]&gt;=4, "Top Performer", Table1[[#This Row],[Rating]]&gt;=3, "Average", TRUE, "Needs Imporovement")</f>
        <v>Top Performer</v>
      </c>
    </row>
    <row r="561" spans="1:17" x14ac:dyDescent="0.3">
      <c r="A561" s="2" t="s">
        <v>1164</v>
      </c>
      <c r="B561" s="2" t="s">
        <v>1165</v>
      </c>
      <c r="C561" s="2" t="s">
        <v>68</v>
      </c>
      <c r="D561" s="2">
        <v>60</v>
      </c>
      <c r="E561" s="2" t="str">
        <f>_xlfn.IFS(Table1[[#This Row],[Age]]&lt;30, "18-29", D561&lt;=45,"30-45", D561&lt;=55, "46-55", TRUE, "55+")</f>
        <v>55+</v>
      </c>
      <c r="F561" s="2" t="s">
        <v>44</v>
      </c>
      <c r="G561" s="2" t="s">
        <v>45</v>
      </c>
      <c r="H561" s="2" t="s">
        <v>14</v>
      </c>
      <c r="I561" s="5">
        <v>39</v>
      </c>
      <c r="J561" s="5" t="str">
        <f>_xlfn.IFS(Table1[[#This Row],[Experience(Years)]]&lt;5, "Junior", I561&lt;=12, "Mid-Level", I561&lt;=20, "Senior", I561&lt;=30, "Super Senior", TRUE, "Expert")</f>
        <v>Expert</v>
      </c>
      <c r="K561" s="7">
        <v>75</v>
      </c>
      <c r="L561" s="7">
        <f>Table1[[#This Row],[Hourly Rate]]*1000</f>
        <v>75000</v>
      </c>
      <c r="M561" s="7" t="str">
        <f t="shared" si="8"/>
        <v>Standard</v>
      </c>
      <c r="N561" s="2">
        <f>IF(ISNUMBER(#REF!),#REF!, _xlfn.IFS( I561&gt;=30, 5, I561&gt;=25, 4.8, I561&gt;=15, 4, I561&gt;=10, 3.8, I561&gt;=5, 3, I561&gt;=2, 2.5, I561&gt;=0, 1.8, TRUE, 1.3))</f>
        <v>5</v>
      </c>
      <c r="O561" s="2" t="str">
        <f>IF(AND( Table1[[#This Row],[Rating]]&gt;=3.5, Table1[[#This Row],[Experience(Years)]]&gt;=15), "Active", "Inactive")</f>
        <v>Active</v>
      </c>
      <c r="P561" s="10">
        <v>0.7</v>
      </c>
      <c r="Q561" s="10" t="str">
        <f>_xlfn.IFS(Table1[[#This Row],[Rating]]&gt;=4, "Top Performer", Table1[[#This Row],[Rating]]&gt;=3, "Average", TRUE, "Needs Imporovement")</f>
        <v>Top Performer</v>
      </c>
    </row>
    <row r="562" spans="1:17" x14ac:dyDescent="0.3">
      <c r="A562" s="2" t="s">
        <v>1166</v>
      </c>
      <c r="B562" s="2" t="s">
        <v>1167</v>
      </c>
      <c r="C562" s="2" t="s">
        <v>49</v>
      </c>
      <c r="D562" s="2">
        <v>48</v>
      </c>
      <c r="E562" s="2" t="str">
        <f>_xlfn.IFS(Table1[[#This Row],[Age]]&lt;30, "18-29", D562&lt;=45,"30-45", D562&lt;=55, "46-55", TRUE, "55+")</f>
        <v>46-55</v>
      </c>
      <c r="F562" s="2" t="s">
        <v>107</v>
      </c>
      <c r="G562" s="2" t="s">
        <v>108</v>
      </c>
      <c r="H562" s="2" t="s">
        <v>14</v>
      </c>
      <c r="I562" s="5">
        <v>21</v>
      </c>
      <c r="J562" s="5" t="str">
        <f>_xlfn.IFS(Table1[[#This Row],[Experience(Years)]]&lt;5, "Junior", I562&lt;=12, "Mid-Level", I562&lt;=20, "Senior", I562&lt;=30, "Super Senior", TRUE, "Expert")</f>
        <v>Super Senior</v>
      </c>
      <c r="K562" s="7">
        <v>30</v>
      </c>
      <c r="L562" s="7">
        <f>Table1[[#This Row],[Hourly Rate]]*1000</f>
        <v>30000</v>
      </c>
      <c r="M562" s="7" t="str">
        <f t="shared" si="8"/>
        <v>Budget</v>
      </c>
      <c r="N562" s="2">
        <f>IF(ISNUMBER(#REF!),#REF!, _xlfn.IFS( I562&gt;=30, 5, I562&gt;=25, 4.8, I562&gt;=15, 4, I562&gt;=10, 3.8, I562&gt;=5, 3, I562&gt;=2, 2.5, I562&gt;=0, 1.8, TRUE, 1.3))</f>
        <v>4</v>
      </c>
      <c r="O562" s="2" t="s">
        <v>2053</v>
      </c>
      <c r="P562" s="10">
        <v>0.67</v>
      </c>
      <c r="Q562" s="10" t="str">
        <f>_xlfn.IFS(Table1[[#This Row],[Rating]]&gt;=4, "Top Performer", Table1[[#This Row],[Rating]]&gt;=3, "Average", TRUE, "Needs Imporovement")</f>
        <v>Top Performer</v>
      </c>
    </row>
    <row r="563" spans="1:17" x14ac:dyDescent="0.3">
      <c r="A563" s="2" t="s">
        <v>1168</v>
      </c>
      <c r="B563" s="2" t="s">
        <v>1169</v>
      </c>
      <c r="C563" s="2" t="s">
        <v>49</v>
      </c>
      <c r="D563" s="2">
        <v>24</v>
      </c>
      <c r="E563" s="2" t="str">
        <f>_xlfn.IFS(Table1[[#This Row],[Age]]&lt;30, "18-29", D563&lt;=45,"30-45", D563&lt;=55, "46-55", TRUE, "55+")</f>
        <v>18-29</v>
      </c>
      <c r="F563" s="2" t="s">
        <v>103</v>
      </c>
      <c r="G563" s="2" t="s">
        <v>104</v>
      </c>
      <c r="H563" s="2" t="s">
        <v>50</v>
      </c>
      <c r="I563" s="5">
        <v>5</v>
      </c>
      <c r="J563" s="5" t="str">
        <f>_xlfn.IFS(Table1[[#This Row],[Experience(Years)]]&lt;5, "Junior", I563&lt;=12, "Mid-Level", I563&lt;=20, "Senior", I563&lt;=30, "Super Senior", TRUE, "Expert")</f>
        <v>Mid-Level</v>
      </c>
      <c r="K563" s="7">
        <v>40</v>
      </c>
      <c r="L563" s="7">
        <f>Table1[[#This Row],[Hourly Rate]]*1000</f>
        <v>40000</v>
      </c>
      <c r="M563" s="7" t="str">
        <f t="shared" si="8"/>
        <v>Standard</v>
      </c>
      <c r="N563" s="2">
        <f>IF(ISNUMBER(#REF!),#REF!, _xlfn.IFS( I563&gt;=30, 5, I563&gt;=25, 4.8, I563&gt;=15, 4, I563&gt;=10, 3.8, I563&gt;=5, 3, I563&gt;=2, 2.5, I563&gt;=0, 1.8, TRUE, 1.3))</f>
        <v>3</v>
      </c>
      <c r="O563" s="2" t="s">
        <v>2052</v>
      </c>
      <c r="P563" s="10">
        <v>0.86</v>
      </c>
      <c r="Q563" s="10" t="str">
        <f>_xlfn.IFS(Table1[[#This Row],[Rating]]&gt;=4, "Top Performer", Table1[[#This Row],[Rating]]&gt;=3, "Average", TRUE, "Needs Imporovement")</f>
        <v>Average</v>
      </c>
    </row>
    <row r="564" spans="1:17" x14ac:dyDescent="0.3">
      <c r="A564" s="2" t="s">
        <v>1170</v>
      </c>
      <c r="B564" s="2" t="s">
        <v>1171</v>
      </c>
      <c r="C564" s="2" t="s">
        <v>49</v>
      </c>
      <c r="D564" s="2">
        <v>33</v>
      </c>
      <c r="E564" s="2" t="str">
        <f>_xlfn.IFS(Table1[[#This Row],[Age]]&lt;30, "18-29", D564&lt;=45,"30-45", D564&lt;=55, "46-55", TRUE, "55+")</f>
        <v>30-45</v>
      </c>
      <c r="F564" s="2" t="s">
        <v>145</v>
      </c>
      <c r="G564" s="2" t="s">
        <v>45</v>
      </c>
      <c r="H564" s="2" t="s">
        <v>61</v>
      </c>
      <c r="I564" s="5">
        <v>11</v>
      </c>
      <c r="J564" s="5" t="str">
        <f>_xlfn.IFS(Table1[[#This Row],[Experience(Years)]]&lt;5, "Junior", I564&lt;=12, "Mid-Level", I564&lt;=20, "Senior", I564&lt;=30, "Super Senior", TRUE, "Expert")</f>
        <v>Mid-Level</v>
      </c>
      <c r="K564" s="7">
        <v>50</v>
      </c>
      <c r="L564" s="7">
        <f>Table1[[#This Row],[Hourly Rate]]*1000</f>
        <v>50000</v>
      </c>
      <c r="M564" s="7" t="str">
        <f t="shared" si="8"/>
        <v>Standard</v>
      </c>
      <c r="N564" s="2">
        <f>IF(ISNUMBER(#REF!),#REF!, _xlfn.IFS( I564&gt;=30, 5, I564&gt;=25, 4.8, I564&gt;=15, 4, I564&gt;=10, 3.8, I564&gt;=5, 3, I564&gt;=2, 2.5, I564&gt;=0, 1.8, TRUE, 1.3))</f>
        <v>3.8</v>
      </c>
      <c r="O564" s="2" t="s">
        <v>2053</v>
      </c>
      <c r="P564" s="10">
        <v>0.69</v>
      </c>
      <c r="Q564" s="10" t="str">
        <f>_xlfn.IFS(Table1[[#This Row],[Rating]]&gt;=4, "Top Performer", Table1[[#This Row],[Rating]]&gt;=3, "Average", TRUE, "Needs Imporovement")</f>
        <v>Average</v>
      </c>
    </row>
    <row r="565" spans="1:17" x14ac:dyDescent="0.3">
      <c r="A565" s="2" t="s">
        <v>1172</v>
      </c>
      <c r="B565" s="2" t="s">
        <v>1173</v>
      </c>
      <c r="C565" s="2" t="s">
        <v>49</v>
      </c>
      <c r="D565" s="2">
        <v>20</v>
      </c>
      <c r="E565" s="2" t="str">
        <f>_xlfn.IFS(Table1[[#This Row],[Age]]&lt;30, "18-29", D565&lt;=45,"30-45", D565&lt;=55, "46-55", TRUE, "55+")</f>
        <v>18-29</v>
      </c>
      <c r="F565" s="2" t="s">
        <v>37</v>
      </c>
      <c r="G565" s="2" t="s">
        <v>38</v>
      </c>
      <c r="H565" s="2" t="s">
        <v>14</v>
      </c>
      <c r="I565" s="5">
        <v>0</v>
      </c>
      <c r="J565" s="5" t="str">
        <f>_xlfn.IFS(Table1[[#This Row],[Experience(Years)]]&lt;5, "Junior", I565&lt;=12, "Mid-Level", I565&lt;=20, "Senior", I565&lt;=30, "Super Senior", TRUE, "Expert")</f>
        <v>Junior</v>
      </c>
      <c r="K565" s="7">
        <v>30</v>
      </c>
      <c r="L565" s="7">
        <f>Table1[[#This Row],[Hourly Rate]]*1000</f>
        <v>30000</v>
      </c>
      <c r="M565" s="7" t="str">
        <f t="shared" si="8"/>
        <v>Budget</v>
      </c>
      <c r="N565" s="2">
        <f>IF(ISNUMBER(#REF!),#REF!, _xlfn.IFS( I565&gt;=30, 5, I565&gt;=25, 4.8, I565&gt;=15, 4, I565&gt;=10, 3.8, I565&gt;=5, 3, I565&gt;=2, 2.5, I565&gt;=0, 1.8, TRUE, 1.3))</f>
        <v>1.8</v>
      </c>
      <c r="O565" s="2" t="s">
        <v>2053</v>
      </c>
      <c r="P565" s="10">
        <v>0.68</v>
      </c>
      <c r="Q565" s="10" t="str">
        <f>_xlfn.IFS(Table1[[#This Row],[Rating]]&gt;=4, "Top Performer", Table1[[#This Row],[Rating]]&gt;=3, "Average", TRUE, "Needs Imporovement")</f>
        <v>Needs Imporovement</v>
      </c>
    </row>
    <row r="566" spans="1:17" x14ac:dyDescent="0.3">
      <c r="A566" s="2" t="s">
        <v>1174</v>
      </c>
      <c r="B566" s="2" t="s">
        <v>1175</v>
      </c>
      <c r="C566" s="2" t="s">
        <v>68</v>
      </c>
      <c r="D566" s="2">
        <v>59</v>
      </c>
      <c r="E566" s="2" t="str">
        <f>_xlfn.IFS(Table1[[#This Row],[Age]]&lt;30, "18-29", D566&lt;=45,"30-45", D566&lt;=55, "46-55", TRUE, "55+")</f>
        <v>55+</v>
      </c>
      <c r="F566" s="2" t="s">
        <v>41</v>
      </c>
      <c r="G566" s="2" t="s">
        <v>8</v>
      </c>
      <c r="H566" s="2" t="s">
        <v>61</v>
      </c>
      <c r="I566" s="5">
        <v>15</v>
      </c>
      <c r="J566" s="5" t="str">
        <f>_xlfn.IFS(Table1[[#This Row],[Experience(Years)]]&lt;5, "Junior", I566&lt;=12, "Mid-Level", I566&lt;=20, "Senior", I566&lt;=30, "Super Senior", TRUE, "Expert")</f>
        <v>Senior</v>
      </c>
      <c r="K566" s="7">
        <v>50</v>
      </c>
      <c r="L566" s="7">
        <f>Table1[[#This Row],[Hourly Rate]]*1000</f>
        <v>50000</v>
      </c>
      <c r="M566" s="7" t="str">
        <f t="shared" si="8"/>
        <v>Standard</v>
      </c>
      <c r="N566" s="2">
        <f>IF(ISNUMBER(#REF!),#REF!, _xlfn.IFS( I566&gt;=30, 5, I566&gt;=25, 4.8, I566&gt;=15, 4, I566&gt;=10, 3.8, I566&gt;=5, 3, I566&gt;=2, 2.5, I566&gt;=0, 1.8, TRUE, 1.3))</f>
        <v>4</v>
      </c>
      <c r="O566" s="2" t="s">
        <v>2052</v>
      </c>
      <c r="P566" s="10">
        <v>0.85</v>
      </c>
      <c r="Q566" s="10" t="str">
        <f>_xlfn.IFS(Table1[[#This Row],[Rating]]&gt;=4, "Top Performer", Table1[[#This Row],[Rating]]&gt;=3, "Average", TRUE, "Needs Imporovement")</f>
        <v>Top Performer</v>
      </c>
    </row>
    <row r="567" spans="1:17" x14ac:dyDescent="0.3">
      <c r="A567" s="2" t="s">
        <v>1176</v>
      </c>
      <c r="B567" s="2" t="s">
        <v>1177</v>
      </c>
      <c r="C567" s="2" t="s">
        <v>49</v>
      </c>
      <c r="D567" s="2">
        <v>42</v>
      </c>
      <c r="E567" s="2" t="str">
        <f>_xlfn.IFS(Table1[[#This Row],[Age]]&lt;30, "18-29", D567&lt;=45,"30-45", D567&lt;=55, "46-55", TRUE, "55+")</f>
        <v>30-45</v>
      </c>
      <c r="F567" s="2" t="s">
        <v>141</v>
      </c>
      <c r="G567" s="2" t="s">
        <v>142</v>
      </c>
      <c r="H567" s="2" t="s">
        <v>61</v>
      </c>
      <c r="I567" s="5">
        <v>22</v>
      </c>
      <c r="J567" s="5" t="str">
        <f>_xlfn.IFS(Table1[[#This Row],[Experience(Years)]]&lt;5, "Junior", I567&lt;=12, "Mid-Level", I567&lt;=20, "Senior", I567&lt;=30, "Super Senior", TRUE, "Expert")</f>
        <v>Super Senior</v>
      </c>
      <c r="K567" s="7">
        <v>55</v>
      </c>
      <c r="L567" s="7">
        <f>Table1[[#This Row],[Hourly Rate]]*1000</f>
        <v>55000</v>
      </c>
      <c r="M567" s="7" t="str">
        <f t="shared" si="8"/>
        <v>Standard</v>
      </c>
      <c r="N567" s="2">
        <f>IF(ISNUMBER(#REF!),#REF!, _xlfn.IFS( I567&gt;=30, 5, I567&gt;=25, 4.8, I567&gt;=15, 4, I567&gt;=10, 3.8, I567&gt;=5, 3, I567&gt;=2, 2.5, I567&gt;=0, 1.8, TRUE, 1.3))</f>
        <v>4</v>
      </c>
      <c r="O567" s="2" t="s">
        <v>2052</v>
      </c>
      <c r="P567" s="10">
        <v>0.61</v>
      </c>
      <c r="Q567" s="10" t="str">
        <f>_xlfn.IFS(Table1[[#This Row],[Rating]]&gt;=4, "Top Performer", Table1[[#This Row],[Rating]]&gt;=3, "Average", TRUE, "Needs Imporovement")</f>
        <v>Top Performer</v>
      </c>
    </row>
    <row r="568" spans="1:17" x14ac:dyDescent="0.3">
      <c r="A568" s="2" t="s">
        <v>1178</v>
      </c>
      <c r="B568" s="2" t="s">
        <v>1179</v>
      </c>
      <c r="C568" s="2" t="s">
        <v>49</v>
      </c>
      <c r="D568" s="2">
        <v>22</v>
      </c>
      <c r="E568" s="2" t="str">
        <f>_xlfn.IFS(Table1[[#This Row],[Age]]&lt;30, "18-29", D568&lt;=45,"30-45", D568&lt;=55, "46-55", TRUE, "55+")</f>
        <v>18-29</v>
      </c>
      <c r="F568" s="2" t="s">
        <v>37</v>
      </c>
      <c r="G568" s="2" t="s">
        <v>38</v>
      </c>
      <c r="H568" s="2" t="s">
        <v>46</v>
      </c>
      <c r="I568" s="5">
        <v>3</v>
      </c>
      <c r="J568" s="5" t="str">
        <f>_xlfn.IFS(Table1[[#This Row],[Experience(Years)]]&lt;5, "Junior", I568&lt;=12, "Mid-Level", I568&lt;=20, "Senior", I568&lt;=30, "Super Senior", TRUE, "Expert")</f>
        <v>Junior</v>
      </c>
      <c r="K568" s="7">
        <v>60</v>
      </c>
      <c r="L568" s="7">
        <f>Table1[[#This Row],[Hourly Rate]]*1000</f>
        <v>60000</v>
      </c>
      <c r="M568" s="7" t="str">
        <f t="shared" si="8"/>
        <v>Standard</v>
      </c>
      <c r="N568" s="2">
        <f>IF(ISNUMBER(#REF!),#REF!, _xlfn.IFS( I568&gt;=30, 5, I568&gt;=25, 4.8, I568&gt;=15, 4, I568&gt;=10, 3.8, I568&gt;=5, 3, I568&gt;=2, 2.5, I568&gt;=0, 1.8, TRUE, 1.3))</f>
        <v>2.5</v>
      </c>
      <c r="O568" s="2" t="s">
        <v>2053</v>
      </c>
      <c r="P568" s="10">
        <v>0.96</v>
      </c>
      <c r="Q568" s="10" t="str">
        <f>_xlfn.IFS(Table1[[#This Row],[Rating]]&gt;=4, "Top Performer", Table1[[#This Row],[Rating]]&gt;=3, "Average", TRUE, "Needs Imporovement")</f>
        <v>Needs Imporovement</v>
      </c>
    </row>
    <row r="569" spans="1:17" x14ac:dyDescent="0.3">
      <c r="A569" s="2" t="s">
        <v>1180</v>
      </c>
      <c r="B569" s="2" t="s">
        <v>1181</v>
      </c>
      <c r="C569" s="2" t="s">
        <v>68</v>
      </c>
      <c r="D569" s="2">
        <v>41</v>
      </c>
      <c r="E569" s="2" t="str">
        <f>_xlfn.IFS(Table1[[#This Row],[Age]]&lt;30, "18-29", D569&lt;=45,"30-45", D569&lt;=55, "46-55", TRUE, "55+")</f>
        <v>30-45</v>
      </c>
      <c r="F569" s="2" t="s">
        <v>96</v>
      </c>
      <c r="G569" s="2" t="s">
        <v>8</v>
      </c>
      <c r="H569" s="2" t="s">
        <v>50</v>
      </c>
      <c r="I569" s="5">
        <v>11</v>
      </c>
      <c r="J569" s="5" t="str">
        <f>_xlfn.IFS(Table1[[#This Row],[Experience(Years)]]&lt;5, "Junior", I569&lt;=12, "Mid-Level", I569&lt;=20, "Senior", I569&lt;=30, "Super Senior", TRUE, "Expert")</f>
        <v>Mid-Level</v>
      </c>
      <c r="K569" s="7">
        <v>50</v>
      </c>
      <c r="L569" s="7">
        <f>Table1[[#This Row],[Hourly Rate]]*1000</f>
        <v>50000</v>
      </c>
      <c r="M569" s="7" t="str">
        <f t="shared" si="8"/>
        <v>Standard</v>
      </c>
      <c r="N569" s="2">
        <f>IF(ISNUMBER(#REF!),#REF!, _xlfn.IFS( I569&gt;=30, 5, I569&gt;=25, 4.8, I569&gt;=15, 4, I569&gt;=10, 3.8, I569&gt;=5, 3, I569&gt;=2, 2.5, I569&gt;=0, 1.8, TRUE, 1.3))</f>
        <v>3.8</v>
      </c>
      <c r="O569" s="2" t="s">
        <v>2053</v>
      </c>
      <c r="P569" s="10">
        <v>0.68</v>
      </c>
      <c r="Q569" s="10" t="str">
        <f>_xlfn.IFS(Table1[[#This Row],[Rating]]&gt;=4, "Top Performer", Table1[[#This Row],[Rating]]&gt;=3, "Average", TRUE, "Needs Imporovement")</f>
        <v>Average</v>
      </c>
    </row>
    <row r="570" spans="1:17" x14ac:dyDescent="0.3">
      <c r="A570" s="2" t="s">
        <v>1182</v>
      </c>
      <c r="B570" s="2" t="s">
        <v>1183</v>
      </c>
      <c r="C570" s="2" t="s">
        <v>49</v>
      </c>
      <c r="D570" s="2">
        <v>25</v>
      </c>
      <c r="E570" s="2" t="str">
        <f>_xlfn.IFS(Table1[[#This Row],[Age]]&lt;30, "18-29", D570&lt;=45,"30-45", D570&lt;=55, "46-55", TRUE, "55+")</f>
        <v>18-29</v>
      </c>
      <c r="F570" s="2" t="s">
        <v>44</v>
      </c>
      <c r="G570" s="2" t="s">
        <v>45</v>
      </c>
      <c r="H570" s="2" t="s">
        <v>17</v>
      </c>
      <c r="I570" s="5">
        <v>5</v>
      </c>
      <c r="J570" s="5" t="str">
        <f>_xlfn.IFS(Table1[[#This Row],[Experience(Years)]]&lt;5, "Junior", I570&lt;=12, "Mid-Level", I570&lt;=20, "Senior", I570&lt;=30, "Super Senior", TRUE, "Expert")</f>
        <v>Mid-Level</v>
      </c>
      <c r="K570" s="7">
        <v>40</v>
      </c>
      <c r="L570" s="7">
        <f>Table1[[#This Row],[Hourly Rate]]*1000</f>
        <v>40000</v>
      </c>
      <c r="M570" s="7" t="str">
        <f t="shared" si="8"/>
        <v>Standard</v>
      </c>
      <c r="N570" s="2">
        <f>IF(ISNUMBER(#REF!),#REF!, _xlfn.IFS( I570&gt;=30, 5, I570&gt;=25, 4.8, I570&gt;=15, 4, I570&gt;=10, 3.8, I570&gt;=5, 3, I570&gt;=2, 2.5, I570&gt;=0, 1.8, TRUE, 1.3))</f>
        <v>3</v>
      </c>
      <c r="O570" s="2" t="s">
        <v>2053</v>
      </c>
      <c r="P570" s="10">
        <v>0.75</v>
      </c>
      <c r="Q570" s="10" t="str">
        <f>_xlfn.IFS(Table1[[#This Row],[Rating]]&gt;=4, "Top Performer", Table1[[#This Row],[Rating]]&gt;=3, "Average", TRUE, "Needs Imporovement")</f>
        <v>Average</v>
      </c>
    </row>
    <row r="571" spans="1:17" x14ac:dyDescent="0.3">
      <c r="A571" s="2" t="s">
        <v>1184</v>
      </c>
      <c r="B571" s="2" t="s">
        <v>1185</v>
      </c>
      <c r="C571" s="2" t="s">
        <v>49</v>
      </c>
      <c r="D571" s="2">
        <v>38</v>
      </c>
      <c r="E571" s="2" t="str">
        <f>_xlfn.IFS(Table1[[#This Row],[Age]]&lt;30, "18-29", D571&lt;=45,"30-45", D571&lt;=55, "46-55", TRUE, "55+")</f>
        <v>30-45</v>
      </c>
      <c r="F571" s="2" t="s">
        <v>96</v>
      </c>
      <c r="G571" s="2" t="s">
        <v>8</v>
      </c>
      <c r="H571" s="2" t="s">
        <v>46</v>
      </c>
      <c r="I571" s="5">
        <v>3</v>
      </c>
      <c r="J571" s="5" t="str">
        <f>_xlfn.IFS(Table1[[#This Row],[Experience(Years)]]&lt;5, "Junior", I571&lt;=12, "Mid-Level", I571&lt;=20, "Senior", I571&lt;=30, "Super Senior", TRUE, "Expert")</f>
        <v>Junior</v>
      </c>
      <c r="K571" s="7">
        <v>40</v>
      </c>
      <c r="L571" s="7">
        <f>Table1[[#This Row],[Hourly Rate]]*1000</f>
        <v>40000</v>
      </c>
      <c r="M571" s="7" t="str">
        <f t="shared" si="8"/>
        <v>Standard</v>
      </c>
      <c r="N571" s="2">
        <f>IF(ISNUMBER(#REF!),#REF!, _xlfn.IFS( I571&gt;=30, 5, I571&gt;=25, 4.8, I571&gt;=15, 4, I571&gt;=10, 3.8, I571&gt;=5, 3, I571&gt;=2, 2.5, I571&gt;=0, 1.8, TRUE, 1.3))</f>
        <v>2.5</v>
      </c>
      <c r="O571" s="2" t="s">
        <v>2052</v>
      </c>
      <c r="P571" s="10">
        <v>0.69</v>
      </c>
      <c r="Q571" s="10" t="str">
        <f>_xlfn.IFS(Table1[[#This Row],[Rating]]&gt;=4, "Top Performer", Table1[[#This Row],[Rating]]&gt;=3, "Average", TRUE, "Needs Imporovement")</f>
        <v>Needs Imporovement</v>
      </c>
    </row>
    <row r="572" spans="1:17" x14ac:dyDescent="0.3">
      <c r="A572" s="2" t="s">
        <v>1186</v>
      </c>
      <c r="B572" s="2" t="s">
        <v>1187</v>
      </c>
      <c r="C572" s="2" t="s">
        <v>49</v>
      </c>
      <c r="D572" s="2">
        <v>43</v>
      </c>
      <c r="E572" s="2" t="str">
        <f>_xlfn.IFS(Table1[[#This Row],[Age]]&lt;30, "18-29", D572&lt;=45,"30-45", D572&lt;=55, "46-55", TRUE, "55+")</f>
        <v>30-45</v>
      </c>
      <c r="F572" s="2" t="s">
        <v>34</v>
      </c>
      <c r="G572" s="2" t="s">
        <v>8</v>
      </c>
      <c r="H572" s="2" t="s">
        <v>61</v>
      </c>
      <c r="I572" s="5">
        <v>1</v>
      </c>
      <c r="J572" s="5" t="str">
        <f>_xlfn.IFS(Table1[[#This Row],[Experience(Years)]]&lt;5, "Junior", I572&lt;=12, "Mid-Level", I572&lt;=20, "Senior", I572&lt;=30, "Super Senior", TRUE, "Expert")</f>
        <v>Junior</v>
      </c>
      <c r="K572" s="7">
        <v>40</v>
      </c>
      <c r="L572" s="7">
        <f>Table1[[#This Row],[Hourly Rate]]*1000</f>
        <v>40000</v>
      </c>
      <c r="M572" s="7" t="str">
        <f t="shared" si="8"/>
        <v>Standard</v>
      </c>
      <c r="N572" s="2">
        <f>IF(ISNUMBER(#REF!),#REF!, _xlfn.IFS( I572&gt;=30, 5, I572&gt;=25, 4.8, I572&gt;=15, 4, I572&gt;=10, 3.8, I572&gt;=5, 3, I572&gt;=2, 2.5, I572&gt;=0, 1.8, TRUE, 1.3))</f>
        <v>1.8</v>
      </c>
      <c r="O572" s="2" t="s">
        <v>2052</v>
      </c>
      <c r="P572" s="10">
        <v>0.78</v>
      </c>
      <c r="Q572" s="10" t="str">
        <f>_xlfn.IFS(Table1[[#This Row],[Rating]]&gt;=4, "Top Performer", Table1[[#This Row],[Rating]]&gt;=3, "Average", TRUE, "Needs Imporovement")</f>
        <v>Needs Imporovement</v>
      </c>
    </row>
    <row r="573" spans="1:17" x14ac:dyDescent="0.3">
      <c r="A573" s="2" t="s">
        <v>1188</v>
      </c>
      <c r="B573" s="2" t="s">
        <v>1189</v>
      </c>
      <c r="C573" s="2" t="s">
        <v>49</v>
      </c>
      <c r="D573" s="2">
        <v>54</v>
      </c>
      <c r="E573" s="2" t="str">
        <f>_xlfn.IFS(Table1[[#This Row],[Age]]&lt;30, "18-29", D573&lt;=45,"30-45", D573&lt;=55, "46-55", TRUE, "55+")</f>
        <v>46-55</v>
      </c>
      <c r="F573" s="2" t="s">
        <v>145</v>
      </c>
      <c r="G573" s="2" t="s">
        <v>45</v>
      </c>
      <c r="H573" s="2" t="s">
        <v>24</v>
      </c>
      <c r="I573" s="5">
        <v>1</v>
      </c>
      <c r="J573" s="5" t="str">
        <f>_xlfn.IFS(Table1[[#This Row],[Experience(Years)]]&lt;5, "Junior", I573&lt;=12, "Mid-Level", I573&lt;=20, "Senior", I573&lt;=30, "Super Senior", TRUE, "Expert")</f>
        <v>Junior</v>
      </c>
      <c r="K573" s="7">
        <v>75</v>
      </c>
      <c r="L573" s="7">
        <f>Table1[[#This Row],[Hourly Rate]]*1000</f>
        <v>75000</v>
      </c>
      <c r="M573" s="7" t="str">
        <f t="shared" si="8"/>
        <v>Standard</v>
      </c>
      <c r="N573" s="2">
        <f>IF(ISNUMBER(#REF!),#REF!, _xlfn.IFS( I573&gt;=30, 5, I573&gt;=25, 4.8, I573&gt;=15, 4, I573&gt;=10, 3.8, I573&gt;=5, 3, I573&gt;=2, 2.5, I573&gt;=0, 1.8, TRUE, 1.3))</f>
        <v>1.8</v>
      </c>
      <c r="O573" s="2" t="s">
        <v>2053</v>
      </c>
      <c r="P573" s="10">
        <v>0.3</v>
      </c>
      <c r="Q573" s="10" t="str">
        <f>_xlfn.IFS(Table1[[#This Row],[Rating]]&gt;=4, "Top Performer", Table1[[#This Row],[Rating]]&gt;=3, "Average", TRUE, "Needs Imporovement")</f>
        <v>Needs Imporovement</v>
      </c>
    </row>
    <row r="574" spans="1:17" x14ac:dyDescent="0.3">
      <c r="A574" s="2" t="s">
        <v>1190</v>
      </c>
      <c r="B574" s="2" t="s">
        <v>1191</v>
      </c>
      <c r="C574" s="2" t="s">
        <v>49</v>
      </c>
      <c r="D574" s="2">
        <v>31</v>
      </c>
      <c r="E574" s="2" t="str">
        <f>_xlfn.IFS(Table1[[#This Row],[Age]]&lt;30, "18-29", D574&lt;=45,"30-45", D574&lt;=55, "46-55", TRUE, "55+")</f>
        <v>30-45</v>
      </c>
      <c r="F574" s="2" t="s">
        <v>27</v>
      </c>
      <c r="G574" s="2" t="s">
        <v>28</v>
      </c>
      <c r="H574" s="2" t="s">
        <v>9</v>
      </c>
      <c r="I574" s="5">
        <v>2</v>
      </c>
      <c r="J574" s="5" t="str">
        <f>_xlfn.IFS(Table1[[#This Row],[Experience(Years)]]&lt;5, "Junior", I574&lt;=12, "Mid-Level", I574&lt;=20, "Senior", I574&lt;=30, "Super Senior", TRUE, "Expert")</f>
        <v>Junior</v>
      </c>
      <c r="K574" s="7">
        <v>40</v>
      </c>
      <c r="L574" s="7">
        <f>Table1[[#This Row],[Hourly Rate]]*1000</f>
        <v>40000</v>
      </c>
      <c r="M574" s="7" t="str">
        <f t="shared" si="8"/>
        <v>Standard</v>
      </c>
      <c r="N574" s="2">
        <f>IF(ISNUMBER(#REF!),#REF!, _xlfn.IFS( I574&gt;=30, 5, I574&gt;=25, 4.8, I574&gt;=15, 4, I574&gt;=10, 3.8, I574&gt;=5, 3, I574&gt;=2, 2.5, I574&gt;=0, 1.8, TRUE, 1.3))</f>
        <v>2.5</v>
      </c>
      <c r="O574" s="2" t="s">
        <v>2052</v>
      </c>
      <c r="P574" s="10">
        <v>0.98</v>
      </c>
      <c r="Q574" s="10" t="str">
        <f>_xlfn.IFS(Table1[[#This Row],[Rating]]&gt;=4, "Top Performer", Table1[[#This Row],[Rating]]&gt;=3, "Average", TRUE, "Needs Imporovement")</f>
        <v>Needs Imporovement</v>
      </c>
    </row>
    <row r="575" spans="1:17" x14ac:dyDescent="0.3">
      <c r="A575" s="2" t="s">
        <v>1192</v>
      </c>
      <c r="B575" s="2" t="s">
        <v>1193</v>
      </c>
      <c r="C575" s="2" t="s">
        <v>49</v>
      </c>
      <c r="D575" s="2">
        <v>56</v>
      </c>
      <c r="E575" s="2" t="str">
        <f>_xlfn.IFS(Table1[[#This Row],[Age]]&lt;30, "18-29", D575&lt;=45,"30-45", D575&lt;=55, "46-55", TRUE, "55+")</f>
        <v>55+</v>
      </c>
      <c r="F575" s="2" t="s">
        <v>145</v>
      </c>
      <c r="G575" s="2" t="s">
        <v>45</v>
      </c>
      <c r="H575" s="2" t="s">
        <v>24</v>
      </c>
      <c r="I575" s="5">
        <v>3</v>
      </c>
      <c r="J575" s="5" t="str">
        <f>_xlfn.IFS(Table1[[#This Row],[Experience(Years)]]&lt;5, "Junior", I575&lt;=12, "Mid-Level", I575&lt;=20, "Senior", I575&lt;=30, "Super Senior", TRUE, "Expert")</f>
        <v>Junior</v>
      </c>
      <c r="K575" s="7">
        <v>30</v>
      </c>
      <c r="L575" s="7">
        <f>Table1[[#This Row],[Hourly Rate]]*1000</f>
        <v>30000</v>
      </c>
      <c r="M575" s="7" t="str">
        <f t="shared" si="8"/>
        <v>Budget</v>
      </c>
      <c r="N575" s="2">
        <f>IF(ISNUMBER(#REF!),#REF!, _xlfn.IFS( I575&gt;=30, 5, I575&gt;=25, 4.8, I575&gt;=15, 4, I575&gt;=10, 3.8, I575&gt;=5, 3, I575&gt;=2, 2.5, I575&gt;=0, 1.8, TRUE, 1.3))</f>
        <v>2.5</v>
      </c>
      <c r="O575" s="2" t="str">
        <f>IF(AND( Table1[[#This Row],[Rating]]&gt;=3.5, Table1[[#This Row],[Experience(Years)]]&gt;=15), "Active", "Inactive")</f>
        <v>Inactive</v>
      </c>
      <c r="P575" s="10">
        <v>0.83</v>
      </c>
      <c r="Q575" s="10" t="str">
        <f>_xlfn.IFS(Table1[[#This Row],[Rating]]&gt;=4, "Top Performer", Table1[[#This Row],[Rating]]&gt;=3, "Average", TRUE, "Needs Imporovement")</f>
        <v>Needs Imporovement</v>
      </c>
    </row>
    <row r="576" spans="1:17" x14ac:dyDescent="0.3">
      <c r="A576" s="2" t="s">
        <v>1194</v>
      </c>
      <c r="B576" s="2" t="s">
        <v>1195</v>
      </c>
      <c r="C576" s="2" t="s">
        <v>68</v>
      </c>
      <c r="D576" s="2">
        <v>46</v>
      </c>
      <c r="E576" s="2" t="str">
        <f>_xlfn.IFS(Table1[[#This Row],[Age]]&lt;30, "18-29", D576&lt;=45,"30-45", D576&lt;=55, "46-55", TRUE, "55+")</f>
        <v>46-55</v>
      </c>
      <c r="F576" s="2" t="s">
        <v>145</v>
      </c>
      <c r="G576" s="2" t="s">
        <v>45</v>
      </c>
      <c r="H576" s="2" t="s">
        <v>14</v>
      </c>
      <c r="I576" s="5">
        <v>11</v>
      </c>
      <c r="J576" s="5" t="str">
        <f>_xlfn.IFS(Table1[[#This Row],[Experience(Years)]]&lt;5, "Junior", I576&lt;=12, "Mid-Level", I576&lt;=20, "Senior", I576&lt;=30, "Super Senior", TRUE, "Expert")</f>
        <v>Mid-Level</v>
      </c>
      <c r="K576" s="7">
        <v>50</v>
      </c>
      <c r="L576" s="7">
        <f>Table1[[#This Row],[Hourly Rate]]*1000</f>
        <v>50000</v>
      </c>
      <c r="M576" s="7" t="str">
        <f t="shared" si="8"/>
        <v>Standard</v>
      </c>
      <c r="N576" s="2">
        <f>IF(ISNUMBER(#REF!),#REF!, _xlfn.IFS( I576&gt;=30, 5, I576&gt;=25, 4.8, I576&gt;=15, 4, I576&gt;=10, 3.8, I576&gt;=5, 3, I576&gt;=2, 2.5, I576&gt;=0, 1.8, TRUE, 1.3))</f>
        <v>3.8</v>
      </c>
      <c r="O576" s="2" t="s">
        <v>2053</v>
      </c>
      <c r="P576" s="10">
        <v>0.91</v>
      </c>
      <c r="Q576" s="10" t="str">
        <f>_xlfn.IFS(Table1[[#This Row],[Rating]]&gt;=4, "Top Performer", Table1[[#This Row],[Rating]]&gt;=3, "Average", TRUE, "Needs Imporovement")</f>
        <v>Average</v>
      </c>
    </row>
    <row r="577" spans="1:17" x14ac:dyDescent="0.3">
      <c r="A577" s="2" t="s">
        <v>1196</v>
      </c>
      <c r="B577" s="2" t="s">
        <v>1197</v>
      </c>
      <c r="C577" s="2" t="s">
        <v>68</v>
      </c>
      <c r="D577" s="2">
        <v>60</v>
      </c>
      <c r="E577" s="2" t="str">
        <f>_xlfn.IFS(Table1[[#This Row],[Age]]&lt;30, "18-29", D577&lt;=45,"30-45", D577&lt;=55, "46-55", TRUE, "55+")</f>
        <v>55+</v>
      </c>
      <c r="F577" s="2" t="s">
        <v>107</v>
      </c>
      <c r="G577" s="2" t="s">
        <v>108</v>
      </c>
      <c r="H577" s="2" t="s">
        <v>24</v>
      </c>
      <c r="I577" s="5">
        <v>15</v>
      </c>
      <c r="J577" s="5" t="str">
        <f>_xlfn.IFS(Table1[[#This Row],[Experience(Years)]]&lt;5, "Junior", I577&lt;=12, "Mid-Level", I577&lt;=20, "Senior", I577&lt;=30, "Super Senior", TRUE, "Expert")</f>
        <v>Senior</v>
      </c>
      <c r="K577" s="7">
        <v>100</v>
      </c>
      <c r="L577" s="7">
        <f>Table1[[#This Row],[Hourly Rate]]*1000</f>
        <v>100000</v>
      </c>
      <c r="M577" s="7" t="str">
        <f t="shared" si="8"/>
        <v>Premium</v>
      </c>
      <c r="N577" s="2">
        <f>IF(ISNUMBER(#REF!),#REF!, _xlfn.IFS( I577&gt;=30, 5, I577&gt;=25, 4.8, I577&gt;=15, 4, I577&gt;=10, 3.8, I577&gt;=5, 3, I577&gt;=2, 2.5, I577&gt;=0, 1.8, TRUE, 1.3))</f>
        <v>4</v>
      </c>
      <c r="O577" s="2" t="s">
        <v>2053</v>
      </c>
      <c r="P577" s="10">
        <v>0.96</v>
      </c>
      <c r="Q577" s="10" t="str">
        <f>_xlfn.IFS(Table1[[#This Row],[Rating]]&gt;=4, "Top Performer", Table1[[#This Row],[Rating]]&gt;=3, "Average", TRUE, "Needs Imporovement")</f>
        <v>Top Performer</v>
      </c>
    </row>
    <row r="578" spans="1:17" x14ac:dyDescent="0.3">
      <c r="A578" s="2" t="s">
        <v>1198</v>
      </c>
      <c r="B578" s="2" t="s">
        <v>1199</v>
      </c>
      <c r="C578" s="2" t="s">
        <v>49</v>
      </c>
      <c r="D578" s="2">
        <v>28</v>
      </c>
      <c r="E578" s="2" t="str">
        <f>_xlfn.IFS(Table1[[#This Row],[Age]]&lt;30, "18-29", D578&lt;=45,"30-45", D578&lt;=55, "46-55", TRUE, "55+")</f>
        <v>18-29</v>
      </c>
      <c r="F578" s="2" t="s">
        <v>81</v>
      </c>
      <c r="G578" s="2" t="s">
        <v>82</v>
      </c>
      <c r="H578" s="2" t="s">
        <v>14</v>
      </c>
      <c r="I578" s="5">
        <v>2</v>
      </c>
      <c r="J578" s="5" t="str">
        <f>_xlfn.IFS(Table1[[#This Row],[Experience(Years)]]&lt;5, "Junior", I578&lt;=12, "Mid-Level", I578&lt;=20, "Senior", I578&lt;=30, "Super Senior", TRUE, "Expert")</f>
        <v>Junior</v>
      </c>
      <c r="K578" s="7">
        <v>50</v>
      </c>
      <c r="L578" s="7">
        <f>Table1[[#This Row],[Hourly Rate]]*1000</f>
        <v>50000</v>
      </c>
      <c r="M578" s="7" t="str">
        <f t="shared" ref="M578:M641" si="9">_xlfn.IFS(K578&lt;40, "Budget", K578&lt;=80, "Standard", TRUE, "Premium")</f>
        <v>Standard</v>
      </c>
      <c r="N578" s="2">
        <f>IF(ISNUMBER(#REF!),#REF!, _xlfn.IFS( I578&gt;=30, 5, I578&gt;=25, 4.8, I578&gt;=15, 4, I578&gt;=10, 3.8, I578&gt;=5, 3, I578&gt;=2, 2.5, I578&gt;=0, 1.8, TRUE, 1.3))</f>
        <v>2.5</v>
      </c>
      <c r="O578" s="2" t="s">
        <v>2053</v>
      </c>
      <c r="P578" s="10">
        <v>0.85</v>
      </c>
      <c r="Q578" s="10" t="str">
        <f>_xlfn.IFS(Table1[[#This Row],[Rating]]&gt;=4, "Top Performer", Table1[[#This Row],[Rating]]&gt;=3, "Average", TRUE, "Needs Imporovement")</f>
        <v>Needs Imporovement</v>
      </c>
    </row>
    <row r="579" spans="1:17" x14ac:dyDescent="0.3">
      <c r="A579" s="2" t="s">
        <v>1200</v>
      </c>
      <c r="B579" s="2" t="s">
        <v>1201</v>
      </c>
      <c r="C579" s="2" t="s">
        <v>49</v>
      </c>
      <c r="D579" s="2">
        <v>43</v>
      </c>
      <c r="E579" s="2" t="str">
        <f>_xlfn.IFS(Table1[[#This Row],[Age]]&lt;30, "18-29", D579&lt;=45,"30-45", D579&lt;=55, "46-55", TRUE, "55+")</f>
        <v>30-45</v>
      </c>
      <c r="F579" s="2" t="s">
        <v>27</v>
      </c>
      <c r="G579" s="2" t="s">
        <v>28</v>
      </c>
      <c r="H579" s="2" t="s">
        <v>17</v>
      </c>
      <c r="I579" s="5">
        <v>20</v>
      </c>
      <c r="J579" s="5" t="str">
        <f>_xlfn.IFS(Table1[[#This Row],[Experience(Years)]]&lt;5, "Junior", I579&lt;=12, "Mid-Level", I579&lt;=20, "Senior", I579&lt;=30, "Super Senior", TRUE, "Expert")</f>
        <v>Senior</v>
      </c>
      <c r="K579" s="7">
        <v>30</v>
      </c>
      <c r="L579" s="7">
        <f>Table1[[#This Row],[Hourly Rate]]*1000</f>
        <v>30000</v>
      </c>
      <c r="M579" s="7" t="str">
        <f t="shared" si="9"/>
        <v>Budget</v>
      </c>
      <c r="N579" s="2">
        <f>IF(ISNUMBER(#REF!),#REF!, _xlfn.IFS( I579&gt;=30, 5, I579&gt;=25, 4.8, I579&gt;=15, 4, I579&gt;=10, 3.8, I579&gt;=5, 3, I579&gt;=2, 2.5, I579&gt;=0, 1.8, TRUE, 1.3))</f>
        <v>4</v>
      </c>
      <c r="O579" s="2" t="s">
        <v>2052</v>
      </c>
      <c r="P579" s="10">
        <v>0.72</v>
      </c>
      <c r="Q579" s="10" t="str">
        <f>_xlfn.IFS(Table1[[#This Row],[Rating]]&gt;=4, "Top Performer", Table1[[#This Row],[Rating]]&gt;=3, "Average", TRUE, "Needs Imporovement")</f>
        <v>Top Performer</v>
      </c>
    </row>
    <row r="580" spans="1:17" x14ac:dyDescent="0.3">
      <c r="A580" s="2" t="s">
        <v>1202</v>
      </c>
      <c r="B580" s="2" t="s">
        <v>1203</v>
      </c>
      <c r="C580" s="2" t="s">
        <v>68</v>
      </c>
      <c r="D580" s="2">
        <v>41</v>
      </c>
      <c r="E580" s="2" t="str">
        <f>_xlfn.IFS(Table1[[#This Row],[Age]]&lt;30, "18-29", D580&lt;=45,"30-45", D580&lt;=55, "46-55", TRUE, "55+")</f>
        <v>30-45</v>
      </c>
      <c r="F580" s="2" t="s">
        <v>103</v>
      </c>
      <c r="G580" s="2" t="s">
        <v>104</v>
      </c>
      <c r="H580" s="2" t="s">
        <v>17</v>
      </c>
      <c r="I580" s="5">
        <v>11</v>
      </c>
      <c r="J580" s="5" t="str">
        <f>_xlfn.IFS(Table1[[#This Row],[Experience(Years)]]&lt;5, "Junior", I580&lt;=12, "Mid-Level", I580&lt;=20, "Senior", I580&lt;=30, "Super Senior", TRUE, "Expert")</f>
        <v>Mid-Level</v>
      </c>
      <c r="K580" s="7">
        <v>20</v>
      </c>
      <c r="L580" s="7">
        <f>Table1[[#This Row],[Hourly Rate]]*1000</f>
        <v>20000</v>
      </c>
      <c r="M580" s="7" t="str">
        <f t="shared" si="9"/>
        <v>Budget</v>
      </c>
      <c r="N580" s="2">
        <f>IF(ISNUMBER(#REF!),#REF!, _xlfn.IFS( I580&gt;=30, 5, I580&gt;=25, 4.8, I580&gt;=15, 4, I580&gt;=10, 3.8, I580&gt;=5, 3, I580&gt;=2, 2.5, I580&gt;=0, 1.8, TRUE, 1.3))</f>
        <v>3.8</v>
      </c>
      <c r="O580" s="2" t="str">
        <f>IF(AND( Table1[[#This Row],[Rating]]&gt;=3.5, Table1[[#This Row],[Experience(Years)]]&gt;=15), "Active", "Inactive")</f>
        <v>Inactive</v>
      </c>
      <c r="P580" s="10">
        <v>0.69</v>
      </c>
      <c r="Q580" s="10" t="str">
        <f>_xlfn.IFS(Table1[[#This Row],[Rating]]&gt;=4, "Top Performer", Table1[[#This Row],[Rating]]&gt;=3, "Average", TRUE, "Needs Imporovement")</f>
        <v>Average</v>
      </c>
    </row>
    <row r="581" spans="1:17" x14ac:dyDescent="0.3">
      <c r="A581" s="2" t="s">
        <v>1204</v>
      </c>
      <c r="B581" s="2" t="s">
        <v>1205</v>
      </c>
      <c r="C581" s="2" t="s">
        <v>68</v>
      </c>
      <c r="D581" s="2">
        <v>41</v>
      </c>
      <c r="E581" s="2" t="str">
        <f>_xlfn.IFS(Table1[[#This Row],[Age]]&lt;30, "18-29", D581&lt;=45,"30-45", D581&lt;=55, "46-55", TRUE, "55+")</f>
        <v>30-45</v>
      </c>
      <c r="F581" s="2" t="s">
        <v>41</v>
      </c>
      <c r="G581" s="2" t="s">
        <v>8</v>
      </c>
      <c r="H581" s="2" t="s">
        <v>61</v>
      </c>
      <c r="I581" s="5">
        <v>0</v>
      </c>
      <c r="J581" s="5" t="str">
        <f>_xlfn.IFS(Table1[[#This Row],[Experience(Years)]]&lt;5, "Junior", I581&lt;=12, "Mid-Level", I581&lt;=20, "Senior", I581&lt;=30, "Super Senior", TRUE, "Expert")</f>
        <v>Junior</v>
      </c>
      <c r="K581" s="7">
        <v>20</v>
      </c>
      <c r="L581" s="7">
        <f>Table1[[#This Row],[Hourly Rate]]*1000</f>
        <v>20000</v>
      </c>
      <c r="M581" s="7" t="str">
        <f t="shared" si="9"/>
        <v>Budget</v>
      </c>
      <c r="N581" s="2">
        <f>IF(ISNUMBER(#REF!),#REF!, _xlfn.IFS( I581&gt;=30, 5, I581&gt;=25, 4.8, I581&gt;=15, 4, I581&gt;=10, 3.8, I581&gt;=5, 3, I581&gt;=2, 2.5, I581&gt;=0, 1.8, TRUE, 1.3))</f>
        <v>1.8</v>
      </c>
      <c r="O581" s="2" t="s">
        <v>2052</v>
      </c>
      <c r="P581" s="10">
        <v>0.9</v>
      </c>
      <c r="Q581" s="10" t="str">
        <f>_xlfn.IFS(Table1[[#This Row],[Rating]]&gt;=4, "Top Performer", Table1[[#This Row],[Rating]]&gt;=3, "Average", TRUE, "Needs Imporovement")</f>
        <v>Needs Imporovement</v>
      </c>
    </row>
    <row r="582" spans="1:17" x14ac:dyDescent="0.3">
      <c r="A582" s="2" t="s">
        <v>1206</v>
      </c>
      <c r="B582" s="2" t="s">
        <v>1207</v>
      </c>
      <c r="C582" s="2" t="s">
        <v>49</v>
      </c>
      <c r="D582" s="2">
        <v>40</v>
      </c>
      <c r="E582" s="2" t="str">
        <f>_xlfn.IFS(Table1[[#This Row],[Age]]&lt;30, "18-29", D582&lt;=45,"30-45", D582&lt;=55, "46-55", TRUE, "55+")</f>
        <v>30-45</v>
      </c>
      <c r="F582" s="2" t="s">
        <v>41</v>
      </c>
      <c r="G582" s="2" t="s">
        <v>8</v>
      </c>
      <c r="H582" s="2" t="s">
        <v>9</v>
      </c>
      <c r="I582" s="5">
        <v>20</v>
      </c>
      <c r="J582" s="5" t="str">
        <f>_xlfn.IFS(Table1[[#This Row],[Experience(Years)]]&lt;5, "Junior", I582&lt;=12, "Mid-Level", I582&lt;=20, "Senior", I582&lt;=30, "Super Senior", TRUE, "Expert")</f>
        <v>Senior</v>
      </c>
      <c r="K582" s="7">
        <v>20</v>
      </c>
      <c r="L582" s="7">
        <f>Table1[[#This Row],[Hourly Rate]]*1000</f>
        <v>20000</v>
      </c>
      <c r="M582" s="7" t="str">
        <f t="shared" si="9"/>
        <v>Budget</v>
      </c>
      <c r="N582" s="2">
        <f>IF(ISNUMBER(#REF!),#REF!, _xlfn.IFS( I582&gt;=30, 5, I582&gt;=25, 4.8, I582&gt;=15, 4, I582&gt;=10, 3.8, I582&gt;=5, 3, I582&gt;=2, 2.5, I582&gt;=0, 1.8, TRUE, 1.3))</f>
        <v>4</v>
      </c>
      <c r="O582" s="2" t="s">
        <v>2052</v>
      </c>
      <c r="P582" s="10">
        <v>0.92</v>
      </c>
      <c r="Q582" s="10" t="str">
        <f>_xlfn.IFS(Table1[[#This Row],[Rating]]&gt;=4, "Top Performer", Table1[[#This Row],[Rating]]&gt;=3, "Average", TRUE, "Needs Imporovement")</f>
        <v>Top Performer</v>
      </c>
    </row>
    <row r="583" spans="1:17" x14ac:dyDescent="0.3">
      <c r="A583" s="2" t="s">
        <v>1208</v>
      </c>
      <c r="B583" s="2" t="s">
        <v>1209</v>
      </c>
      <c r="C583" s="2" t="s">
        <v>68</v>
      </c>
      <c r="D583" s="2">
        <v>45</v>
      </c>
      <c r="E583" s="2" t="str">
        <f>_xlfn.IFS(Table1[[#This Row],[Age]]&lt;30, "18-29", D583&lt;=45,"30-45", D583&lt;=55, "46-55", TRUE, "55+")</f>
        <v>30-45</v>
      </c>
      <c r="F583" s="2" t="s">
        <v>12</v>
      </c>
      <c r="G583" s="2" t="s">
        <v>13</v>
      </c>
      <c r="H583" s="2" t="s">
        <v>61</v>
      </c>
      <c r="I583" s="5">
        <v>3</v>
      </c>
      <c r="J583" s="5" t="str">
        <f>_xlfn.IFS(Table1[[#This Row],[Experience(Years)]]&lt;5, "Junior", I583&lt;=12, "Mid-Level", I583&lt;=20, "Senior", I583&lt;=30, "Super Senior", TRUE, "Expert")</f>
        <v>Junior</v>
      </c>
      <c r="K583" s="7">
        <v>20</v>
      </c>
      <c r="L583" s="7">
        <f>Table1[[#This Row],[Hourly Rate]]*1000</f>
        <v>20000</v>
      </c>
      <c r="M583" s="7" t="str">
        <f t="shared" si="9"/>
        <v>Budget</v>
      </c>
      <c r="N583" s="2">
        <f>IF(ISNUMBER(#REF!),#REF!, _xlfn.IFS( I583&gt;=30, 5, I583&gt;=25, 4.8, I583&gt;=15, 4, I583&gt;=10, 3.8, I583&gt;=5, 3, I583&gt;=2, 2.5, I583&gt;=0, 1.8, TRUE, 1.3))</f>
        <v>2.5</v>
      </c>
      <c r="O583" s="2" t="s">
        <v>2053</v>
      </c>
      <c r="P583" s="10">
        <v>0.91</v>
      </c>
      <c r="Q583" s="10" t="str">
        <f>_xlfn.IFS(Table1[[#This Row],[Rating]]&gt;=4, "Top Performer", Table1[[#This Row],[Rating]]&gt;=3, "Average", TRUE, "Needs Imporovement")</f>
        <v>Needs Imporovement</v>
      </c>
    </row>
    <row r="584" spans="1:17" x14ac:dyDescent="0.3">
      <c r="A584" s="2" t="s">
        <v>1210</v>
      </c>
      <c r="B584" s="2" t="s">
        <v>1211</v>
      </c>
      <c r="C584" s="2" t="s">
        <v>68</v>
      </c>
      <c r="D584" s="2">
        <v>47</v>
      </c>
      <c r="E584" s="2" t="str">
        <f>_xlfn.IFS(Table1[[#This Row],[Age]]&lt;30, "18-29", D584&lt;=45,"30-45", D584&lt;=55, "46-55", TRUE, "55+")</f>
        <v>46-55</v>
      </c>
      <c r="F584" s="2" t="s">
        <v>107</v>
      </c>
      <c r="G584" s="2" t="s">
        <v>108</v>
      </c>
      <c r="H584" s="2" t="s">
        <v>61</v>
      </c>
      <c r="I584" s="5">
        <v>28</v>
      </c>
      <c r="J584" s="5" t="str">
        <f>_xlfn.IFS(Table1[[#This Row],[Experience(Years)]]&lt;5, "Junior", I584&lt;=12, "Mid-Level", I584&lt;=20, "Senior", I584&lt;=30, "Super Senior", TRUE, "Expert")</f>
        <v>Super Senior</v>
      </c>
      <c r="K584" s="7">
        <v>50</v>
      </c>
      <c r="L584" s="7">
        <f>Table1[[#This Row],[Hourly Rate]]*1000</f>
        <v>50000</v>
      </c>
      <c r="M584" s="7" t="str">
        <f t="shared" si="9"/>
        <v>Standard</v>
      </c>
      <c r="N584" s="2">
        <f>IF(ISNUMBER(#REF!),#REF!, _xlfn.IFS( I584&gt;=30, 5, I584&gt;=25, 4.8, I584&gt;=15, 4, I584&gt;=10, 3.8, I584&gt;=5, 3, I584&gt;=2, 2.5, I584&gt;=0, 1.8, TRUE, 1.3))</f>
        <v>4.8</v>
      </c>
      <c r="O584" s="2" t="s">
        <v>2053</v>
      </c>
      <c r="P584" s="10">
        <v>0.9</v>
      </c>
      <c r="Q584" s="10" t="str">
        <f>_xlfn.IFS(Table1[[#This Row],[Rating]]&gt;=4, "Top Performer", Table1[[#This Row],[Rating]]&gt;=3, "Average", TRUE, "Needs Imporovement")</f>
        <v>Top Performer</v>
      </c>
    </row>
    <row r="585" spans="1:17" x14ac:dyDescent="0.3">
      <c r="A585" s="2" t="s">
        <v>1212</v>
      </c>
      <c r="B585" s="2" t="s">
        <v>1213</v>
      </c>
      <c r="C585" s="2" t="s">
        <v>68</v>
      </c>
      <c r="D585" s="2">
        <v>34</v>
      </c>
      <c r="E585" s="2" t="str">
        <f>_xlfn.IFS(Table1[[#This Row],[Age]]&lt;30, "18-29", D585&lt;=45,"30-45", D585&lt;=55, "46-55", TRUE, "55+")</f>
        <v>30-45</v>
      </c>
      <c r="F585" s="2" t="s">
        <v>64</v>
      </c>
      <c r="G585" s="2" t="s">
        <v>65</v>
      </c>
      <c r="H585" s="2" t="s">
        <v>29</v>
      </c>
      <c r="I585" s="5">
        <v>0</v>
      </c>
      <c r="J585" s="5" t="str">
        <f>_xlfn.IFS(Table1[[#This Row],[Experience(Years)]]&lt;5, "Junior", I585&lt;=12, "Mid-Level", I585&lt;=20, "Senior", I585&lt;=30, "Super Senior", TRUE, "Expert")</f>
        <v>Junior</v>
      </c>
      <c r="K585" s="7">
        <v>40</v>
      </c>
      <c r="L585" s="7">
        <f>Table1[[#This Row],[Hourly Rate]]*1000</f>
        <v>40000</v>
      </c>
      <c r="M585" s="7" t="str">
        <f t="shared" si="9"/>
        <v>Standard</v>
      </c>
      <c r="N585" s="2">
        <f>IF(ISNUMBER(#REF!),#REF!, _xlfn.IFS( I585&gt;=30, 5, I585&gt;=25, 4.8, I585&gt;=15, 4, I585&gt;=10, 3.8, I585&gt;=5, 3, I585&gt;=2, 2.5, I585&gt;=0, 1.8, TRUE, 1.3))</f>
        <v>1.8</v>
      </c>
      <c r="O585" s="2" t="s">
        <v>2052</v>
      </c>
      <c r="P585" s="10">
        <v>0.98</v>
      </c>
      <c r="Q585" s="10" t="str">
        <f>_xlfn.IFS(Table1[[#This Row],[Rating]]&gt;=4, "Top Performer", Table1[[#This Row],[Rating]]&gt;=3, "Average", TRUE, "Needs Imporovement")</f>
        <v>Needs Imporovement</v>
      </c>
    </row>
    <row r="586" spans="1:17" x14ac:dyDescent="0.3">
      <c r="A586" s="2" t="s">
        <v>1214</v>
      </c>
      <c r="B586" s="2" t="s">
        <v>1215</v>
      </c>
      <c r="C586" s="2" t="s">
        <v>68</v>
      </c>
      <c r="D586" s="2">
        <v>47</v>
      </c>
      <c r="E586" s="2" t="str">
        <f>_xlfn.IFS(Table1[[#This Row],[Age]]&lt;30, "18-29", D586&lt;=45,"30-45", D586&lt;=55, "46-55", TRUE, "55+")</f>
        <v>46-55</v>
      </c>
      <c r="F586" s="2" t="s">
        <v>34</v>
      </c>
      <c r="G586" s="2" t="s">
        <v>8</v>
      </c>
      <c r="H586" s="2" t="s">
        <v>46</v>
      </c>
      <c r="I586" s="5">
        <v>4</v>
      </c>
      <c r="J586" s="5" t="str">
        <f>_xlfn.IFS(Table1[[#This Row],[Experience(Years)]]&lt;5, "Junior", I586&lt;=12, "Mid-Level", I586&lt;=20, "Senior", I586&lt;=30, "Super Senior", TRUE, "Expert")</f>
        <v>Junior</v>
      </c>
      <c r="K586" s="7">
        <v>20</v>
      </c>
      <c r="L586" s="7">
        <f>Table1[[#This Row],[Hourly Rate]]*1000</f>
        <v>20000</v>
      </c>
      <c r="M586" s="7" t="str">
        <f t="shared" si="9"/>
        <v>Budget</v>
      </c>
      <c r="N586" s="2">
        <f>IF(ISNUMBER(#REF!),#REF!, _xlfn.IFS( I586&gt;=30, 5, I586&gt;=25, 4.8, I586&gt;=15, 4, I586&gt;=10, 3.8, I586&gt;=5, 3, I586&gt;=2, 2.5, I586&gt;=0, 1.8, TRUE, 1.3))</f>
        <v>2.5</v>
      </c>
      <c r="O586" s="2" t="str">
        <f>IF(AND( Table1[[#This Row],[Rating]]&gt;=3.5, Table1[[#This Row],[Experience(Years)]]&gt;=15), "Active", "Inactive")</f>
        <v>Inactive</v>
      </c>
      <c r="P586" s="10">
        <v>0.82</v>
      </c>
      <c r="Q586" s="10" t="str">
        <f>_xlfn.IFS(Table1[[#This Row],[Rating]]&gt;=4, "Top Performer", Table1[[#This Row],[Rating]]&gt;=3, "Average", TRUE, "Needs Imporovement")</f>
        <v>Needs Imporovement</v>
      </c>
    </row>
    <row r="587" spans="1:17" x14ac:dyDescent="0.3">
      <c r="A587" s="2" t="s">
        <v>1216</v>
      </c>
      <c r="B587" s="2" t="s">
        <v>1217</v>
      </c>
      <c r="C587" s="2" t="s">
        <v>68</v>
      </c>
      <c r="D587" s="2">
        <v>32</v>
      </c>
      <c r="E587" s="2" t="str">
        <f>_xlfn.IFS(Table1[[#This Row],[Age]]&lt;30, "18-29", D587&lt;=45,"30-45", D587&lt;=55, "46-55", TRUE, "55+")</f>
        <v>30-45</v>
      </c>
      <c r="F587" s="2" t="s">
        <v>145</v>
      </c>
      <c r="G587" s="2" t="s">
        <v>45</v>
      </c>
      <c r="H587" s="2" t="s">
        <v>46</v>
      </c>
      <c r="I587" s="5">
        <v>9</v>
      </c>
      <c r="J587" s="5" t="str">
        <f>_xlfn.IFS(Table1[[#This Row],[Experience(Years)]]&lt;5, "Junior", I587&lt;=12, "Mid-Level", I587&lt;=20, "Senior", I587&lt;=30, "Super Senior", TRUE, "Expert")</f>
        <v>Mid-Level</v>
      </c>
      <c r="K587" s="7">
        <v>40</v>
      </c>
      <c r="L587" s="7">
        <f>Table1[[#This Row],[Hourly Rate]]*1000</f>
        <v>40000</v>
      </c>
      <c r="M587" s="7" t="str">
        <f t="shared" si="9"/>
        <v>Standard</v>
      </c>
      <c r="N587" s="2">
        <f>IF(ISNUMBER(#REF!),#REF!, _xlfn.IFS( I587&gt;=30, 5, I587&gt;=25, 4.8, I587&gt;=15, 4, I587&gt;=10, 3.8, I587&gt;=5, 3, I587&gt;=2, 2.5, I587&gt;=0, 1.8, TRUE, 1.3))</f>
        <v>3</v>
      </c>
      <c r="O587" s="2" t="s">
        <v>2053</v>
      </c>
      <c r="P587" s="10">
        <v>0.83</v>
      </c>
      <c r="Q587" s="10" t="str">
        <f>_xlfn.IFS(Table1[[#This Row],[Rating]]&gt;=4, "Top Performer", Table1[[#This Row],[Rating]]&gt;=3, "Average", TRUE, "Needs Imporovement")</f>
        <v>Average</v>
      </c>
    </row>
    <row r="588" spans="1:17" x14ac:dyDescent="0.3">
      <c r="A588" s="2" t="s">
        <v>1218</v>
      </c>
      <c r="B588" s="2" t="s">
        <v>1219</v>
      </c>
      <c r="C588" s="2" t="s">
        <v>68</v>
      </c>
      <c r="D588" s="2">
        <v>28</v>
      </c>
      <c r="E588" s="2" t="str">
        <f>_xlfn.IFS(Table1[[#This Row],[Age]]&lt;30, "18-29", D588&lt;=45,"30-45", D588&lt;=55, "46-55", TRUE, "55+")</f>
        <v>18-29</v>
      </c>
      <c r="F588" s="2" t="s">
        <v>41</v>
      </c>
      <c r="G588" s="2" t="s">
        <v>8</v>
      </c>
      <c r="H588" s="2" t="s">
        <v>9</v>
      </c>
      <c r="I588" s="5">
        <v>2</v>
      </c>
      <c r="J588" s="5" t="str">
        <f>_xlfn.IFS(Table1[[#This Row],[Experience(Years)]]&lt;5, "Junior", I588&lt;=12, "Mid-Level", I588&lt;=20, "Senior", I588&lt;=30, "Super Senior", TRUE, "Expert")</f>
        <v>Junior</v>
      </c>
      <c r="K588" s="7">
        <v>100</v>
      </c>
      <c r="L588" s="7">
        <f>Table1[[#This Row],[Hourly Rate]]*1000</f>
        <v>100000</v>
      </c>
      <c r="M588" s="7" t="str">
        <f t="shared" si="9"/>
        <v>Premium</v>
      </c>
      <c r="N588" s="2">
        <f>IF(ISNUMBER(#REF!),#REF!, _xlfn.IFS( I588&gt;=30, 5, I588&gt;=25, 4.8, I588&gt;=15, 4, I588&gt;=10, 3.8, I588&gt;=5, 3, I588&gt;=2, 2.5, I588&gt;=0, 1.8, TRUE, 1.3))</f>
        <v>2.5</v>
      </c>
      <c r="O588" s="2" t="s">
        <v>2053</v>
      </c>
      <c r="P588" s="10">
        <v>0.35</v>
      </c>
      <c r="Q588" s="10" t="str">
        <f>_xlfn.IFS(Table1[[#This Row],[Rating]]&gt;=4, "Top Performer", Table1[[#This Row],[Rating]]&gt;=3, "Average", TRUE, "Needs Imporovement")</f>
        <v>Needs Imporovement</v>
      </c>
    </row>
    <row r="589" spans="1:17" x14ac:dyDescent="0.3">
      <c r="A589" s="2" t="s">
        <v>1220</v>
      </c>
      <c r="B589" s="2" t="s">
        <v>1221</v>
      </c>
      <c r="C589" s="2" t="s">
        <v>68</v>
      </c>
      <c r="D589" s="2">
        <v>32</v>
      </c>
      <c r="E589" s="2" t="str">
        <f>_xlfn.IFS(Table1[[#This Row],[Age]]&lt;30, "18-29", D589&lt;=45,"30-45", D589&lt;=55, "46-55", TRUE, "55+")</f>
        <v>30-45</v>
      </c>
      <c r="F589" s="2" t="s">
        <v>7</v>
      </c>
      <c r="G589" s="2" t="s">
        <v>8</v>
      </c>
      <c r="H589" s="2" t="s">
        <v>61</v>
      </c>
      <c r="I589" s="5">
        <v>1</v>
      </c>
      <c r="J589" s="5" t="str">
        <f>_xlfn.IFS(Table1[[#This Row],[Experience(Years)]]&lt;5, "Junior", I589&lt;=12, "Mid-Level", I589&lt;=20, "Senior", I589&lt;=30, "Super Senior", TRUE, "Expert")</f>
        <v>Junior</v>
      </c>
      <c r="K589" s="7">
        <v>100</v>
      </c>
      <c r="L589" s="7">
        <f>Table1[[#This Row],[Hourly Rate]]*1000</f>
        <v>100000</v>
      </c>
      <c r="M589" s="7" t="str">
        <f t="shared" si="9"/>
        <v>Premium</v>
      </c>
      <c r="N589" s="2">
        <f>IF(ISNUMBER(#REF!),#REF!, _xlfn.IFS( I589&gt;=30, 5, I589&gt;=25, 4.8, I589&gt;=15, 4, I589&gt;=10, 3.8, I589&gt;=5, 3, I589&gt;=2, 2.5, I589&gt;=0, 1.8, TRUE, 1.3))</f>
        <v>1.8</v>
      </c>
      <c r="O589" s="2" t="s">
        <v>2053</v>
      </c>
      <c r="P589" s="10">
        <v>0.3</v>
      </c>
      <c r="Q589" s="10" t="str">
        <f>_xlfn.IFS(Table1[[#This Row],[Rating]]&gt;=4, "Top Performer", Table1[[#This Row],[Rating]]&gt;=3, "Average", TRUE, "Needs Imporovement")</f>
        <v>Needs Imporovement</v>
      </c>
    </row>
    <row r="590" spans="1:17" x14ac:dyDescent="0.3">
      <c r="A590" s="2" t="s">
        <v>1222</v>
      </c>
      <c r="B590" s="2" t="s">
        <v>1223</v>
      </c>
      <c r="C590" s="2" t="s">
        <v>49</v>
      </c>
      <c r="D590" s="2">
        <v>49</v>
      </c>
      <c r="E590" s="2" t="str">
        <f>_xlfn.IFS(Table1[[#This Row],[Age]]&lt;30, "18-29", D590&lt;=45,"30-45", D590&lt;=55, "46-55", TRUE, "55+")</f>
        <v>46-55</v>
      </c>
      <c r="F590" s="2" t="s">
        <v>22</v>
      </c>
      <c r="G590" s="2" t="s">
        <v>23</v>
      </c>
      <c r="H590" s="2" t="s">
        <v>24</v>
      </c>
      <c r="I590" s="5">
        <v>2</v>
      </c>
      <c r="J590" s="5" t="str">
        <f>_xlfn.IFS(Table1[[#This Row],[Experience(Years)]]&lt;5, "Junior", I590&lt;=12, "Mid-Level", I590&lt;=20, "Senior", I590&lt;=30, "Super Senior", TRUE, "Expert")</f>
        <v>Junior</v>
      </c>
      <c r="K590" s="7">
        <v>100</v>
      </c>
      <c r="L590" s="7">
        <f>Table1[[#This Row],[Hourly Rate]]*1000</f>
        <v>100000</v>
      </c>
      <c r="M590" s="7" t="str">
        <f t="shared" si="9"/>
        <v>Premium</v>
      </c>
      <c r="N590" s="2">
        <f>IF(ISNUMBER(#REF!),#REF!, _xlfn.IFS( I590&gt;=30, 5, I590&gt;=25, 4.8, I590&gt;=15, 4, I590&gt;=10, 3.8, I590&gt;=5, 3, I590&gt;=2, 2.5, I590&gt;=0, 1.8, TRUE, 1.3))</f>
        <v>2.5</v>
      </c>
      <c r="O590" s="2" t="s">
        <v>2053</v>
      </c>
      <c r="P590" s="10">
        <v>0.85</v>
      </c>
      <c r="Q590" s="10" t="str">
        <f>_xlfn.IFS(Table1[[#This Row],[Rating]]&gt;=4, "Top Performer", Table1[[#This Row],[Rating]]&gt;=3, "Average", TRUE, "Needs Imporovement")</f>
        <v>Needs Imporovement</v>
      </c>
    </row>
    <row r="591" spans="1:17" x14ac:dyDescent="0.3">
      <c r="A591" s="2" t="s">
        <v>1224</v>
      </c>
      <c r="B591" s="2" t="s">
        <v>1225</v>
      </c>
      <c r="C591" s="2" t="s">
        <v>49</v>
      </c>
      <c r="D591" s="2">
        <v>36</v>
      </c>
      <c r="E591" s="2" t="str">
        <f>_xlfn.IFS(Table1[[#This Row],[Age]]&lt;30, "18-29", D591&lt;=45,"30-45", D591&lt;=55, "46-55", TRUE, "55+")</f>
        <v>30-45</v>
      </c>
      <c r="F591" s="2" t="s">
        <v>44</v>
      </c>
      <c r="G591" s="2" t="s">
        <v>45</v>
      </c>
      <c r="H591" s="2" t="s">
        <v>9</v>
      </c>
      <c r="I591" s="5">
        <v>16</v>
      </c>
      <c r="J591" s="5" t="str">
        <f>_xlfn.IFS(Table1[[#This Row],[Experience(Years)]]&lt;5, "Junior", I591&lt;=12, "Mid-Level", I591&lt;=20, "Senior", I591&lt;=30, "Super Senior", TRUE, "Expert")</f>
        <v>Senior</v>
      </c>
      <c r="K591" s="7">
        <v>20</v>
      </c>
      <c r="L591" s="7">
        <f>Table1[[#This Row],[Hourly Rate]]*1000</f>
        <v>20000</v>
      </c>
      <c r="M591" s="7" t="str">
        <f t="shared" si="9"/>
        <v>Budget</v>
      </c>
      <c r="N591" s="2">
        <f>IF(ISNUMBER(#REF!),#REF!, _xlfn.IFS( I591&gt;=30, 5, I591&gt;=25, 4.8, I591&gt;=15, 4, I591&gt;=10, 3.8, I591&gt;=5, 3, I591&gt;=2, 2.5, I591&gt;=0, 1.8, TRUE, 1.3))</f>
        <v>4</v>
      </c>
      <c r="O591" s="2" t="str">
        <f>IF(AND( Table1[[#This Row],[Rating]]&gt;=3.5, Table1[[#This Row],[Experience(Years)]]&gt;=15), "Active", "Inactive")</f>
        <v>Active</v>
      </c>
      <c r="P591" s="10">
        <v>0.85</v>
      </c>
      <c r="Q591" s="10" t="str">
        <f>_xlfn.IFS(Table1[[#This Row],[Rating]]&gt;=4, "Top Performer", Table1[[#This Row],[Rating]]&gt;=3, "Average", TRUE, "Needs Imporovement")</f>
        <v>Top Performer</v>
      </c>
    </row>
    <row r="592" spans="1:17" x14ac:dyDescent="0.3">
      <c r="A592" s="2" t="s">
        <v>1226</v>
      </c>
      <c r="B592" s="2" t="s">
        <v>1227</v>
      </c>
      <c r="C592" s="2" t="s">
        <v>68</v>
      </c>
      <c r="D592" s="2">
        <v>59</v>
      </c>
      <c r="E592" s="2" t="str">
        <f>_xlfn.IFS(Table1[[#This Row],[Age]]&lt;30, "18-29", D592&lt;=45,"30-45", D592&lt;=55, "46-55", TRUE, "55+")</f>
        <v>55+</v>
      </c>
      <c r="F592" s="2" t="s">
        <v>145</v>
      </c>
      <c r="G592" s="2" t="s">
        <v>45</v>
      </c>
      <c r="H592" s="2" t="s">
        <v>4</v>
      </c>
      <c r="I592" s="5">
        <v>22</v>
      </c>
      <c r="J592" s="5" t="str">
        <f>_xlfn.IFS(Table1[[#This Row],[Experience(Years)]]&lt;5, "Junior", I592&lt;=12, "Mid-Level", I592&lt;=20, "Senior", I592&lt;=30, "Super Senior", TRUE, "Expert")</f>
        <v>Super Senior</v>
      </c>
      <c r="K592" s="7">
        <v>20</v>
      </c>
      <c r="L592" s="7">
        <f>Table1[[#This Row],[Hourly Rate]]*1000</f>
        <v>20000</v>
      </c>
      <c r="M592" s="7" t="str">
        <f t="shared" si="9"/>
        <v>Budget</v>
      </c>
      <c r="N592" s="2">
        <f>IF(ISNUMBER(#REF!),#REF!, _xlfn.IFS( I592&gt;=30, 5, I592&gt;=25, 4.8, I592&gt;=15, 4, I592&gt;=10, 3.8, I592&gt;=5, 3, I592&gt;=2, 2.5, I592&gt;=0, 1.8, TRUE, 1.3))</f>
        <v>4</v>
      </c>
      <c r="O592" s="2" t="s">
        <v>2052</v>
      </c>
      <c r="P592" s="10">
        <v>0.63</v>
      </c>
      <c r="Q592" s="10" t="str">
        <f>_xlfn.IFS(Table1[[#This Row],[Rating]]&gt;=4, "Top Performer", Table1[[#This Row],[Rating]]&gt;=3, "Average", TRUE, "Needs Imporovement")</f>
        <v>Top Performer</v>
      </c>
    </row>
    <row r="593" spans="1:17" x14ac:dyDescent="0.3">
      <c r="A593" s="2" t="s">
        <v>1228</v>
      </c>
      <c r="B593" s="2" t="s">
        <v>1229</v>
      </c>
      <c r="C593" s="2" t="s">
        <v>49</v>
      </c>
      <c r="D593" s="2">
        <v>52</v>
      </c>
      <c r="E593" s="2" t="str">
        <f>_xlfn.IFS(Table1[[#This Row],[Age]]&lt;30, "18-29", D593&lt;=45,"30-45", D593&lt;=55, "46-55", TRUE, "55+")</f>
        <v>46-55</v>
      </c>
      <c r="F593" s="2" t="s">
        <v>96</v>
      </c>
      <c r="G593" s="2" t="s">
        <v>8</v>
      </c>
      <c r="H593" s="2" t="s">
        <v>50</v>
      </c>
      <c r="I593" s="5">
        <v>22</v>
      </c>
      <c r="J593" s="5" t="str">
        <f>_xlfn.IFS(Table1[[#This Row],[Experience(Years)]]&lt;5, "Junior", I593&lt;=12, "Mid-Level", I593&lt;=20, "Senior", I593&lt;=30, "Super Senior", TRUE, "Expert")</f>
        <v>Super Senior</v>
      </c>
      <c r="K593" s="7">
        <v>20</v>
      </c>
      <c r="L593" s="7">
        <f>Table1[[#This Row],[Hourly Rate]]*1000</f>
        <v>20000</v>
      </c>
      <c r="M593" s="7" t="str">
        <f t="shared" si="9"/>
        <v>Budget</v>
      </c>
      <c r="N593" s="2">
        <f>IF(ISNUMBER(#REF!),#REF!, _xlfn.IFS( I593&gt;=30, 5, I593&gt;=25, 4.8, I593&gt;=15, 4, I593&gt;=10, 3.8, I593&gt;=5, 3, I593&gt;=2, 2.5, I593&gt;=0, 1.8, TRUE, 1.3))</f>
        <v>4</v>
      </c>
      <c r="O593" s="2" t="s">
        <v>2052</v>
      </c>
      <c r="P593" s="10">
        <v>0.85</v>
      </c>
      <c r="Q593" s="10" t="str">
        <f>_xlfn.IFS(Table1[[#This Row],[Rating]]&gt;=4, "Top Performer", Table1[[#This Row],[Rating]]&gt;=3, "Average", TRUE, "Needs Imporovement")</f>
        <v>Top Performer</v>
      </c>
    </row>
    <row r="594" spans="1:17" x14ac:dyDescent="0.3">
      <c r="A594" s="2" t="s">
        <v>1230</v>
      </c>
      <c r="B594" s="2" t="s">
        <v>1231</v>
      </c>
      <c r="C594" s="2" t="s">
        <v>49</v>
      </c>
      <c r="D594" s="2">
        <v>24</v>
      </c>
      <c r="E594" s="2" t="str">
        <f>_xlfn.IFS(Table1[[#This Row],[Age]]&lt;30, "18-29", D594&lt;=45,"30-45", D594&lt;=55, "46-55", TRUE, "55+")</f>
        <v>18-29</v>
      </c>
      <c r="F594" s="2" t="s">
        <v>141</v>
      </c>
      <c r="G594" s="2" t="s">
        <v>142</v>
      </c>
      <c r="H594" s="2" t="s">
        <v>4</v>
      </c>
      <c r="I594" s="5">
        <v>5</v>
      </c>
      <c r="J594" s="5" t="str">
        <f>_xlfn.IFS(Table1[[#This Row],[Experience(Years)]]&lt;5, "Junior", I594&lt;=12, "Mid-Level", I594&lt;=20, "Senior", I594&lt;=30, "Super Senior", TRUE, "Expert")</f>
        <v>Mid-Level</v>
      </c>
      <c r="K594" s="7">
        <v>40</v>
      </c>
      <c r="L594" s="7">
        <f>Table1[[#This Row],[Hourly Rate]]*1000</f>
        <v>40000</v>
      </c>
      <c r="M594" s="7" t="str">
        <f t="shared" si="9"/>
        <v>Standard</v>
      </c>
      <c r="N594" s="2">
        <f>IF(ISNUMBER(#REF!),#REF!, _xlfn.IFS( I594&gt;=30, 5, I594&gt;=25, 4.8, I594&gt;=15, 4, I594&gt;=10, 3.8, I594&gt;=5, 3, I594&gt;=2, 2.5, I594&gt;=0, 1.8, TRUE, 1.3))</f>
        <v>3</v>
      </c>
      <c r="O594" s="2" t="s">
        <v>2053</v>
      </c>
      <c r="P594" s="10">
        <v>0.86</v>
      </c>
      <c r="Q594" s="10" t="str">
        <f>_xlfn.IFS(Table1[[#This Row],[Rating]]&gt;=4, "Top Performer", Table1[[#This Row],[Rating]]&gt;=3, "Average", TRUE, "Needs Imporovement")</f>
        <v>Average</v>
      </c>
    </row>
    <row r="595" spans="1:17" x14ac:dyDescent="0.3">
      <c r="A595" s="2" t="s">
        <v>1232</v>
      </c>
      <c r="B595" s="2" t="s">
        <v>1233</v>
      </c>
      <c r="C595" s="2" t="s">
        <v>49</v>
      </c>
      <c r="D595" s="2">
        <v>26</v>
      </c>
      <c r="E595" s="2" t="str">
        <f>_xlfn.IFS(Table1[[#This Row],[Age]]&lt;30, "18-29", D595&lt;=45,"30-45", D595&lt;=55, "46-55", TRUE, "55+")</f>
        <v>18-29</v>
      </c>
      <c r="F595" s="2" t="s">
        <v>7</v>
      </c>
      <c r="G595" s="2" t="s">
        <v>8</v>
      </c>
      <c r="H595" s="2" t="s">
        <v>14</v>
      </c>
      <c r="I595" s="5">
        <v>2</v>
      </c>
      <c r="J595" s="5" t="str">
        <f>_xlfn.IFS(Table1[[#This Row],[Experience(Years)]]&lt;5, "Junior", I595&lt;=12, "Mid-Level", I595&lt;=20, "Senior", I595&lt;=30, "Super Senior", TRUE, "Expert")</f>
        <v>Junior</v>
      </c>
      <c r="K595" s="7">
        <v>75</v>
      </c>
      <c r="L595" s="7">
        <f>Table1[[#This Row],[Hourly Rate]]*1000</f>
        <v>75000</v>
      </c>
      <c r="M595" s="7" t="str">
        <f t="shared" si="9"/>
        <v>Standard</v>
      </c>
      <c r="N595" s="2">
        <f>IF(ISNUMBER(#REF!),#REF!, _xlfn.IFS( I595&gt;=30, 5, I595&gt;=25, 4.8, I595&gt;=15, 4, I595&gt;=10, 3.8, I595&gt;=5, 3, I595&gt;=2, 2.5, I595&gt;=0, 1.8, TRUE, 1.3))</f>
        <v>2.5</v>
      </c>
      <c r="O595" s="2" t="s">
        <v>2053</v>
      </c>
      <c r="P595" s="10">
        <v>0.6</v>
      </c>
      <c r="Q595" s="10" t="str">
        <f>_xlfn.IFS(Table1[[#This Row],[Rating]]&gt;=4, "Top Performer", Table1[[#This Row],[Rating]]&gt;=3, "Average", TRUE, "Needs Imporovement")</f>
        <v>Needs Imporovement</v>
      </c>
    </row>
    <row r="596" spans="1:17" x14ac:dyDescent="0.3">
      <c r="A596" s="2" t="s">
        <v>1234</v>
      </c>
      <c r="B596" s="2" t="s">
        <v>1235</v>
      </c>
      <c r="C596" s="2" t="s">
        <v>68</v>
      </c>
      <c r="D596" s="2">
        <v>55</v>
      </c>
      <c r="E596" s="2" t="str">
        <f>_xlfn.IFS(Table1[[#This Row],[Age]]&lt;30, "18-29", D596&lt;=45,"30-45", D596&lt;=55, "46-55", TRUE, "55+")</f>
        <v>46-55</v>
      </c>
      <c r="F596" s="2" t="s">
        <v>96</v>
      </c>
      <c r="G596" s="2" t="s">
        <v>8</v>
      </c>
      <c r="H596" s="2" t="s">
        <v>50</v>
      </c>
      <c r="I596" s="5">
        <v>24</v>
      </c>
      <c r="J596" s="5" t="str">
        <f>_xlfn.IFS(Table1[[#This Row],[Experience(Years)]]&lt;5, "Junior", I596&lt;=12, "Mid-Level", I596&lt;=20, "Senior", I596&lt;=30, "Super Senior", TRUE, "Expert")</f>
        <v>Super Senior</v>
      </c>
      <c r="K596" s="7">
        <v>40</v>
      </c>
      <c r="L596" s="7">
        <f>Table1[[#This Row],[Hourly Rate]]*1000</f>
        <v>40000</v>
      </c>
      <c r="M596" s="7" t="str">
        <f t="shared" si="9"/>
        <v>Standard</v>
      </c>
      <c r="N596" s="2">
        <f>IF(ISNUMBER(#REF!),#REF!, _xlfn.IFS( I596&gt;=30, 5, I596&gt;=25, 4.8, I596&gt;=15, 4, I596&gt;=10, 3.8, I596&gt;=5, 3, I596&gt;=2, 2.5, I596&gt;=0, 1.8, TRUE, 1.3))</f>
        <v>4</v>
      </c>
      <c r="O596" s="2" t="s">
        <v>2053</v>
      </c>
      <c r="P596" s="10">
        <v>0.88</v>
      </c>
      <c r="Q596" s="10" t="str">
        <f>_xlfn.IFS(Table1[[#This Row],[Rating]]&gt;=4, "Top Performer", Table1[[#This Row],[Rating]]&gt;=3, "Average", TRUE, "Needs Imporovement")</f>
        <v>Top Performer</v>
      </c>
    </row>
    <row r="597" spans="1:17" x14ac:dyDescent="0.3">
      <c r="A597" s="2" t="s">
        <v>1236</v>
      </c>
      <c r="B597" s="2" t="s">
        <v>1237</v>
      </c>
      <c r="C597" s="2" t="s">
        <v>49</v>
      </c>
      <c r="D597" s="2">
        <v>56</v>
      </c>
      <c r="E597" s="2" t="str">
        <f>_xlfn.IFS(Table1[[#This Row],[Age]]&lt;30, "18-29", D597&lt;=45,"30-45", D597&lt;=55, "46-55", TRUE, "55+")</f>
        <v>55+</v>
      </c>
      <c r="F597" s="2" t="s">
        <v>2</v>
      </c>
      <c r="G597" s="2" t="s">
        <v>3</v>
      </c>
      <c r="H597" s="2" t="s">
        <v>9</v>
      </c>
      <c r="I597" s="5">
        <v>37</v>
      </c>
      <c r="J597" s="5" t="str">
        <f>_xlfn.IFS(Table1[[#This Row],[Experience(Years)]]&lt;5, "Junior", I597&lt;=12, "Mid-Level", I597&lt;=20, "Senior", I597&lt;=30, "Super Senior", TRUE, "Expert")</f>
        <v>Expert</v>
      </c>
      <c r="K597" s="7">
        <v>40</v>
      </c>
      <c r="L597" s="7">
        <f>Table1[[#This Row],[Hourly Rate]]*1000</f>
        <v>40000</v>
      </c>
      <c r="M597" s="7" t="str">
        <f t="shared" si="9"/>
        <v>Standard</v>
      </c>
      <c r="N597" s="2">
        <f>IF(ISNUMBER(#REF!),#REF!, _xlfn.IFS( I597&gt;=30, 5, I597&gt;=25, 4.8, I597&gt;=15, 4, I597&gt;=10, 3.8, I597&gt;=5, 3, I597&gt;=2, 2.5, I597&gt;=0, 1.8, TRUE, 1.3))</f>
        <v>5</v>
      </c>
      <c r="O597" s="2" t="s">
        <v>2052</v>
      </c>
      <c r="P597" s="10">
        <v>0.7</v>
      </c>
      <c r="Q597" s="10" t="str">
        <f>_xlfn.IFS(Table1[[#This Row],[Rating]]&gt;=4, "Top Performer", Table1[[#This Row],[Rating]]&gt;=3, "Average", TRUE, "Needs Imporovement")</f>
        <v>Top Performer</v>
      </c>
    </row>
    <row r="598" spans="1:17" x14ac:dyDescent="0.3">
      <c r="A598" s="2" t="s">
        <v>1238</v>
      </c>
      <c r="B598" s="2" t="s">
        <v>1239</v>
      </c>
      <c r="C598" s="2" t="s">
        <v>68</v>
      </c>
      <c r="D598" s="2">
        <v>36</v>
      </c>
      <c r="E598" s="2" t="str">
        <f>_xlfn.IFS(Table1[[#This Row],[Age]]&lt;30, "18-29", D598&lt;=45,"30-45", D598&lt;=55, "46-55", TRUE, "55+")</f>
        <v>30-45</v>
      </c>
      <c r="F598" s="2" t="s">
        <v>103</v>
      </c>
      <c r="G598" s="2" t="s">
        <v>104</v>
      </c>
      <c r="H598" s="2" t="s">
        <v>14</v>
      </c>
      <c r="I598" s="5">
        <v>3</v>
      </c>
      <c r="J598" s="5" t="str">
        <f>_xlfn.IFS(Table1[[#This Row],[Experience(Years)]]&lt;5, "Junior", I598&lt;=12, "Mid-Level", I598&lt;=20, "Senior", I598&lt;=30, "Super Senior", TRUE, "Expert")</f>
        <v>Junior</v>
      </c>
      <c r="K598" s="7">
        <v>50</v>
      </c>
      <c r="L598" s="7">
        <f>Table1[[#This Row],[Hourly Rate]]*1000</f>
        <v>50000</v>
      </c>
      <c r="M598" s="7" t="str">
        <f t="shared" si="9"/>
        <v>Standard</v>
      </c>
      <c r="N598" s="2">
        <f>IF(ISNUMBER(#REF!),#REF!, _xlfn.IFS( I598&gt;=30, 5, I598&gt;=25, 4.8, I598&gt;=15, 4, I598&gt;=10, 3.8, I598&gt;=5, 3, I598&gt;=2, 2.5, I598&gt;=0, 1.8, TRUE, 1.3))</f>
        <v>2.5</v>
      </c>
      <c r="O598" s="2" t="s">
        <v>2053</v>
      </c>
      <c r="P598" s="10">
        <v>0.77</v>
      </c>
      <c r="Q598" s="10" t="str">
        <f>_xlfn.IFS(Table1[[#This Row],[Rating]]&gt;=4, "Top Performer", Table1[[#This Row],[Rating]]&gt;=3, "Average", TRUE, "Needs Imporovement")</f>
        <v>Needs Imporovement</v>
      </c>
    </row>
    <row r="599" spans="1:17" x14ac:dyDescent="0.3">
      <c r="A599" s="2" t="s">
        <v>1240</v>
      </c>
      <c r="B599" s="2" t="s">
        <v>1241</v>
      </c>
      <c r="C599" s="2" t="s">
        <v>68</v>
      </c>
      <c r="D599" s="2">
        <v>48</v>
      </c>
      <c r="E599" s="2" t="str">
        <f>_xlfn.IFS(Table1[[#This Row],[Age]]&lt;30, "18-29", D599&lt;=45,"30-45", D599&lt;=55, "46-55", TRUE, "55+")</f>
        <v>46-55</v>
      </c>
      <c r="F599" s="2" t="s">
        <v>44</v>
      </c>
      <c r="G599" s="2" t="s">
        <v>45</v>
      </c>
      <c r="H599" s="2" t="s">
        <v>17</v>
      </c>
      <c r="I599" s="5">
        <v>18</v>
      </c>
      <c r="J599" s="5" t="str">
        <f>_xlfn.IFS(Table1[[#This Row],[Experience(Years)]]&lt;5, "Junior", I599&lt;=12, "Mid-Level", I599&lt;=20, "Senior", I599&lt;=30, "Super Senior", TRUE, "Expert")</f>
        <v>Senior</v>
      </c>
      <c r="K599" s="7">
        <v>75</v>
      </c>
      <c r="L599" s="7">
        <f>Table1[[#This Row],[Hourly Rate]]*1000</f>
        <v>75000</v>
      </c>
      <c r="M599" s="7" t="str">
        <f t="shared" si="9"/>
        <v>Standard</v>
      </c>
      <c r="N599" s="2">
        <f>IF(ISNUMBER(#REF!),#REF!, _xlfn.IFS( I599&gt;=30, 5, I599&gt;=25, 4.8, I599&gt;=15, 4, I599&gt;=10, 3.8, I599&gt;=5, 3, I599&gt;=2, 2.5, I599&gt;=0, 1.8, TRUE, 1.3))</f>
        <v>4</v>
      </c>
      <c r="O599" s="2" t="s">
        <v>2052</v>
      </c>
      <c r="P599" s="10">
        <v>0.8</v>
      </c>
      <c r="Q599" s="10" t="str">
        <f>_xlfn.IFS(Table1[[#This Row],[Rating]]&gt;=4, "Top Performer", Table1[[#This Row],[Rating]]&gt;=3, "Average", TRUE, "Needs Imporovement")</f>
        <v>Top Performer</v>
      </c>
    </row>
    <row r="600" spans="1:17" x14ac:dyDescent="0.3">
      <c r="A600" s="2" t="s">
        <v>1242</v>
      </c>
      <c r="B600" s="2" t="s">
        <v>1243</v>
      </c>
      <c r="C600" s="2" t="s">
        <v>68</v>
      </c>
      <c r="D600" s="2">
        <v>55</v>
      </c>
      <c r="E600" s="2" t="str">
        <f>_xlfn.IFS(Table1[[#This Row],[Age]]&lt;30, "18-29", D600&lt;=45,"30-45", D600&lt;=55, "46-55", TRUE, "55+")</f>
        <v>46-55</v>
      </c>
      <c r="F600" s="2" t="s">
        <v>107</v>
      </c>
      <c r="G600" s="2" t="s">
        <v>108</v>
      </c>
      <c r="H600" s="2" t="s">
        <v>83</v>
      </c>
      <c r="I600" s="5">
        <v>6</v>
      </c>
      <c r="J600" s="5" t="str">
        <f>_xlfn.IFS(Table1[[#This Row],[Experience(Years)]]&lt;5, "Junior", I600&lt;=12, "Mid-Level", I600&lt;=20, "Senior", I600&lt;=30, "Super Senior", TRUE, "Expert")</f>
        <v>Mid-Level</v>
      </c>
      <c r="K600" s="7">
        <v>40</v>
      </c>
      <c r="L600" s="7">
        <f>Table1[[#This Row],[Hourly Rate]]*1000</f>
        <v>40000</v>
      </c>
      <c r="M600" s="7" t="str">
        <f t="shared" si="9"/>
        <v>Standard</v>
      </c>
      <c r="N600" s="2">
        <f>IF(ISNUMBER(#REF!),#REF!, _xlfn.IFS( I600&gt;=30, 5, I600&gt;=25, 4.8, I600&gt;=15, 4, I600&gt;=10, 3.8, I600&gt;=5, 3, I600&gt;=2, 2.5, I600&gt;=0, 1.8, TRUE, 1.3))</f>
        <v>3</v>
      </c>
      <c r="O600" s="2" t="s">
        <v>2053</v>
      </c>
      <c r="P600" s="10">
        <v>0.6</v>
      </c>
      <c r="Q600" s="10" t="str">
        <f>_xlfn.IFS(Table1[[#This Row],[Rating]]&gt;=4, "Top Performer", Table1[[#This Row],[Rating]]&gt;=3, "Average", TRUE, "Needs Imporovement")</f>
        <v>Average</v>
      </c>
    </row>
    <row r="601" spans="1:17" x14ac:dyDescent="0.3">
      <c r="A601" s="2" t="s">
        <v>1244</v>
      </c>
      <c r="B601" s="2" t="s">
        <v>1245</v>
      </c>
      <c r="C601" s="2" t="s">
        <v>49</v>
      </c>
      <c r="D601" s="2">
        <v>56</v>
      </c>
      <c r="E601" s="2" t="str">
        <f>_xlfn.IFS(Table1[[#This Row],[Age]]&lt;30, "18-29", D601&lt;=45,"30-45", D601&lt;=55, "46-55", TRUE, "55+")</f>
        <v>55+</v>
      </c>
      <c r="F601" s="2" t="s">
        <v>156</v>
      </c>
      <c r="G601" s="2" t="s">
        <v>45</v>
      </c>
      <c r="H601" s="2" t="s">
        <v>61</v>
      </c>
      <c r="I601" s="5">
        <v>17</v>
      </c>
      <c r="J601" s="5" t="str">
        <f>_xlfn.IFS(Table1[[#This Row],[Experience(Years)]]&lt;5, "Junior", I601&lt;=12, "Mid-Level", I601&lt;=20, "Senior", I601&lt;=30, "Super Senior", TRUE, "Expert")</f>
        <v>Senior</v>
      </c>
      <c r="K601" s="7">
        <v>60</v>
      </c>
      <c r="L601" s="7">
        <f>Table1[[#This Row],[Hourly Rate]]*1000</f>
        <v>60000</v>
      </c>
      <c r="M601" s="7" t="str">
        <f t="shared" si="9"/>
        <v>Standard</v>
      </c>
      <c r="N601" s="2">
        <f>IF(ISNUMBER(#REF!),#REF!, _xlfn.IFS( I601&gt;=30, 5, I601&gt;=25, 4.8, I601&gt;=15, 4, I601&gt;=10, 3.8, I601&gt;=5, 3, I601&gt;=2, 2.5, I601&gt;=0, 1.8, TRUE, 1.3))</f>
        <v>4</v>
      </c>
      <c r="O601" s="2" t="str">
        <f>IF(AND( Table1[[#This Row],[Rating]]&gt;=3.5, Table1[[#This Row],[Experience(Years)]]&gt;=15), "Active", "Inactive")</f>
        <v>Active</v>
      </c>
      <c r="P601" s="10">
        <v>0.87</v>
      </c>
      <c r="Q601" s="10" t="str">
        <f>_xlfn.IFS(Table1[[#This Row],[Rating]]&gt;=4, "Top Performer", Table1[[#This Row],[Rating]]&gt;=3, "Average", TRUE, "Needs Imporovement")</f>
        <v>Top Performer</v>
      </c>
    </row>
    <row r="602" spans="1:17" x14ac:dyDescent="0.3">
      <c r="A602" s="2" t="s">
        <v>1246</v>
      </c>
      <c r="B602" s="2" t="s">
        <v>1247</v>
      </c>
      <c r="C602" s="2" t="s">
        <v>49</v>
      </c>
      <c r="D602" s="2">
        <v>28</v>
      </c>
      <c r="E602" s="2" t="str">
        <f>_xlfn.IFS(Table1[[#This Row],[Age]]&lt;30, "18-29", D602&lt;=45,"30-45", D602&lt;=55, "46-55", TRUE, "55+")</f>
        <v>18-29</v>
      </c>
      <c r="F602" s="2" t="s">
        <v>96</v>
      </c>
      <c r="G602" s="2" t="s">
        <v>8</v>
      </c>
      <c r="H602" s="2" t="s">
        <v>4</v>
      </c>
      <c r="I602" s="5">
        <v>1</v>
      </c>
      <c r="J602" s="5" t="str">
        <f>_xlfn.IFS(Table1[[#This Row],[Experience(Years)]]&lt;5, "Junior", I602&lt;=12, "Mid-Level", I602&lt;=20, "Senior", I602&lt;=30, "Super Senior", TRUE, "Expert")</f>
        <v>Junior</v>
      </c>
      <c r="K602" s="7">
        <v>75</v>
      </c>
      <c r="L602" s="7">
        <f>Table1[[#This Row],[Hourly Rate]]*1000</f>
        <v>75000</v>
      </c>
      <c r="M602" s="7" t="str">
        <f t="shared" si="9"/>
        <v>Standard</v>
      </c>
      <c r="N602" s="2">
        <f>IF(ISNUMBER(#REF!),#REF!, _xlfn.IFS( I602&gt;=30, 5, I602&gt;=25, 4.8, I602&gt;=15, 4, I602&gt;=10, 3.8, I602&gt;=5, 3, I602&gt;=2, 2.5, I602&gt;=0, 1.8, TRUE, 1.3))</f>
        <v>1.8</v>
      </c>
      <c r="O602" s="2" t="s">
        <v>2053</v>
      </c>
      <c r="P602" s="10">
        <v>0.93</v>
      </c>
      <c r="Q602" s="10" t="str">
        <f>_xlfn.IFS(Table1[[#This Row],[Rating]]&gt;=4, "Top Performer", Table1[[#This Row],[Rating]]&gt;=3, "Average", TRUE, "Needs Imporovement")</f>
        <v>Needs Imporovement</v>
      </c>
    </row>
    <row r="603" spans="1:17" x14ac:dyDescent="0.3">
      <c r="A603" s="2" t="s">
        <v>1248</v>
      </c>
      <c r="B603" s="2" t="s">
        <v>1249</v>
      </c>
      <c r="C603" s="2" t="s">
        <v>68</v>
      </c>
      <c r="D603" s="2">
        <v>60</v>
      </c>
      <c r="E603" s="2" t="str">
        <f>_xlfn.IFS(Table1[[#This Row],[Age]]&lt;30, "18-29", D603&lt;=45,"30-45", D603&lt;=55, "46-55", TRUE, "55+")</f>
        <v>55+</v>
      </c>
      <c r="F603" s="2" t="s">
        <v>34</v>
      </c>
      <c r="G603" s="2" t="s">
        <v>8</v>
      </c>
      <c r="H603" s="2" t="s">
        <v>24</v>
      </c>
      <c r="I603" s="5">
        <v>39</v>
      </c>
      <c r="J603" s="5" t="str">
        <f>_xlfn.IFS(Table1[[#This Row],[Experience(Years)]]&lt;5, "Junior", I603&lt;=12, "Mid-Level", I603&lt;=20, "Senior", I603&lt;=30, "Super Senior", TRUE, "Expert")</f>
        <v>Expert</v>
      </c>
      <c r="K603" s="7">
        <v>100</v>
      </c>
      <c r="L603" s="7">
        <f>Table1[[#This Row],[Hourly Rate]]*1000</f>
        <v>100000</v>
      </c>
      <c r="M603" s="7" t="str">
        <f t="shared" si="9"/>
        <v>Premium</v>
      </c>
      <c r="N603" s="2">
        <f>IF(ISNUMBER(#REF!),#REF!, _xlfn.IFS( I603&gt;=30, 5, I603&gt;=25, 4.8, I603&gt;=15, 4, I603&gt;=10, 3.8, I603&gt;=5, 3, I603&gt;=2, 2.5, I603&gt;=0, 1.8, TRUE, 1.3))</f>
        <v>5</v>
      </c>
      <c r="O603" s="2" t="str">
        <f>IF(AND( Table1[[#This Row],[Rating]]&gt;=3.5, Table1[[#This Row],[Experience(Years)]]&gt;=15), "Active", "Inactive")</f>
        <v>Active</v>
      </c>
      <c r="P603" s="10">
        <v>0.88</v>
      </c>
      <c r="Q603" s="10" t="str">
        <f>_xlfn.IFS(Table1[[#This Row],[Rating]]&gt;=4, "Top Performer", Table1[[#This Row],[Rating]]&gt;=3, "Average", TRUE, "Needs Imporovement")</f>
        <v>Top Performer</v>
      </c>
    </row>
    <row r="604" spans="1:17" x14ac:dyDescent="0.3">
      <c r="A604" s="2" t="s">
        <v>1250</v>
      </c>
      <c r="B604" s="2" t="s">
        <v>1251</v>
      </c>
      <c r="C604" s="2" t="s">
        <v>68</v>
      </c>
      <c r="D604" s="2">
        <v>34</v>
      </c>
      <c r="E604" s="2" t="str">
        <f>_xlfn.IFS(Table1[[#This Row],[Age]]&lt;30, "18-29", D604&lt;=45,"30-45", D604&lt;=55, "46-55", TRUE, "55+")</f>
        <v>30-45</v>
      </c>
      <c r="F604" s="2" t="s">
        <v>81</v>
      </c>
      <c r="G604" s="2" t="s">
        <v>82</v>
      </c>
      <c r="H604" s="2" t="s">
        <v>4</v>
      </c>
      <c r="I604" s="5">
        <v>15</v>
      </c>
      <c r="J604" s="5" t="str">
        <f>_xlfn.IFS(Table1[[#This Row],[Experience(Years)]]&lt;5, "Junior", I604&lt;=12, "Mid-Level", I604&lt;=20, "Senior", I604&lt;=30, "Super Senior", TRUE, "Expert")</f>
        <v>Senior</v>
      </c>
      <c r="K604" s="7">
        <v>20</v>
      </c>
      <c r="L604" s="7">
        <f>Table1[[#This Row],[Hourly Rate]]*1000</f>
        <v>20000</v>
      </c>
      <c r="M604" s="7" t="str">
        <f t="shared" si="9"/>
        <v>Budget</v>
      </c>
      <c r="N604" s="2">
        <f>IF(ISNUMBER(#REF!),#REF!, _xlfn.IFS( I604&gt;=30, 5, I604&gt;=25, 4.8, I604&gt;=15, 4, I604&gt;=10, 3.8, I604&gt;=5, 3, I604&gt;=2, 2.5, I604&gt;=0, 1.8, TRUE, 1.3))</f>
        <v>4</v>
      </c>
      <c r="O604" s="2" t="s">
        <v>2052</v>
      </c>
      <c r="P604" s="10">
        <v>1</v>
      </c>
      <c r="Q604" s="10" t="str">
        <f>_xlfn.IFS(Table1[[#This Row],[Rating]]&gt;=4, "Top Performer", Table1[[#This Row],[Rating]]&gt;=3, "Average", TRUE, "Needs Imporovement")</f>
        <v>Top Performer</v>
      </c>
    </row>
    <row r="605" spans="1:17" x14ac:dyDescent="0.3">
      <c r="A605" s="2" t="s">
        <v>1252</v>
      </c>
      <c r="B605" s="2" t="s">
        <v>1253</v>
      </c>
      <c r="C605" s="2" t="s">
        <v>49</v>
      </c>
      <c r="D605" s="2">
        <v>38</v>
      </c>
      <c r="E605" s="2" t="str">
        <f>_xlfn.IFS(Table1[[#This Row],[Age]]&lt;30, "18-29", D605&lt;=45,"30-45", D605&lt;=55, "46-55", TRUE, "55+")</f>
        <v>30-45</v>
      </c>
      <c r="F605" s="2" t="s">
        <v>27</v>
      </c>
      <c r="G605" s="2" t="s">
        <v>28</v>
      </c>
      <c r="H605" s="2" t="s">
        <v>24</v>
      </c>
      <c r="I605" s="5">
        <v>13</v>
      </c>
      <c r="J605" s="5" t="str">
        <f>_xlfn.IFS(Table1[[#This Row],[Experience(Years)]]&lt;5, "Junior", I605&lt;=12, "Mid-Level", I605&lt;=20, "Senior", I605&lt;=30, "Super Senior", TRUE, "Expert")</f>
        <v>Senior</v>
      </c>
      <c r="K605" s="7">
        <v>40</v>
      </c>
      <c r="L605" s="7">
        <f>Table1[[#This Row],[Hourly Rate]]*1000</f>
        <v>40000</v>
      </c>
      <c r="M605" s="7" t="str">
        <f t="shared" si="9"/>
        <v>Standard</v>
      </c>
      <c r="N605" s="2">
        <f>IF(ISNUMBER(#REF!),#REF!, _xlfn.IFS( I605&gt;=30, 5, I605&gt;=25, 4.8, I605&gt;=15, 4, I605&gt;=10, 3.8, I605&gt;=5, 3, I605&gt;=2, 2.5, I605&gt;=0, 1.8, TRUE, 1.3))</f>
        <v>3.8</v>
      </c>
      <c r="O605" s="2" t="s">
        <v>2053</v>
      </c>
      <c r="P605" s="10">
        <v>0.61</v>
      </c>
      <c r="Q605" s="10" t="str">
        <f>_xlfn.IFS(Table1[[#This Row],[Rating]]&gt;=4, "Top Performer", Table1[[#This Row],[Rating]]&gt;=3, "Average", TRUE, "Needs Imporovement")</f>
        <v>Average</v>
      </c>
    </row>
    <row r="606" spans="1:17" x14ac:dyDescent="0.3">
      <c r="A606" s="2" t="s">
        <v>1254</v>
      </c>
      <c r="B606" s="2" t="s">
        <v>1255</v>
      </c>
      <c r="C606" s="2" t="s">
        <v>49</v>
      </c>
      <c r="D606" s="2">
        <v>51</v>
      </c>
      <c r="E606" s="2" t="str">
        <f>_xlfn.IFS(Table1[[#This Row],[Age]]&lt;30, "18-29", D606&lt;=45,"30-45", D606&lt;=55, "46-55", TRUE, "55+")</f>
        <v>46-55</v>
      </c>
      <c r="F606" s="2" t="s">
        <v>81</v>
      </c>
      <c r="G606" s="2" t="s">
        <v>82</v>
      </c>
      <c r="H606" s="2" t="s">
        <v>17</v>
      </c>
      <c r="I606" s="5">
        <v>17</v>
      </c>
      <c r="J606" s="5" t="str">
        <f>_xlfn.IFS(Table1[[#This Row],[Experience(Years)]]&lt;5, "Junior", I606&lt;=12, "Mid-Level", I606&lt;=20, "Senior", I606&lt;=30, "Super Senior", TRUE, "Expert")</f>
        <v>Senior</v>
      </c>
      <c r="K606" s="7">
        <v>100</v>
      </c>
      <c r="L606" s="7">
        <f>Table1[[#This Row],[Hourly Rate]]*1000</f>
        <v>100000</v>
      </c>
      <c r="M606" s="7" t="str">
        <f t="shared" si="9"/>
        <v>Premium</v>
      </c>
      <c r="N606" s="2">
        <f>IF(ISNUMBER(#REF!),#REF!, _xlfn.IFS( I606&gt;=30, 5, I606&gt;=25, 4.8, I606&gt;=15, 4, I606&gt;=10, 3.8, I606&gt;=5, 3, I606&gt;=2, 2.5, I606&gt;=0, 1.8, TRUE, 1.3))</f>
        <v>4</v>
      </c>
      <c r="O606" s="2" t="s">
        <v>2052</v>
      </c>
      <c r="P606" s="10">
        <v>0.79</v>
      </c>
      <c r="Q606" s="10" t="str">
        <f>_xlfn.IFS(Table1[[#This Row],[Rating]]&gt;=4, "Top Performer", Table1[[#This Row],[Rating]]&gt;=3, "Average", TRUE, "Needs Imporovement")</f>
        <v>Top Performer</v>
      </c>
    </row>
    <row r="607" spans="1:17" x14ac:dyDescent="0.3">
      <c r="A607" s="2" t="s">
        <v>1256</v>
      </c>
      <c r="B607" s="2" t="s">
        <v>1257</v>
      </c>
      <c r="C607" s="2" t="s">
        <v>49</v>
      </c>
      <c r="D607" s="2">
        <v>21</v>
      </c>
      <c r="E607" s="2" t="str">
        <f>_xlfn.IFS(Table1[[#This Row],[Age]]&lt;30, "18-29", D607&lt;=45,"30-45", D607&lt;=55, "46-55", TRUE, "55+")</f>
        <v>18-29</v>
      </c>
      <c r="F607" s="2" t="s">
        <v>57</v>
      </c>
      <c r="G607" s="2" t="s">
        <v>58</v>
      </c>
      <c r="H607" s="2" t="s">
        <v>9</v>
      </c>
      <c r="I607" s="5">
        <v>1</v>
      </c>
      <c r="J607" s="5" t="str">
        <f>_xlfn.IFS(Table1[[#This Row],[Experience(Years)]]&lt;5, "Junior", I607&lt;=12, "Mid-Level", I607&lt;=20, "Senior", I607&lt;=30, "Super Senior", TRUE, "Expert")</f>
        <v>Junior</v>
      </c>
      <c r="K607" s="7">
        <v>30</v>
      </c>
      <c r="L607" s="7">
        <f>Table1[[#This Row],[Hourly Rate]]*1000</f>
        <v>30000</v>
      </c>
      <c r="M607" s="7" t="str">
        <f t="shared" si="9"/>
        <v>Budget</v>
      </c>
      <c r="N607" s="2">
        <f>IF(ISNUMBER(#REF!),#REF!, _xlfn.IFS( I607&gt;=30, 5, I607&gt;=25, 4.8, I607&gt;=15, 4, I607&gt;=10, 3.8, I607&gt;=5, 3, I607&gt;=2, 2.5, I607&gt;=0, 1.8, TRUE, 1.3))</f>
        <v>1.8</v>
      </c>
      <c r="O607" s="2" t="str">
        <f>IF(AND(Table1[[#This Row],[Rating]]&gt;=3.5, Table1[[#This Row],[Experience(Years)]]&gt;=15), "Active", "Inactive")</f>
        <v>Inactive</v>
      </c>
      <c r="P607" s="10">
        <v>0.73</v>
      </c>
      <c r="Q607" s="10" t="str">
        <f>_xlfn.IFS(Table1[[#This Row],[Rating]]&gt;=4, "Top Performer", Table1[[#This Row],[Rating]]&gt;=3, "Average", TRUE, "Needs Imporovement")</f>
        <v>Needs Imporovement</v>
      </c>
    </row>
    <row r="608" spans="1:17" x14ac:dyDescent="0.3">
      <c r="A608" s="2" t="s">
        <v>1258</v>
      </c>
      <c r="B608" s="2" t="s">
        <v>1259</v>
      </c>
      <c r="C608" s="2" t="s">
        <v>68</v>
      </c>
      <c r="D608" s="2">
        <v>35</v>
      </c>
      <c r="E608" s="2" t="str">
        <f>_xlfn.IFS(Table1[[#This Row],[Age]]&lt;30, "18-29", D608&lt;=45,"30-45", D608&lt;=55, "46-55", TRUE, "55+")</f>
        <v>30-45</v>
      </c>
      <c r="F608" s="2" t="s">
        <v>2</v>
      </c>
      <c r="G608" s="2" t="s">
        <v>3</v>
      </c>
      <c r="H608" s="2" t="s">
        <v>46</v>
      </c>
      <c r="I608" s="5">
        <v>16</v>
      </c>
      <c r="J608" s="5" t="str">
        <f>_xlfn.IFS(Table1[[#This Row],[Experience(Years)]]&lt;5, "Junior", I608&lt;=12, "Mid-Level", I608&lt;=20, "Senior", I608&lt;=30, "Super Senior", TRUE, "Expert")</f>
        <v>Senior</v>
      </c>
      <c r="K608" s="7">
        <v>100</v>
      </c>
      <c r="L608" s="7">
        <f>Table1[[#This Row],[Hourly Rate]]*1000</f>
        <v>100000</v>
      </c>
      <c r="M608" s="7" t="str">
        <f t="shared" si="9"/>
        <v>Premium</v>
      </c>
      <c r="N608" s="2">
        <f>IF(ISNUMBER(#REF!),#REF!, _xlfn.IFS( I608&gt;=30, 5, I608&gt;=25, 4.8, I608&gt;=15, 4, I608&gt;=10, 3.8, I608&gt;=5, 3, I608&gt;=2, 2.5, I608&gt;=0, 1.8, TRUE, 1.3))</f>
        <v>4</v>
      </c>
      <c r="O608" s="2" t="s">
        <v>2053</v>
      </c>
      <c r="P608" s="10">
        <v>0.64</v>
      </c>
      <c r="Q608" s="10" t="str">
        <f>_xlfn.IFS(Table1[[#This Row],[Rating]]&gt;=4, "Top Performer", Table1[[#This Row],[Rating]]&gt;=3, "Average", TRUE, "Needs Imporovement")</f>
        <v>Top Performer</v>
      </c>
    </row>
    <row r="609" spans="1:17" x14ac:dyDescent="0.3">
      <c r="A609" s="2" t="s">
        <v>1260</v>
      </c>
      <c r="B609" s="2" t="s">
        <v>1261</v>
      </c>
      <c r="C609" s="2" t="s">
        <v>68</v>
      </c>
      <c r="D609" s="2">
        <v>27</v>
      </c>
      <c r="E609" s="2" t="str">
        <f>_xlfn.IFS(Table1[[#This Row],[Age]]&lt;30, "18-29", D609&lt;=45,"30-45", D609&lt;=55, "46-55", TRUE, "55+")</f>
        <v>18-29</v>
      </c>
      <c r="F609" s="2" t="s">
        <v>77</v>
      </c>
      <c r="G609" s="2" t="s">
        <v>78</v>
      </c>
      <c r="H609" s="2" t="s">
        <v>17</v>
      </c>
      <c r="I609" s="5">
        <v>9</v>
      </c>
      <c r="J609" s="5" t="str">
        <f>_xlfn.IFS(Table1[[#This Row],[Experience(Years)]]&lt;5, "Junior", I609&lt;=12, "Mid-Level", I609&lt;=20, "Senior", I609&lt;=30, "Super Senior", TRUE, "Expert")</f>
        <v>Mid-Level</v>
      </c>
      <c r="K609" s="7">
        <v>100</v>
      </c>
      <c r="L609" s="7">
        <f>Table1[[#This Row],[Hourly Rate]]*1000</f>
        <v>100000</v>
      </c>
      <c r="M609" s="7" t="str">
        <f t="shared" si="9"/>
        <v>Premium</v>
      </c>
      <c r="N609" s="2">
        <f>IF(ISNUMBER(#REF!),#REF!, _xlfn.IFS( I609&gt;=30, 5, I609&gt;=25, 4.8, I609&gt;=15, 4, I609&gt;=10, 3.8, I609&gt;=5, 3, I609&gt;=2, 2.5, I609&gt;=0, 1.8, TRUE, 1.3))</f>
        <v>3</v>
      </c>
      <c r="O609" s="2" t="s">
        <v>2053</v>
      </c>
      <c r="P609" s="10">
        <v>0.6</v>
      </c>
      <c r="Q609" s="10" t="str">
        <f>_xlfn.IFS(Table1[[#This Row],[Rating]]&gt;=4, "Top Performer", Table1[[#This Row],[Rating]]&gt;=3, "Average", TRUE, "Needs Imporovement")</f>
        <v>Average</v>
      </c>
    </row>
    <row r="610" spans="1:17" x14ac:dyDescent="0.3">
      <c r="A610" s="2" t="s">
        <v>1262</v>
      </c>
      <c r="B610" s="2" t="s">
        <v>1263</v>
      </c>
      <c r="C610" s="2" t="s">
        <v>49</v>
      </c>
      <c r="D610" s="2">
        <v>42</v>
      </c>
      <c r="E610" s="2" t="str">
        <f>_xlfn.IFS(Table1[[#This Row],[Age]]&lt;30, "18-29", D610&lt;=45,"30-45", D610&lt;=55, "46-55", TRUE, "55+")</f>
        <v>30-45</v>
      </c>
      <c r="F610" s="2" t="s">
        <v>37</v>
      </c>
      <c r="G610" s="2" t="s">
        <v>38</v>
      </c>
      <c r="H610" s="2" t="s">
        <v>9</v>
      </c>
      <c r="I610" s="5">
        <v>20</v>
      </c>
      <c r="J610" s="5" t="str">
        <f>_xlfn.IFS(Table1[[#This Row],[Experience(Years)]]&lt;5, "Junior", I610&lt;=12, "Mid-Level", I610&lt;=20, "Senior", I610&lt;=30, "Super Senior", TRUE, "Expert")</f>
        <v>Senior</v>
      </c>
      <c r="K610" s="7">
        <v>50</v>
      </c>
      <c r="L610" s="7">
        <f>Table1[[#This Row],[Hourly Rate]]*1000</f>
        <v>50000</v>
      </c>
      <c r="M610" s="7" t="str">
        <f t="shared" si="9"/>
        <v>Standard</v>
      </c>
      <c r="N610" s="2">
        <f>IF(ISNUMBER(#REF!),#REF!, _xlfn.IFS( I610&gt;=30, 5, I610&gt;=25, 4.8, I610&gt;=15, 4, I610&gt;=10, 3.8, I610&gt;=5, 3, I610&gt;=2, 2.5, I610&gt;=0, 1.8, TRUE, 1.3))</f>
        <v>4</v>
      </c>
      <c r="O610" s="2" t="s">
        <v>2052</v>
      </c>
      <c r="P610" s="10">
        <v>0.93</v>
      </c>
      <c r="Q610" s="10" t="str">
        <f>_xlfn.IFS(Table1[[#This Row],[Rating]]&gt;=4, "Top Performer", Table1[[#This Row],[Rating]]&gt;=3, "Average", TRUE, "Needs Imporovement")</f>
        <v>Top Performer</v>
      </c>
    </row>
    <row r="611" spans="1:17" x14ac:dyDescent="0.3">
      <c r="A611" s="2" t="s">
        <v>1264</v>
      </c>
      <c r="B611" s="2" t="s">
        <v>1265</v>
      </c>
      <c r="C611" s="2" t="s">
        <v>49</v>
      </c>
      <c r="D611" s="2">
        <v>52</v>
      </c>
      <c r="E611" s="2" t="str">
        <f>_xlfn.IFS(Table1[[#This Row],[Age]]&lt;30, "18-29", D611&lt;=45,"30-45", D611&lt;=55, "46-55", TRUE, "55+")</f>
        <v>46-55</v>
      </c>
      <c r="F611" s="2" t="s">
        <v>96</v>
      </c>
      <c r="G611" s="2" t="s">
        <v>8</v>
      </c>
      <c r="H611" s="2" t="s">
        <v>4</v>
      </c>
      <c r="I611" s="5">
        <v>29</v>
      </c>
      <c r="J611" s="5" t="str">
        <f>_xlfn.IFS(Table1[[#This Row],[Experience(Years)]]&lt;5, "Junior", I611&lt;=12, "Mid-Level", I611&lt;=20, "Senior", I611&lt;=30, "Super Senior", TRUE, "Expert")</f>
        <v>Super Senior</v>
      </c>
      <c r="K611" s="7">
        <v>30</v>
      </c>
      <c r="L611" s="7">
        <f>Table1[[#This Row],[Hourly Rate]]*1000</f>
        <v>30000</v>
      </c>
      <c r="M611" s="7" t="str">
        <f t="shared" si="9"/>
        <v>Budget</v>
      </c>
      <c r="N611" s="2">
        <f>IF(ISNUMBER(#REF!),#REF!, _xlfn.IFS( I611&gt;=30, 5, I611&gt;=25, 4.8, I611&gt;=15, 4, I611&gt;=10, 3.8, I611&gt;=5, 3, I611&gt;=2, 2.5, I611&gt;=0, 1.8, TRUE, 1.3))</f>
        <v>4.8</v>
      </c>
      <c r="O611" s="2" t="s">
        <v>2052</v>
      </c>
      <c r="P611" s="10">
        <v>0.68</v>
      </c>
      <c r="Q611" s="10" t="str">
        <f>_xlfn.IFS(Table1[[#This Row],[Rating]]&gt;=4, "Top Performer", Table1[[#This Row],[Rating]]&gt;=3, "Average", TRUE, "Needs Imporovement")</f>
        <v>Top Performer</v>
      </c>
    </row>
    <row r="612" spans="1:17" x14ac:dyDescent="0.3">
      <c r="A612" s="2" t="s">
        <v>1266</v>
      </c>
      <c r="B612" s="2" t="s">
        <v>1267</v>
      </c>
      <c r="C612" s="2" t="s">
        <v>68</v>
      </c>
      <c r="D612" s="2">
        <v>53</v>
      </c>
      <c r="E612" s="2" t="str">
        <f>_xlfn.IFS(Table1[[#This Row],[Age]]&lt;30, "18-29", D612&lt;=45,"30-45", D612&lt;=55, "46-55", TRUE, "55+")</f>
        <v>46-55</v>
      </c>
      <c r="F612" s="2" t="s">
        <v>81</v>
      </c>
      <c r="G612" s="2" t="s">
        <v>82</v>
      </c>
      <c r="H612" s="2" t="s">
        <v>17</v>
      </c>
      <c r="I612" s="5">
        <v>21</v>
      </c>
      <c r="J612" s="5" t="str">
        <f>_xlfn.IFS(Table1[[#This Row],[Experience(Years)]]&lt;5, "Junior", I612&lt;=12, "Mid-Level", I612&lt;=20, "Senior", I612&lt;=30, "Super Senior", TRUE, "Expert")</f>
        <v>Super Senior</v>
      </c>
      <c r="K612" s="7">
        <v>40</v>
      </c>
      <c r="L612" s="7">
        <f>Table1[[#This Row],[Hourly Rate]]*1000</f>
        <v>40000</v>
      </c>
      <c r="M612" s="7" t="str">
        <f t="shared" si="9"/>
        <v>Standard</v>
      </c>
      <c r="N612" s="2">
        <f>IF(ISNUMBER(#REF!),#REF!, _xlfn.IFS( I612&gt;=30, 5, I612&gt;=25, 4.8, I612&gt;=15, 4, I612&gt;=10, 3.8, I612&gt;=5, 3, I612&gt;=2, 2.5, I612&gt;=0, 1.8, TRUE, 1.3))</f>
        <v>4</v>
      </c>
      <c r="O612" s="2" t="s">
        <v>2053</v>
      </c>
      <c r="P612" s="10">
        <v>0.62</v>
      </c>
      <c r="Q612" s="10" t="str">
        <f>_xlfn.IFS(Table1[[#This Row],[Rating]]&gt;=4, "Top Performer", Table1[[#This Row],[Rating]]&gt;=3, "Average", TRUE, "Needs Imporovement")</f>
        <v>Top Performer</v>
      </c>
    </row>
    <row r="613" spans="1:17" x14ac:dyDescent="0.3">
      <c r="A613" s="2" t="s">
        <v>1268</v>
      </c>
      <c r="B613" s="2" t="s">
        <v>1269</v>
      </c>
      <c r="C613" s="2" t="s">
        <v>49</v>
      </c>
      <c r="D613" s="2">
        <v>54</v>
      </c>
      <c r="E613" s="2" t="str">
        <f>_xlfn.IFS(Table1[[#This Row],[Age]]&lt;30, "18-29", D613&lt;=45,"30-45", D613&lt;=55, "46-55", TRUE, "55+")</f>
        <v>46-55</v>
      </c>
      <c r="F613" s="2" t="s">
        <v>2</v>
      </c>
      <c r="G613" s="2" t="s">
        <v>3</v>
      </c>
      <c r="H613" s="2" t="s">
        <v>9</v>
      </c>
      <c r="I613" s="5">
        <v>28</v>
      </c>
      <c r="J613" s="5" t="str">
        <f>_xlfn.IFS(Table1[[#This Row],[Experience(Years)]]&lt;5, "Junior", I613&lt;=12, "Mid-Level", I613&lt;=20, "Senior", I613&lt;=30, "Super Senior", TRUE, "Expert")</f>
        <v>Super Senior</v>
      </c>
      <c r="K613" s="7">
        <v>40</v>
      </c>
      <c r="L613" s="7">
        <f>Table1[[#This Row],[Hourly Rate]]*1000</f>
        <v>40000</v>
      </c>
      <c r="M613" s="7" t="str">
        <f t="shared" si="9"/>
        <v>Standard</v>
      </c>
      <c r="N613" s="2">
        <f>IF(ISNUMBER(#REF!),#REF!, _xlfn.IFS( I613&gt;=30, 5, I613&gt;=25, 4.8, I613&gt;=15, 4, I613&gt;=10, 3.8, I613&gt;=5, 3, I613&gt;=2, 2.5, I613&gt;=0, 1.8, TRUE, 1.3))</f>
        <v>4.8</v>
      </c>
      <c r="O613" s="2" t="s">
        <v>2052</v>
      </c>
      <c r="P613" s="10">
        <v>0.9</v>
      </c>
      <c r="Q613" s="10" t="str">
        <f>_xlfn.IFS(Table1[[#This Row],[Rating]]&gt;=4, "Top Performer", Table1[[#This Row],[Rating]]&gt;=3, "Average", TRUE, "Needs Imporovement")</f>
        <v>Top Performer</v>
      </c>
    </row>
    <row r="614" spans="1:17" x14ac:dyDescent="0.3">
      <c r="A614" s="2" t="s">
        <v>1270</v>
      </c>
      <c r="B614" s="2" t="s">
        <v>1271</v>
      </c>
      <c r="C614" s="2" t="s">
        <v>68</v>
      </c>
      <c r="D614" s="2">
        <v>51</v>
      </c>
      <c r="E614" s="2" t="str">
        <f>_xlfn.IFS(Table1[[#This Row],[Age]]&lt;30, "18-29", D614&lt;=45,"30-45", D614&lt;=55, "46-55", TRUE, "55+")</f>
        <v>46-55</v>
      </c>
      <c r="F614" s="2" t="s">
        <v>57</v>
      </c>
      <c r="G614" s="2" t="s">
        <v>58</v>
      </c>
      <c r="H614" s="2" t="s">
        <v>14</v>
      </c>
      <c r="I614" s="5">
        <v>5</v>
      </c>
      <c r="J614" s="5" t="str">
        <f>_xlfn.IFS(Table1[[#This Row],[Experience(Years)]]&lt;5, "Junior", I614&lt;=12, "Mid-Level", I614&lt;=20, "Senior", I614&lt;=30, "Super Senior", TRUE, "Expert")</f>
        <v>Mid-Level</v>
      </c>
      <c r="K614" s="7">
        <v>50</v>
      </c>
      <c r="L614" s="7">
        <f>Table1[[#This Row],[Hourly Rate]]*1000</f>
        <v>50000</v>
      </c>
      <c r="M614" s="7" t="str">
        <f t="shared" si="9"/>
        <v>Standard</v>
      </c>
      <c r="N614" s="2">
        <f>IF(ISNUMBER(#REF!),#REF!, _xlfn.IFS( I614&gt;=30, 5, I614&gt;=25, 4.8, I614&gt;=15, 4, I614&gt;=10, 3.8, I614&gt;=5, 3, I614&gt;=2, 2.5, I614&gt;=0, 1.8, TRUE, 1.3))</f>
        <v>3</v>
      </c>
      <c r="O614" s="2" t="s">
        <v>2053</v>
      </c>
      <c r="P614" s="10">
        <v>0.82</v>
      </c>
      <c r="Q614" s="10" t="str">
        <f>_xlfn.IFS(Table1[[#This Row],[Rating]]&gt;=4, "Top Performer", Table1[[#This Row],[Rating]]&gt;=3, "Average", TRUE, "Needs Imporovement")</f>
        <v>Average</v>
      </c>
    </row>
    <row r="615" spans="1:17" x14ac:dyDescent="0.3">
      <c r="A615" s="2" t="s">
        <v>1272</v>
      </c>
      <c r="B615" s="2" t="s">
        <v>1273</v>
      </c>
      <c r="C615" s="2" t="s">
        <v>49</v>
      </c>
      <c r="D615" s="2">
        <v>30</v>
      </c>
      <c r="E615" s="2" t="str">
        <f>_xlfn.IFS(Table1[[#This Row],[Age]]&lt;30, "18-29", D615&lt;=45,"30-45", D615&lt;=55, "46-55", TRUE, "55+")</f>
        <v>30-45</v>
      </c>
      <c r="F615" s="2" t="s">
        <v>81</v>
      </c>
      <c r="G615" s="2" t="s">
        <v>82</v>
      </c>
      <c r="H615" s="2" t="s">
        <v>17</v>
      </c>
      <c r="I615" s="5">
        <v>0</v>
      </c>
      <c r="J615" s="5" t="str">
        <f>_xlfn.IFS(Table1[[#This Row],[Experience(Years)]]&lt;5, "Junior", I615&lt;=12, "Mid-Level", I615&lt;=20, "Senior", I615&lt;=30, "Super Senior", TRUE, "Expert")</f>
        <v>Junior</v>
      </c>
      <c r="K615" s="7">
        <v>30</v>
      </c>
      <c r="L615" s="7">
        <f>Table1[[#This Row],[Hourly Rate]]*1000</f>
        <v>30000</v>
      </c>
      <c r="M615" s="7" t="str">
        <f t="shared" si="9"/>
        <v>Budget</v>
      </c>
      <c r="N615" s="2">
        <f>IF(ISNUMBER(#REF!),#REF!, _xlfn.IFS( I615&gt;=30, 5, I615&gt;=25, 4.8, I615&gt;=15, 4, I615&gt;=10, 3.8, I615&gt;=5, 3, I615&gt;=2, 2.5, I615&gt;=0, 1.8, TRUE, 1.3))</f>
        <v>1.8</v>
      </c>
      <c r="O615" s="2" t="s">
        <v>2052</v>
      </c>
      <c r="P615" s="10">
        <v>0.3</v>
      </c>
      <c r="Q615" s="10" t="str">
        <f>_xlfn.IFS(Table1[[#This Row],[Rating]]&gt;=4, "Top Performer", Table1[[#This Row],[Rating]]&gt;=3, "Average", TRUE, "Needs Imporovement")</f>
        <v>Needs Imporovement</v>
      </c>
    </row>
    <row r="616" spans="1:17" x14ac:dyDescent="0.3">
      <c r="A616" s="2" t="s">
        <v>1274</v>
      </c>
      <c r="B616" s="2" t="s">
        <v>1275</v>
      </c>
      <c r="C616" s="2" t="s">
        <v>49</v>
      </c>
      <c r="D616" s="2">
        <v>45</v>
      </c>
      <c r="E616" s="2" t="str">
        <f>_xlfn.IFS(Table1[[#This Row],[Age]]&lt;30, "18-29", D616&lt;=45,"30-45", D616&lt;=55, "46-55", TRUE, "55+")</f>
        <v>30-45</v>
      </c>
      <c r="F616" s="2" t="s">
        <v>22</v>
      </c>
      <c r="G616" s="2" t="s">
        <v>23</v>
      </c>
      <c r="H616" s="2" t="s">
        <v>83</v>
      </c>
      <c r="I616" s="5">
        <v>27</v>
      </c>
      <c r="J616" s="5" t="str">
        <f>_xlfn.IFS(Table1[[#This Row],[Experience(Years)]]&lt;5, "Junior", I616&lt;=12, "Mid-Level", I616&lt;=20, "Senior", I616&lt;=30, "Super Senior", TRUE, "Expert")</f>
        <v>Super Senior</v>
      </c>
      <c r="K616" s="7">
        <v>75</v>
      </c>
      <c r="L616" s="7">
        <f>Table1[[#This Row],[Hourly Rate]]*1000</f>
        <v>75000</v>
      </c>
      <c r="M616" s="7" t="str">
        <f t="shared" si="9"/>
        <v>Standard</v>
      </c>
      <c r="N616" s="2">
        <f>IF(ISNUMBER(#REF!),#REF!, _xlfn.IFS( I616&gt;=30, 5, I616&gt;=25, 4.8, I616&gt;=15, 4, I616&gt;=10, 3.8, I616&gt;=5, 3, I616&gt;=2, 2.5, I616&gt;=0, 1.8, TRUE, 1.3))</f>
        <v>4.8</v>
      </c>
      <c r="O616" s="2" t="str">
        <f>IF(AND( Table1[[#This Row],[Rating]]&gt;=3.5, Table1[[#This Row],[Experience(Years)]]&gt;=15), "Active", "Inactive")</f>
        <v>Active</v>
      </c>
      <c r="P616" s="10">
        <v>0.85</v>
      </c>
      <c r="Q616" s="10" t="str">
        <f>_xlfn.IFS(Table1[[#This Row],[Rating]]&gt;=4, "Top Performer", Table1[[#This Row],[Rating]]&gt;=3, "Average", TRUE, "Needs Imporovement")</f>
        <v>Top Performer</v>
      </c>
    </row>
    <row r="617" spans="1:17" x14ac:dyDescent="0.3">
      <c r="A617" s="2" t="s">
        <v>1276</v>
      </c>
      <c r="B617" s="2" t="s">
        <v>1277</v>
      </c>
      <c r="C617" s="2" t="s">
        <v>68</v>
      </c>
      <c r="D617" s="2">
        <v>57</v>
      </c>
      <c r="E617" s="2" t="str">
        <f>_xlfn.IFS(Table1[[#This Row],[Age]]&lt;30, "18-29", D617&lt;=45,"30-45", D617&lt;=55, "46-55", TRUE, "55+")</f>
        <v>55+</v>
      </c>
      <c r="F617" s="2" t="s">
        <v>27</v>
      </c>
      <c r="G617" s="2" t="s">
        <v>28</v>
      </c>
      <c r="H617" s="2" t="s">
        <v>14</v>
      </c>
      <c r="I617" s="5">
        <v>26</v>
      </c>
      <c r="J617" s="5" t="str">
        <f>_xlfn.IFS(Table1[[#This Row],[Experience(Years)]]&lt;5, "Junior", I617&lt;=12, "Mid-Level", I617&lt;=20, "Senior", I617&lt;=30, "Super Senior", TRUE, "Expert")</f>
        <v>Super Senior</v>
      </c>
      <c r="K617" s="7">
        <v>100</v>
      </c>
      <c r="L617" s="7">
        <f>Table1[[#This Row],[Hourly Rate]]*1000</f>
        <v>100000</v>
      </c>
      <c r="M617" s="7" t="str">
        <f t="shared" si="9"/>
        <v>Premium</v>
      </c>
      <c r="N617" s="2">
        <f>IF(ISNUMBER(#REF!),#REF!, _xlfn.IFS( I617&gt;=30, 5, I617&gt;=25, 4.8, I617&gt;=15, 4, I617&gt;=10, 3.8, I617&gt;=5, 3, I617&gt;=2, 2.5, I617&gt;=0, 1.8, TRUE, 1.3))</f>
        <v>4.8</v>
      </c>
      <c r="O617" s="2" t="s">
        <v>2053</v>
      </c>
      <c r="P617" s="10">
        <v>0.78</v>
      </c>
      <c r="Q617" s="10" t="str">
        <f>_xlfn.IFS(Table1[[#This Row],[Rating]]&gt;=4, "Top Performer", Table1[[#This Row],[Rating]]&gt;=3, "Average", TRUE, "Needs Imporovement")</f>
        <v>Top Performer</v>
      </c>
    </row>
    <row r="618" spans="1:17" x14ac:dyDescent="0.3">
      <c r="A618" s="2" t="s">
        <v>1278</v>
      </c>
      <c r="B618" s="2" t="s">
        <v>1279</v>
      </c>
      <c r="C618" s="2" t="s">
        <v>68</v>
      </c>
      <c r="D618" s="2">
        <v>38</v>
      </c>
      <c r="E618" s="2" t="str">
        <f>_xlfn.IFS(Table1[[#This Row],[Age]]&lt;30, "18-29", D618&lt;=45,"30-45", D618&lt;=55, "46-55", TRUE, "55+")</f>
        <v>30-45</v>
      </c>
      <c r="F618" s="2" t="s">
        <v>37</v>
      </c>
      <c r="G618" s="2" t="s">
        <v>38</v>
      </c>
      <c r="H618" s="2" t="s">
        <v>4</v>
      </c>
      <c r="I618" s="5">
        <v>19</v>
      </c>
      <c r="J618" s="5" t="str">
        <f>_xlfn.IFS(Table1[[#This Row],[Experience(Years)]]&lt;5, "Junior", I618&lt;=12, "Mid-Level", I618&lt;=20, "Senior", I618&lt;=30, "Super Senior", TRUE, "Expert")</f>
        <v>Senior</v>
      </c>
      <c r="K618" s="7">
        <v>40</v>
      </c>
      <c r="L618" s="7">
        <f>Table1[[#This Row],[Hourly Rate]]*1000</f>
        <v>40000</v>
      </c>
      <c r="M618" s="7" t="str">
        <f t="shared" si="9"/>
        <v>Standard</v>
      </c>
      <c r="N618" s="2">
        <f>IF(ISNUMBER(#REF!),#REF!, _xlfn.IFS( I618&gt;=30, 5, I618&gt;=25, 4.8, I618&gt;=15, 4, I618&gt;=10, 3.8, I618&gt;=5, 3, I618&gt;=2, 2.5, I618&gt;=0, 1.8, TRUE, 1.3))</f>
        <v>4</v>
      </c>
      <c r="O618" s="2" t="s">
        <v>2053</v>
      </c>
      <c r="P618" s="10">
        <v>0.86</v>
      </c>
      <c r="Q618" s="10" t="str">
        <f>_xlfn.IFS(Table1[[#This Row],[Rating]]&gt;=4, "Top Performer", Table1[[#This Row],[Rating]]&gt;=3, "Average", TRUE, "Needs Imporovement")</f>
        <v>Top Performer</v>
      </c>
    </row>
    <row r="619" spans="1:17" x14ac:dyDescent="0.3">
      <c r="A619" s="2" t="s">
        <v>1280</v>
      </c>
      <c r="B619" s="2" t="s">
        <v>1281</v>
      </c>
      <c r="C619" s="2" t="s">
        <v>49</v>
      </c>
      <c r="D619" s="2">
        <v>42</v>
      </c>
      <c r="E619" s="2" t="str">
        <f>_xlfn.IFS(Table1[[#This Row],[Age]]&lt;30, "18-29", D619&lt;=45,"30-45", D619&lt;=55, "46-55", TRUE, "55+")</f>
        <v>30-45</v>
      </c>
      <c r="F619" s="2" t="s">
        <v>92</v>
      </c>
      <c r="G619" s="2" t="s">
        <v>93</v>
      </c>
      <c r="H619" s="2" t="s">
        <v>61</v>
      </c>
      <c r="I619" s="5">
        <v>24</v>
      </c>
      <c r="J619" s="5" t="str">
        <f>_xlfn.IFS(Table1[[#This Row],[Experience(Years)]]&lt;5, "Junior", I619&lt;=12, "Mid-Level", I619&lt;=20, "Senior", I619&lt;=30, "Super Senior", TRUE, "Expert")</f>
        <v>Super Senior</v>
      </c>
      <c r="K619" s="7">
        <v>40</v>
      </c>
      <c r="L619" s="7">
        <f>Table1[[#This Row],[Hourly Rate]]*1000</f>
        <v>40000</v>
      </c>
      <c r="M619" s="7" t="str">
        <f t="shared" si="9"/>
        <v>Standard</v>
      </c>
      <c r="N619" s="2">
        <f>IF(ISNUMBER(#REF!),#REF!, _xlfn.IFS( I619&gt;=30, 5, I619&gt;=25, 4.8, I619&gt;=15, 4, I619&gt;=10, 3.8, I619&gt;=5, 3, I619&gt;=2, 2.5, I619&gt;=0, 1.8, TRUE, 1.3))</f>
        <v>4</v>
      </c>
      <c r="O619" s="2" t="s">
        <v>2052</v>
      </c>
      <c r="P619" s="10">
        <v>0.88</v>
      </c>
      <c r="Q619" s="10" t="str">
        <f>_xlfn.IFS(Table1[[#This Row],[Rating]]&gt;=4, "Top Performer", Table1[[#This Row],[Rating]]&gt;=3, "Average", TRUE, "Needs Imporovement")</f>
        <v>Top Performer</v>
      </c>
    </row>
    <row r="620" spans="1:17" x14ac:dyDescent="0.3">
      <c r="A620" s="2" t="s">
        <v>1282</v>
      </c>
      <c r="B620" s="2" t="s">
        <v>1283</v>
      </c>
      <c r="C620" s="2" t="s">
        <v>49</v>
      </c>
      <c r="D620" s="2">
        <v>30</v>
      </c>
      <c r="E620" s="2" t="str">
        <f>_xlfn.IFS(Table1[[#This Row],[Age]]&lt;30, "18-29", D620&lt;=45,"30-45", D620&lt;=55, "46-55", TRUE, "55+")</f>
        <v>30-45</v>
      </c>
      <c r="F620" s="2" t="s">
        <v>121</v>
      </c>
      <c r="G620" s="2" t="s">
        <v>122</v>
      </c>
      <c r="H620" s="2" t="s">
        <v>61</v>
      </c>
      <c r="I620" s="5">
        <v>7</v>
      </c>
      <c r="J620" s="5" t="str">
        <f>_xlfn.IFS(Table1[[#This Row],[Experience(Years)]]&lt;5, "Junior", I620&lt;=12, "Mid-Level", I620&lt;=20, "Senior", I620&lt;=30, "Super Senior", TRUE, "Expert")</f>
        <v>Mid-Level</v>
      </c>
      <c r="K620" s="7">
        <v>30</v>
      </c>
      <c r="L620" s="7">
        <f>Table1[[#This Row],[Hourly Rate]]*1000</f>
        <v>30000</v>
      </c>
      <c r="M620" s="7" t="str">
        <f t="shared" si="9"/>
        <v>Budget</v>
      </c>
      <c r="N620" s="2">
        <f>IF(ISNUMBER(#REF!),#REF!, _xlfn.IFS( I620&gt;=30, 5, I620&gt;=25, 4.8, I620&gt;=15, 4, I620&gt;=10, 3.8, I620&gt;=5, 3, I620&gt;=2, 2.5, I620&gt;=0, 1.8, TRUE, 1.3))</f>
        <v>3</v>
      </c>
      <c r="O620" s="2" t="str">
        <f>IF(AND( Table1[[#This Row],[Rating]]&gt;=3.5, Table1[[#This Row],[Experience(Years)]]&gt;=15), "Active", "Inactive")</f>
        <v>Inactive</v>
      </c>
      <c r="P620" s="10">
        <v>0.68</v>
      </c>
      <c r="Q620" s="10" t="str">
        <f>_xlfn.IFS(Table1[[#This Row],[Rating]]&gt;=4, "Top Performer", Table1[[#This Row],[Rating]]&gt;=3, "Average", TRUE, "Needs Imporovement")</f>
        <v>Average</v>
      </c>
    </row>
    <row r="621" spans="1:17" x14ac:dyDescent="0.3">
      <c r="A621" s="2" t="s">
        <v>1284</v>
      </c>
      <c r="B621" s="2" t="s">
        <v>1285</v>
      </c>
      <c r="C621" s="2" t="s">
        <v>49</v>
      </c>
      <c r="D621" s="2">
        <v>43</v>
      </c>
      <c r="E621" s="2" t="str">
        <f>_xlfn.IFS(Table1[[#This Row],[Age]]&lt;30, "18-29", D621&lt;=45,"30-45", D621&lt;=55, "46-55", TRUE, "55+")</f>
        <v>30-45</v>
      </c>
      <c r="F621" s="2" t="s">
        <v>7</v>
      </c>
      <c r="G621" s="2" t="s">
        <v>8</v>
      </c>
      <c r="H621" s="2" t="s">
        <v>17</v>
      </c>
      <c r="I621" s="5">
        <v>13</v>
      </c>
      <c r="J621" s="5" t="str">
        <f>_xlfn.IFS(Table1[[#This Row],[Experience(Years)]]&lt;5, "Junior", I621&lt;=12, "Mid-Level", I621&lt;=20, "Senior", I621&lt;=30, "Super Senior", TRUE, "Expert")</f>
        <v>Senior</v>
      </c>
      <c r="K621" s="7">
        <v>100</v>
      </c>
      <c r="L621" s="7">
        <f>Table1[[#This Row],[Hourly Rate]]*1000</f>
        <v>100000</v>
      </c>
      <c r="M621" s="7" t="str">
        <f t="shared" si="9"/>
        <v>Premium</v>
      </c>
      <c r="N621" s="2">
        <f>IF(ISNUMBER(#REF!),#REF!, _xlfn.IFS( I621&gt;=30, 5, I621&gt;=25, 4.8, I621&gt;=15, 4, I621&gt;=10, 3.8, I621&gt;=5, 3, I621&gt;=2, 2.5, I621&gt;=0, 1.8, TRUE, 1.3))</f>
        <v>3.8</v>
      </c>
      <c r="O621" s="2" t="s">
        <v>2053</v>
      </c>
      <c r="P621" s="10">
        <v>0.97</v>
      </c>
      <c r="Q621" s="10" t="str">
        <f>_xlfn.IFS(Table1[[#This Row],[Rating]]&gt;=4, "Top Performer", Table1[[#This Row],[Rating]]&gt;=3, "Average", TRUE, "Needs Imporovement")</f>
        <v>Average</v>
      </c>
    </row>
    <row r="622" spans="1:17" x14ac:dyDescent="0.3">
      <c r="A622" s="2" t="s">
        <v>1286</v>
      </c>
      <c r="B622" s="2" t="s">
        <v>1287</v>
      </c>
      <c r="C622" s="2" t="s">
        <v>68</v>
      </c>
      <c r="D622" s="2">
        <v>22</v>
      </c>
      <c r="E622" s="2" t="str">
        <f>_xlfn.IFS(Table1[[#This Row],[Age]]&lt;30, "18-29", D622&lt;=45,"30-45", D622&lt;=55, "46-55", TRUE, "55+")</f>
        <v>18-29</v>
      </c>
      <c r="F622" s="2" t="s">
        <v>107</v>
      </c>
      <c r="G622" s="2" t="s">
        <v>108</v>
      </c>
      <c r="H622" s="2" t="s">
        <v>46</v>
      </c>
      <c r="I622" s="5">
        <v>2</v>
      </c>
      <c r="J622" s="5" t="str">
        <f>_xlfn.IFS(Table1[[#This Row],[Experience(Years)]]&lt;5, "Junior", I622&lt;=12, "Mid-Level", I622&lt;=20, "Senior", I622&lt;=30, "Super Senior", TRUE, "Expert")</f>
        <v>Junior</v>
      </c>
      <c r="K622" s="7">
        <v>75</v>
      </c>
      <c r="L622" s="7">
        <f>Table1[[#This Row],[Hourly Rate]]*1000</f>
        <v>75000</v>
      </c>
      <c r="M622" s="7" t="str">
        <f t="shared" si="9"/>
        <v>Standard</v>
      </c>
      <c r="N622" s="2">
        <f>IF(ISNUMBER(#REF!),#REF!, _xlfn.IFS( I622&gt;=30, 5, I622&gt;=25, 4.8, I622&gt;=15, 4, I622&gt;=10, 3.8, I622&gt;=5, 3, I622&gt;=2, 2.5, I622&gt;=0, 1.8, TRUE, 1.3))</f>
        <v>2.5</v>
      </c>
      <c r="O622" s="2" t="s">
        <v>2052</v>
      </c>
      <c r="P622" s="10">
        <v>0.91</v>
      </c>
      <c r="Q622" s="10" t="str">
        <f>_xlfn.IFS(Table1[[#This Row],[Rating]]&gt;=4, "Top Performer", Table1[[#This Row],[Rating]]&gt;=3, "Average", TRUE, "Needs Imporovement")</f>
        <v>Needs Imporovement</v>
      </c>
    </row>
    <row r="623" spans="1:17" x14ac:dyDescent="0.3">
      <c r="A623" s="2" t="s">
        <v>1288</v>
      </c>
      <c r="B623" s="2" t="s">
        <v>1289</v>
      </c>
      <c r="C623" s="2" t="s">
        <v>68</v>
      </c>
      <c r="D623" s="2">
        <v>57</v>
      </c>
      <c r="E623" s="2" t="str">
        <f>_xlfn.IFS(Table1[[#This Row],[Age]]&lt;30, "18-29", D623&lt;=45,"30-45", D623&lt;=55, "46-55", TRUE, "55+")</f>
        <v>55+</v>
      </c>
      <c r="F623" s="2" t="s">
        <v>145</v>
      </c>
      <c r="G623" s="2" t="s">
        <v>45</v>
      </c>
      <c r="H623" s="2" t="s">
        <v>83</v>
      </c>
      <c r="I623" s="5">
        <v>37</v>
      </c>
      <c r="J623" s="5" t="str">
        <f>_xlfn.IFS(Table1[[#This Row],[Experience(Years)]]&lt;5, "Junior", I623&lt;=12, "Mid-Level", I623&lt;=20, "Senior", I623&lt;=30, "Super Senior", TRUE, "Expert")</f>
        <v>Expert</v>
      </c>
      <c r="K623" s="7">
        <v>30</v>
      </c>
      <c r="L623" s="7">
        <f>Table1[[#This Row],[Hourly Rate]]*1000</f>
        <v>30000</v>
      </c>
      <c r="M623" s="7" t="str">
        <f t="shared" si="9"/>
        <v>Budget</v>
      </c>
      <c r="N623" s="2">
        <f>IF(ISNUMBER(#REF!),#REF!, _xlfn.IFS( I623&gt;=30, 5, I623&gt;=25, 4.8, I623&gt;=15, 4, I623&gt;=10, 3.8, I623&gt;=5, 3, I623&gt;=2, 2.5, I623&gt;=0, 1.8, TRUE, 1.3))</f>
        <v>5</v>
      </c>
      <c r="O623" s="2" t="s">
        <v>2052</v>
      </c>
      <c r="P623" s="10">
        <v>1</v>
      </c>
      <c r="Q623" s="10" t="str">
        <f>_xlfn.IFS(Table1[[#This Row],[Rating]]&gt;=4, "Top Performer", Table1[[#This Row],[Rating]]&gt;=3, "Average", TRUE, "Needs Imporovement")</f>
        <v>Top Performer</v>
      </c>
    </row>
    <row r="624" spans="1:17" x14ac:dyDescent="0.3">
      <c r="A624" s="2" t="s">
        <v>1290</v>
      </c>
      <c r="B624" s="2" t="s">
        <v>1291</v>
      </c>
      <c r="C624" s="2" t="s">
        <v>68</v>
      </c>
      <c r="D624" s="2">
        <v>44</v>
      </c>
      <c r="E624" s="2" t="str">
        <f>_xlfn.IFS(Table1[[#This Row],[Age]]&lt;30, "18-29", D624&lt;=45,"30-45", D624&lt;=55, "46-55", TRUE, "55+")</f>
        <v>30-45</v>
      </c>
      <c r="F624" s="2" t="s">
        <v>41</v>
      </c>
      <c r="G624" s="2" t="s">
        <v>8</v>
      </c>
      <c r="H624" s="2" t="s">
        <v>14</v>
      </c>
      <c r="I624" s="5">
        <v>1</v>
      </c>
      <c r="J624" s="5" t="str">
        <f>_xlfn.IFS(Table1[[#This Row],[Experience(Years)]]&lt;5, "Junior", I624&lt;=12, "Mid-Level", I624&lt;=20, "Senior", I624&lt;=30, "Super Senior", TRUE, "Expert")</f>
        <v>Junior</v>
      </c>
      <c r="K624" s="7">
        <v>30</v>
      </c>
      <c r="L624" s="7">
        <f>Table1[[#This Row],[Hourly Rate]]*1000</f>
        <v>30000</v>
      </c>
      <c r="M624" s="7" t="str">
        <f t="shared" si="9"/>
        <v>Budget</v>
      </c>
      <c r="N624" s="2">
        <f>IF(ISNUMBER(#REF!),#REF!, _xlfn.IFS( I624&gt;=30, 5, I624&gt;=25, 4.8, I624&gt;=15, 4, I624&gt;=10, 3.8, I624&gt;=5, 3, I624&gt;=2, 2.5, I624&gt;=0, 1.8, TRUE, 1.3))</f>
        <v>1.8</v>
      </c>
      <c r="O624" s="2" t="s">
        <v>2052</v>
      </c>
      <c r="P624" s="10">
        <v>0.97</v>
      </c>
      <c r="Q624" s="10" t="str">
        <f>_xlfn.IFS(Table1[[#This Row],[Rating]]&gt;=4, "Top Performer", Table1[[#This Row],[Rating]]&gt;=3, "Average", TRUE, "Needs Imporovement")</f>
        <v>Needs Imporovement</v>
      </c>
    </row>
    <row r="625" spans="1:17" x14ac:dyDescent="0.3">
      <c r="A625" s="2" t="s">
        <v>1292</v>
      </c>
      <c r="B625" s="2" t="s">
        <v>1293</v>
      </c>
      <c r="C625" s="2" t="s">
        <v>49</v>
      </c>
      <c r="D625" s="2">
        <v>46</v>
      </c>
      <c r="E625" s="2" t="str">
        <f>_xlfn.IFS(Table1[[#This Row],[Age]]&lt;30, "18-29", D625&lt;=45,"30-45", D625&lt;=55, "46-55", TRUE, "55+")</f>
        <v>46-55</v>
      </c>
      <c r="F625" s="2" t="s">
        <v>141</v>
      </c>
      <c r="G625" s="2" t="s">
        <v>142</v>
      </c>
      <c r="H625" s="2" t="s">
        <v>61</v>
      </c>
      <c r="I625" s="5">
        <v>5</v>
      </c>
      <c r="J625" s="5" t="str">
        <f>_xlfn.IFS(Table1[[#This Row],[Experience(Years)]]&lt;5, "Junior", I625&lt;=12, "Mid-Level", I625&lt;=20, "Senior", I625&lt;=30, "Super Senior", TRUE, "Expert")</f>
        <v>Mid-Level</v>
      </c>
      <c r="K625" s="7">
        <v>30</v>
      </c>
      <c r="L625" s="7">
        <f>Table1[[#This Row],[Hourly Rate]]*1000</f>
        <v>30000</v>
      </c>
      <c r="M625" s="7" t="str">
        <f t="shared" si="9"/>
        <v>Budget</v>
      </c>
      <c r="N625" s="2">
        <f>IF(ISNUMBER(#REF!),#REF!, _xlfn.IFS( I625&gt;=30, 5, I625&gt;=25, 4.8, I625&gt;=15, 4, I625&gt;=10, 3.8, I625&gt;=5, 3, I625&gt;=2, 2.5, I625&gt;=0, 1.8, TRUE, 1.3))</f>
        <v>3</v>
      </c>
      <c r="O625" s="2" t="s">
        <v>2053</v>
      </c>
      <c r="P625" s="10">
        <v>0.64</v>
      </c>
      <c r="Q625" s="10" t="str">
        <f>_xlfn.IFS(Table1[[#This Row],[Rating]]&gt;=4, "Top Performer", Table1[[#This Row],[Rating]]&gt;=3, "Average", TRUE, "Needs Imporovement")</f>
        <v>Average</v>
      </c>
    </row>
    <row r="626" spans="1:17" x14ac:dyDescent="0.3">
      <c r="A626" s="2" t="s">
        <v>1294</v>
      </c>
      <c r="B626" s="2" t="s">
        <v>1295</v>
      </c>
      <c r="C626" s="2" t="s">
        <v>68</v>
      </c>
      <c r="D626" s="2">
        <v>24</v>
      </c>
      <c r="E626" s="2" t="str">
        <f>_xlfn.IFS(Table1[[#This Row],[Age]]&lt;30, "18-29", D626&lt;=45,"30-45", D626&lt;=55, "46-55", TRUE, "55+")</f>
        <v>18-29</v>
      </c>
      <c r="F626" s="2" t="s">
        <v>156</v>
      </c>
      <c r="G626" s="2" t="s">
        <v>45</v>
      </c>
      <c r="H626" s="2" t="s">
        <v>4</v>
      </c>
      <c r="I626" s="5">
        <v>1</v>
      </c>
      <c r="J626" s="5" t="str">
        <f>_xlfn.IFS(Table1[[#This Row],[Experience(Years)]]&lt;5, "Junior", I626&lt;=12, "Mid-Level", I626&lt;=20, "Senior", I626&lt;=30, "Super Senior", TRUE, "Expert")</f>
        <v>Junior</v>
      </c>
      <c r="K626" s="7">
        <v>50</v>
      </c>
      <c r="L626" s="7">
        <f>Table1[[#This Row],[Hourly Rate]]*1000</f>
        <v>50000</v>
      </c>
      <c r="M626" s="7" t="str">
        <f t="shared" si="9"/>
        <v>Standard</v>
      </c>
      <c r="N626" s="2">
        <f>IF(ISNUMBER(#REF!),#REF!, _xlfn.IFS( I626&gt;=30, 5, I626&gt;=25, 4.8, I626&gt;=15, 4, I626&gt;=10, 3.8, I626&gt;=5, 3, I626&gt;=2, 2.5, I626&gt;=0, 1.8, TRUE, 1.3))</f>
        <v>1.8</v>
      </c>
      <c r="O626" s="2" t="s">
        <v>2052</v>
      </c>
      <c r="P626" s="10">
        <v>0.87</v>
      </c>
      <c r="Q626" s="10" t="str">
        <f>_xlfn.IFS(Table1[[#This Row],[Rating]]&gt;=4, "Top Performer", Table1[[#This Row],[Rating]]&gt;=3, "Average", TRUE, "Needs Imporovement")</f>
        <v>Needs Imporovement</v>
      </c>
    </row>
    <row r="627" spans="1:17" x14ac:dyDescent="0.3">
      <c r="A627" s="2" t="s">
        <v>1296</v>
      </c>
      <c r="B627" s="2" t="s">
        <v>1297</v>
      </c>
      <c r="C627" s="2" t="s">
        <v>49</v>
      </c>
      <c r="D627" s="2">
        <v>34</v>
      </c>
      <c r="E627" s="2" t="str">
        <f>_xlfn.IFS(Table1[[#This Row],[Age]]&lt;30, "18-29", D627&lt;=45,"30-45", D627&lt;=55, "46-55", TRUE, "55+")</f>
        <v>30-45</v>
      </c>
      <c r="F627" s="2" t="s">
        <v>7</v>
      </c>
      <c r="G627" s="2" t="s">
        <v>8</v>
      </c>
      <c r="H627" s="2" t="s">
        <v>29</v>
      </c>
      <c r="I627" s="5">
        <v>2</v>
      </c>
      <c r="J627" s="5" t="str">
        <f>_xlfn.IFS(Table1[[#This Row],[Experience(Years)]]&lt;5, "Junior", I627&lt;=12, "Mid-Level", I627&lt;=20, "Senior", I627&lt;=30, "Super Senior", TRUE, "Expert")</f>
        <v>Junior</v>
      </c>
      <c r="K627" s="7">
        <v>100</v>
      </c>
      <c r="L627" s="7">
        <f>Table1[[#This Row],[Hourly Rate]]*1000</f>
        <v>100000</v>
      </c>
      <c r="M627" s="7" t="str">
        <f t="shared" si="9"/>
        <v>Premium</v>
      </c>
      <c r="N627" s="2">
        <f>IF(ISNUMBER(#REF!),#REF!, _xlfn.IFS( I627&gt;=30, 5, I627&gt;=25, 4.8, I627&gt;=15, 4, I627&gt;=10, 3.8, I627&gt;=5, 3, I627&gt;=2, 2.5, I627&gt;=0, 1.8, TRUE, 1.3))</f>
        <v>2.5</v>
      </c>
      <c r="O627" s="2" t="s">
        <v>2052</v>
      </c>
      <c r="P627" s="10">
        <v>0.86</v>
      </c>
      <c r="Q627" s="10" t="str">
        <f>_xlfn.IFS(Table1[[#This Row],[Rating]]&gt;=4, "Top Performer", Table1[[#This Row],[Rating]]&gt;=3, "Average", TRUE, "Needs Imporovement")</f>
        <v>Needs Imporovement</v>
      </c>
    </row>
    <row r="628" spans="1:17" x14ac:dyDescent="0.3">
      <c r="A628" s="2" t="s">
        <v>1298</v>
      </c>
      <c r="B628" s="2" t="s">
        <v>1299</v>
      </c>
      <c r="C628" s="2" t="s">
        <v>49</v>
      </c>
      <c r="D628" s="2">
        <v>46</v>
      </c>
      <c r="E628" s="2" t="str">
        <f>_xlfn.IFS(Table1[[#This Row],[Age]]&lt;30, "18-29", D628&lt;=45,"30-45", D628&lt;=55, "46-55", TRUE, "55+")</f>
        <v>46-55</v>
      </c>
      <c r="F628" s="2" t="s">
        <v>2</v>
      </c>
      <c r="G628" s="2" t="s">
        <v>3</v>
      </c>
      <c r="H628" s="2" t="s">
        <v>9</v>
      </c>
      <c r="I628" s="5">
        <v>12</v>
      </c>
      <c r="J628" s="5" t="str">
        <f>_xlfn.IFS(Table1[[#This Row],[Experience(Years)]]&lt;5, "Junior", I628&lt;=12, "Mid-Level", I628&lt;=20, "Senior", I628&lt;=30, "Super Senior", TRUE, "Expert")</f>
        <v>Mid-Level</v>
      </c>
      <c r="K628" s="7">
        <v>100</v>
      </c>
      <c r="L628" s="7">
        <f>Table1[[#This Row],[Hourly Rate]]*1000</f>
        <v>100000</v>
      </c>
      <c r="M628" s="7" t="str">
        <f t="shared" si="9"/>
        <v>Premium</v>
      </c>
      <c r="N628" s="2">
        <f>IF(ISNUMBER(#REF!),#REF!, _xlfn.IFS( I628&gt;=30, 5, I628&gt;=25, 4.8, I628&gt;=15, 4, I628&gt;=10, 3.8, I628&gt;=5, 3, I628&gt;=2, 2.5, I628&gt;=0, 1.8, TRUE, 1.3))</f>
        <v>3.8</v>
      </c>
      <c r="O628" s="2" t="s">
        <v>2053</v>
      </c>
      <c r="P628" s="10">
        <v>0.97</v>
      </c>
      <c r="Q628" s="10" t="str">
        <f>_xlfn.IFS(Table1[[#This Row],[Rating]]&gt;=4, "Top Performer", Table1[[#This Row],[Rating]]&gt;=3, "Average", TRUE, "Needs Imporovement")</f>
        <v>Average</v>
      </c>
    </row>
    <row r="629" spans="1:17" x14ac:dyDescent="0.3">
      <c r="A629" s="2" t="s">
        <v>1300</v>
      </c>
      <c r="B629" s="2" t="s">
        <v>1301</v>
      </c>
      <c r="C629" s="2" t="s">
        <v>49</v>
      </c>
      <c r="D629" s="2">
        <v>22</v>
      </c>
      <c r="E629" s="2" t="str">
        <f>_xlfn.IFS(Table1[[#This Row],[Age]]&lt;30, "18-29", D629&lt;=45,"30-45", D629&lt;=55, "46-55", TRUE, "55+")</f>
        <v>18-29</v>
      </c>
      <c r="F629" s="2" t="s">
        <v>103</v>
      </c>
      <c r="G629" s="2" t="s">
        <v>104</v>
      </c>
      <c r="H629" s="2" t="s">
        <v>4</v>
      </c>
      <c r="I629" s="5">
        <v>0</v>
      </c>
      <c r="J629" s="5" t="str">
        <f>_xlfn.IFS(Table1[[#This Row],[Experience(Years)]]&lt;5, "Junior", I629&lt;=12, "Mid-Level", I629&lt;=20, "Senior", I629&lt;=30, "Super Senior", TRUE, "Expert")</f>
        <v>Junior</v>
      </c>
      <c r="K629" s="7">
        <v>30</v>
      </c>
      <c r="L629" s="7">
        <f>Table1[[#This Row],[Hourly Rate]]*1000</f>
        <v>30000</v>
      </c>
      <c r="M629" s="7" t="str">
        <f t="shared" si="9"/>
        <v>Budget</v>
      </c>
      <c r="N629" s="2">
        <f>IF(ISNUMBER(#REF!),#REF!, _xlfn.IFS( I629&gt;=30, 5, I629&gt;=25, 4.8, I629&gt;=15, 4, I629&gt;=10, 3.8, I629&gt;=5, 3, I629&gt;=2, 2.5, I629&gt;=0, 1.8, TRUE, 1.3))</f>
        <v>1.8</v>
      </c>
      <c r="O629" s="2" t="s">
        <v>2052</v>
      </c>
      <c r="P629" s="10">
        <v>0.73</v>
      </c>
      <c r="Q629" s="10" t="str">
        <f>_xlfn.IFS(Table1[[#This Row],[Rating]]&gt;=4, "Top Performer", Table1[[#This Row],[Rating]]&gt;=3, "Average", TRUE, "Needs Imporovement")</f>
        <v>Needs Imporovement</v>
      </c>
    </row>
    <row r="630" spans="1:17" x14ac:dyDescent="0.3">
      <c r="A630" s="2" t="s">
        <v>1302</v>
      </c>
      <c r="B630" s="2" t="s">
        <v>1303</v>
      </c>
      <c r="C630" s="2" t="s">
        <v>49</v>
      </c>
      <c r="D630" s="2">
        <v>23</v>
      </c>
      <c r="E630" s="2" t="str">
        <f>_xlfn.IFS(Table1[[#This Row],[Age]]&lt;30, "18-29", D630&lt;=45,"30-45", D630&lt;=55, "46-55", TRUE, "55+")</f>
        <v>18-29</v>
      </c>
      <c r="F630" s="2" t="s">
        <v>121</v>
      </c>
      <c r="G630" s="2" t="s">
        <v>122</v>
      </c>
      <c r="H630" s="2" t="s">
        <v>24</v>
      </c>
      <c r="I630" s="5">
        <v>0</v>
      </c>
      <c r="J630" s="5" t="str">
        <f>_xlfn.IFS(Table1[[#This Row],[Experience(Years)]]&lt;5, "Junior", I630&lt;=12, "Mid-Level", I630&lt;=20, "Senior", I630&lt;=30, "Super Senior", TRUE, "Expert")</f>
        <v>Junior</v>
      </c>
      <c r="K630" s="7">
        <v>75</v>
      </c>
      <c r="L630" s="7">
        <f>Table1[[#This Row],[Hourly Rate]]*1000</f>
        <v>75000</v>
      </c>
      <c r="M630" s="7" t="str">
        <f t="shared" si="9"/>
        <v>Standard</v>
      </c>
      <c r="N630" s="2">
        <f>IF(ISNUMBER(#REF!),#REF!, _xlfn.IFS( I630&gt;=30, 5, I630&gt;=25, 4.8, I630&gt;=15, 4, I630&gt;=10, 3.8, I630&gt;=5, 3, I630&gt;=2, 2.5, I630&gt;=0, 1.8, TRUE, 1.3))</f>
        <v>1.8</v>
      </c>
      <c r="O630" s="2" t="str">
        <f>IF(AND( Table1[[#This Row],[Rating]]&gt;=3.5, Table1[[#This Row],[Experience(Years)]]&gt;=15), "Active", "Inactive")</f>
        <v>Inactive</v>
      </c>
      <c r="P630" s="10">
        <v>0.6</v>
      </c>
      <c r="Q630" s="10" t="str">
        <f>_xlfn.IFS(Table1[[#This Row],[Rating]]&gt;=4, "Top Performer", Table1[[#This Row],[Rating]]&gt;=3, "Average", TRUE, "Needs Imporovement")</f>
        <v>Needs Imporovement</v>
      </c>
    </row>
    <row r="631" spans="1:17" x14ac:dyDescent="0.3">
      <c r="A631" s="2" t="s">
        <v>1304</v>
      </c>
      <c r="B631" s="2" t="s">
        <v>1305</v>
      </c>
      <c r="C631" s="2" t="s">
        <v>49</v>
      </c>
      <c r="D631" s="2">
        <v>60</v>
      </c>
      <c r="E631" s="2" t="str">
        <f>_xlfn.IFS(Table1[[#This Row],[Age]]&lt;30, "18-29", D631&lt;=45,"30-45", D631&lt;=55, "46-55", TRUE, "55+")</f>
        <v>55+</v>
      </c>
      <c r="F631" s="2" t="s">
        <v>37</v>
      </c>
      <c r="G631" s="2" t="s">
        <v>38</v>
      </c>
      <c r="H631" s="2" t="s">
        <v>17</v>
      </c>
      <c r="I631" s="5">
        <v>41</v>
      </c>
      <c r="J631" s="5" t="str">
        <f>_xlfn.IFS(Table1[[#This Row],[Experience(Years)]]&lt;5, "Junior", I631&lt;=12, "Mid-Level", I631&lt;=20, "Senior", I631&lt;=30, "Super Senior", TRUE, "Expert")</f>
        <v>Expert</v>
      </c>
      <c r="K631" s="7">
        <v>40</v>
      </c>
      <c r="L631" s="7">
        <f>Table1[[#This Row],[Hourly Rate]]*1000</f>
        <v>40000</v>
      </c>
      <c r="M631" s="7" t="str">
        <f t="shared" si="9"/>
        <v>Standard</v>
      </c>
      <c r="N631" s="2">
        <f>IF(ISNUMBER(#REF!),#REF!, _xlfn.IFS( I631&gt;=30, 5, I631&gt;=25, 4.8, I631&gt;=15, 4, I631&gt;=10, 3.8, I631&gt;=5, 3, I631&gt;=2, 2.5, I631&gt;=0, 1.8, TRUE, 1.3))</f>
        <v>5</v>
      </c>
      <c r="O631" s="2" t="s">
        <v>2053</v>
      </c>
      <c r="P631" s="10">
        <v>0.66</v>
      </c>
      <c r="Q631" s="10" t="str">
        <f>_xlfn.IFS(Table1[[#This Row],[Rating]]&gt;=4, "Top Performer", Table1[[#This Row],[Rating]]&gt;=3, "Average", TRUE, "Needs Imporovement")</f>
        <v>Top Performer</v>
      </c>
    </row>
    <row r="632" spans="1:17" x14ac:dyDescent="0.3">
      <c r="A632" s="2" t="s">
        <v>1306</v>
      </c>
      <c r="B632" s="2" t="s">
        <v>1307</v>
      </c>
      <c r="C632" s="2" t="s">
        <v>68</v>
      </c>
      <c r="D632" s="2">
        <v>20</v>
      </c>
      <c r="E632" s="2" t="str">
        <f>_xlfn.IFS(Table1[[#This Row],[Age]]&lt;30, "18-29", D632&lt;=45,"30-45", D632&lt;=55, "46-55", TRUE, "55+")</f>
        <v>18-29</v>
      </c>
      <c r="F632" s="2" t="s">
        <v>96</v>
      </c>
      <c r="G632" s="2" t="s">
        <v>8</v>
      </c>
      <c r="H632" s="2" t="s">
        <v>61</v>
      </c>
      <c r="I632" s="5">
        <v>0</v>
      </c>
      <c r="J632" s="5" t="str">
        <f>_xlfn.IFS(Table1[[#This Row],[Experience(Years)]]&lt;5, "Junior", I632&lt;=12, "Mid-Level", I632&lt;=20, "Senior", I632&lt;=30, "Super Senior", TRUE, "Expert")</f>
        <v>Junior</v>
      </c>
      <c r="K632" s="7">
        <v>75</v>
      </c>
      <c r="L632" s="7">
        <f>Table1[[#This Row],[Hourly Rate]]*1000</f>
        <v>75000</v>
      </c>
      <c r="M632" s="7" t="str">
        <f t="shared" si="9"/>
        <v>Standard</v>
      </c>
      <c r="N632" s="2">
        <f>IF(ISNUMBER(#REF!),#REF!, _xlfn.IFS( I632&gt;=30, 5, I632&gt;=25, 4.8, I632&gt;=15, 4, I632&gt;=10, 3.8, I632&gt;=5, 3, I632&gt;=2, 2.5, I632&gt;=0, 1.8, TRUE, 1.3))</f>
        <v>1.8</v>
      </c>
      <c r="O632" s="2" t="s">
        <v>2052</v>
      </c>
      <c r="P632" s="10">
        <v>0.9</v>
      </c>
      <c r="Q632" s="10" t="str">
        <f>_xlfn.IFS(Table1[[#This Row],[Rating]]&gt;=4, "Top Performer", Table1[[#This Row],[Rating]]&gt;=3, "Average", TRUE, "Needs Imporovement")</f>
        <v>Needs Imporovement</v>
      </c>
    </row>
    <row r="633" spans="1:17" x14ac:dyDescent="0.3">
      <c r="A633" s="2" t="s">
        <v>1308</v>
      </c>
      <c r="B633" s="2" t="s">
        <v>1309</v>
      </c>
      <c r="C633" s="2" t="s">
        <v>49</v>
      </c>
      <c r="D633" s="2">
        <v>41</v>
      </c>
      <c r="E633" s="2" t="str">
        <f>_xlfn.IFS(Table1[[#This Row],[Age]]&lt;30, "18-29", D633&lt;=45,"30-45", D633&lt;=55, "46-55", TRUE, "55+")</f>
        <v>30-45</v>
      </c>
      <c r="F633" s="2" t="s">
        <v>81</v>
      </c>
      <c r="G633" s="2" t="s">
        <v>82</v>
      </c>
      <c r="H633" s="2" t="s">
        <v>46</v>
      </c>
      <c r="I633" s="5">
        <v>23</v>
      </c>
      <c r="J633" s="5" t="str">
        <f>_xlfn.IFS(Table1[[#This Row],[Experience(Years)]]&lt;5, "Junior", I633&lt;=12, "Mid-Level", I633&lt;=20, "Senior", I633&lt;=30, "Super Senior", TRUE, "Expert")</f>
        <v>Super Senior</v>
      </c>
      <c r="K633" s="7">
        <v>75</v>
      </c>
      <c r="L633" s="7">
        <f>Table1[[#This Row],[Hourly Rate]]*1000</f>
        <v>75000</v>
      </c>
      <c r="M633" s="7" t="str">
        <f t="shared" si="9"/>
        <v>Standard</v>
      </c>
      <c r="N633" s="2">
        <f>IF(ISNUMBER(#REF!),#REF!, _xlfn.IFS( I633&gt;=30, 5, I633&gt;=25, 4.8, I633&gt;=15, 4, I633&gt;=10, 3.8, I633&gt;=5, 3, I633&gt;=2, 2.5, I633&gt;=0, 1.8, TRUE, 1.3))</f>
        <v>4</v>
      </c>
      <c r="O633" s="2" t="s">
        <v>2052</v>
      </c>
      <c r="P633" s="10">
        <v>0.85</v>
      </c>
      <c r="Q633" s="10" t="str">
        <f>_xlfn.IFS(Table1[[#This Row],[Rating]]&gt;=4, "Top Performer", Table1[[#This Row],[Rating]]&gt;=3, "Average", TRUE, "Needs Imporovement")</f>
        <v>Top Performer</v>
      </c>
    </row>
    <row r="634" spans="1:17" x14ac:dyDescent="0.3">
      <c r="A634" s="2" t="s">
        <v>1310</v>
      </c>
      <c r="B634" s="2" t="s">
        <v>1311</v>
      </c>
      <c r="C634" s="2" t="s">
        <v>68</v>
      </c>
      <c r="D634" s="2">
        <v>24</v>
      </c>
      <c r="E634" s="2" t="str">
        <f>_xlfn.IFS(Table1[[#This Row],[Age]]&lt;30, "18-29", D634&lt;=45,"30-45", D634&lt;=55, "46-55", TRUE, "55+")</f>
        <v>18-29</v>
      </c>
      <c r="F634" s="2" t="s">
        <v>103</v>
      </c>
      <c r="G634" s="2" t="s">
        <v>104</v>
      </c>
      <c r="H634" s="2" t="s">
        <v>9</v>
      </c>
      <c r="I634" s="5">
        <v>0</v>
      </c>
      <c r="J634" s="5" t="str">
        <f>_xlfn.IFS(Table1[[#This Row],[Experience(Years)]]&lt;5, "Junior", I634&lt;=12, "Mid-Level", I634&lt;=20, "Senior", I634&lt;=30, "Super Senior", TRUE, "Expert")</f>
        <v>Junior</v>
      </c>
      <c r="K634" s="7">
        <v>100</v>
      </c>
      <c r="L634" s="7">
        <f>Table1[[#This Row],[Hourly Rate]]*1000</f>
        <v>100000</v>
      </c>
      <c r="M634" s="7" t="str">
        <f t="shared" si="9"/>
        <v>Premium</v>
      </c>
      <c r="N634" s="2">
        <f>IF(ISNUMBER(#REF!),#REF!, _xlfn.IFS( I634&gt;=30, 5, I634&gt;=25, 4.8, I634&gt;=15, 4, I634&gt;=10, 3.8, I634&gt;=5, 3, I634&gt;=2, 2.5, I634&gt;=0, 1.8, TRUE, 1.3))</f>
        <v>1.8</v>
      </c>
      <c r="O634" s="2" t="s">
        <v>2052</v>
      </c>
      <c r="P634" s="10">
        <v>0.3</v>
      </c>
      <c r="Q634" s="10" t="str">
        <f>_xlfn.IFS(Table1[[#This Row],[Rating]]&gt;=4, "Top Performer", Table1[[#This Row],[Rating]]&gt;=3, "Average", TRUE, "Needs Imporovement")</f>
        <v>Needs Imporovement</v>
      </c>
    </row>
    <row r="635" spans="1:17" x14ac:dyDescent="0.3">
      <c r="A635" s="2" t="s">
        <v>1312</v>
      </c>
      <c r="B635" s="2" t="s">
        <v>1313</v>
      </c>
      <c r="C635" s="2" t="s">
        <v>68</v>
      </c>
      <c r="D635" s="2">
        <v>44</v>
      </c>
      <c r="E635" s="2" t="str">
        <f>_xlfn.IFS(Table1[[#This Row],[Age]]&lt;30, "18-29", D635&lt;=45,"30-45", D635&lt;=55, "46-55", TRUE, "55+")</f>
        <v>30-45</v>
      </c>
      <c r="F635" s="2" t="s">
        <v>22</v>
      </c>
      <c r="G635" s="2" t="s">
        <v>23</v>
      </c>
      <c r="H635" s="2" t="s">
        <v>83</v>
      </c>
      <c r="I635" s="5">
        <v>4</v>
      </c>
      <c r="J635" s="5" t="str">
        <f>_xlfn.IFS(Table1[[#This Row],[Experience(Years)]]&lt;5, "Junior", I635&lt;=12, "Mid-Level", I635&lt;=20, "Senior", I635&lt;=30, "Super Senior", TRUE, "Expert")</f>
        <v>Junior</v>
      </c>
      <c r="K635" s="7">
        <v>20</v>
      </c>
      <c r="L635" s="7">
        <f>Table1[[#This Row],[Hourly Rate]]*1000</f>
        <v>20000</v>
      </c>
      <c r="M635" s="7" t="str">
        <f t="shared" si="9"/>
        <v>Budget</v>
      </c>
      <c r="N635" s="2">
        <f>IF(ISNUMBER(#REF!),#REF!, _xlfn.IFS( I635&gt;=30, 5, I635&gt;=25, 4.8, I635&gt;=15, 4, I635&gt;=10, 3.8, I635&gt;=5, 3, I635&gt;=2, 2.5, I635&gt;=0, 1.8, TRUE, 1.3))</f>
        <v>2.5</v>
      </c>
      <c r="O635" s="2" t="s">
        <v>2053</v>
      </c>
      <c r="P635" s="10">
        <v>0.77</v>
      </c>
      <c r="Q635" s="10" t="str">
        <f>_xlfn.IFS(Table1[[#This Row],[Rating]]&gt;=4, "Top Performer", Table1[[#This Row],[Rating]]&gt;=3, "Average", TRUE, "Needs Imporovement")</f>
        <v>Needs Imporovement</v>
      </c>
    </row>
    <row r="636" spans="1:17" x14ac:dyDescent="0.3">
      <c r="A636" s="2" t="s">
        <v>1314</v>
      </c>
      <c r="B636" s="2" t="s">
        <v>1315</v>
      </c>
      <c r="C636" s="2" t="s">
        <v>68</v>
      </c>
      <c r="D636" s="2">
        <v>52</v>
      </c>
      <c r="E636" s="2" t="str">
        <f>_xlfn.IFS(Table1[[#This Row],[Age]]&lt;30, "18-29", D636&lt;=45,"30-45", D636&lt;=55, "46-55", TRUE, "55+")</f>
        <v>46-55</v>
      </c>
      <c r="F636" s="2" t="s">
        <v>141</v>
      </c>
      <c r="G636" s="2" t="s">
        <v>142</v>
      </c>
      <c r="H636" s="2" t="s">
        <v>46</v>
      </c>
      <c r="I636" s="5">
        <v>4</v>
      </c>
      <c r="J636" s="5" t="str">
        <f>_xlfn.IFS(Table1[[#This Row],[Experience(Years)]]&lt;5, "Junior", I636&lt;=12, "Mid-Level", I636&lt;=20, "Senior", I636&lt;=30, "Super Senior", TRUE, "Expert")</f>
        <v>Junior</v>
      </c>
      <c r="K636" s="7">
        <v>75</v>
      </c>
      <c r="L636" s="7">
        <f>Table1[[#This Row],[Hourly Rate]]*1000</f>
        <v>75000</v>
      </c>
      <c r="M636" s="7" t="str">
        <f t="shared" si="9"/>
        <v>Standard</v>
      </c>
      <c r="N636" s="2">
        <f>IF(ISNUMBER(#REF!),#REF!, _xlfn.IFS( I636&gt;=30, 5, I636&gt;=25, 4.8, I636&gt;=15, 4, I636&gt;=10, 3.8, I636&gt;=5, 3, I636&gt;=2, 2.5, I636&gt;=0, 1.8, TRUE, 1.3))</f>
        <v>2.5</v>
      </c>
      <c r="O636" s="2" t="s">
        <v>2053</v>
      </c>
      <c r="P636" s="10">
        <v>0.79</v>
      </c>
      <c r="Q636" s="10" t="str">
        <f>_xlfn.IFS(Table1[[#This Row],[Rating]]&gt;=4, "Top Performer", Table1[[#This Row],[Rating]]&gt;=3, "Average", TRUE, "Needs Imporovement")</f>
        <v>Needs Imporovement</v>
      </c>
    </row>
    <row r="637" spans="1:17" x14ac:dyDescent="0.3">
      <c r="A637" s="2" t="s">
        <v>1316</v>
      </c>
      <c r="B637" s="2" t="s">
        <v>1317</v>
      </c>
      <c r="C637" s="2" t="s">
        <v>68</v>
      </c>
      <c r="D637" s="2">
        <v>35</v>
      </c>
      <c r="E637" s="2" t="str">
        <f>_xlfn.IFS(Table1[[#This Row],[Age]]&lt;30, "18-29", D637&lt;=45,"30-45", D637&lt;=55, "46-55", TRUE, "55+")</f>
        <v>30-45</v>
      </c>
      <c r="F637" s="2" t="s">
        <v>156</v>
      </c>
      <c r="G637" s="2" t="s">
        <v>45</v>
      </c>
      <c r="H637" s="2" t="s">
        <v>83</v>
      </c>
      <c r="I637" s="5">
        <v>13</v>
      </c>
      <c r="J637" s="5" t="str">
        <f>_xlfn.IFS(Table1[[#This Row],[Experience(Years)]]&lt;5, "Junior", I637&lt;=12, "Mid-Level", I637&lt;=20, "Senior", I637&lt;=30, "Super Senior", TRUE, "Expert")</f>
        <v>Senior</v>
      </c>
      <c r="K637" s="7">
        <v>40</v>
      </c>
      <c r="L637" s="7">
        <f>Table1[[#This Row],[Hourly Rate]]*1000</f>
        <v>40000</v>
      </c>
      <c r="M637" s="7" t="str">
        <f t="shared" si="9"/>
        <v>Standard</v>
      </c>
      <c r="N637" s="2">
        <f>IF(ISNUMBER(#REF!),#REF!, _xlfn.IFS( I637&gt;=30, 5, I637&gt;=25, 4.8, I637&gt;=15, 4, I637&gt;=10, 3.8, I637&gt;=5, 3, I637&gt;=2, 2.5, I637&gt;=0, 1.8, TRUE, 1.3))</f>
        <v>3.8</v>
      </c>
      <c r="O637" s="2" t="s">
        <v>2052</v>
      </c>
      <c r="P637" s="10">
        <v>0.83</v>
      </c>
      <c r="Q637" s="10" t="str">
        <f>_xlfn.IFS(Table1[[#This Row],[Rating]]&gt;=4, "Top Performer", Table1[[#This Row],[Rating]]&gt;=3, "Average", TRUE, "Needs Imporovement")</f>
        <v>Average</v>
      </c>
    </row>
    <row r="638" spans="1:17" x14ac:dyDescent="0.3">
      <c r="A638" s="2" t="s">
        <v>1318</v>
      </c>
      <c r="B638" s="2" t="s">
        <v>1319</v>
      </c>
      <c r="C638" s="2" t="s">
        <v>49</v>
      </c>
      <c r="D638" s="2">
        <v>24</v>
      </c>
      <c r="E638" s="2" t="str">
        <f>_xlfn.IFS(Table1[[#This Row],[Age]]&lt;30, "18-29", D638&lt;=45,"30-45", D638&lt;=55, "46-55", TRUE, "55+")</f>
        <v>18-29</v>
      </c>
      <c r="F638" s="2" t="s">
        <v>22</v>
      </c>
      <c r="G638" s="2" t="s">
        <v>23</v>
      </c>
      <c r="H638" s="2" t="s">
        <v>61</v>
      </c>
      <c r="I638" s="5">
        <v>2</v>
      </c>
      <c r="J638" s="5" t="str">
        <f>_xlfn.IFS(Table1[[#This Row],[Experience(Years)]]&lt;5, "Junior", I638&lt;=12, "Mid-Level", I638&lt;=20, "Senior", I638&lt;=30, "Super Senior", TRUE, "Expert")</f>
        <v>Junior</v>
      </c>
      <c r="K638" s="7">
        <v>50</v>
      </c>
      <c r="L638" s="7">
        <f>Table1[[#This Row],[Hourly Rate]]*1000</f>
        <v>50000</v>
      </c>
      <c r="M638" s="7" t="str">
        <f t="shared" si="9"/>
        <v>Standard</v>
      </c>
      <c r="N638" s="2">
        <f>IF(ISNUMBER(#REF!),#REF!, _xlfn.IFS( I638&gt;=30, 5, I638&gt;=25, 4.8, I638&gt;=15, 4, I638&gt;=10, 3.8, I638&gt;=5, 3, I638&gt;=2, 2.5, I638&gt;=0, 1.8, TRUE, 1.3))</f>
        <v>2.5</v>
      </c>
      <c r="O638" s="2" t="s">
        <v>2052</v>
      </c>
      <c r="P638" s="10">
        <v>0.64</v>
      </c>
      <c r="Q638" s="10" t="str">
        <f>_xlfn.IFS(Table1[[#This Row],[Rating]]&gt;=4, "Top Performer", Table1[[#This Row],[Rating]]&gt;=3, "Average", TRUE, "Needs Imporovement")</f>
        <v>Needs Imporovement</v>
      </c>
    </row>
    <row r="639" spans="1:17" x14ac:dyDescent="0.3">
      <c r="A639" s="2" t="s">
        <v>1320</v>
      </c>
      <c r="B639" s="2" t="s">
        <v>1321</v>
      </c>
      <c r="C639" s="2" t="s">
        <v>49</v>
      </c>
      <c r="D639" s="2">
        <v>46</v>
      </c>
      <c r="E639" s="2" t="str">
        <f>_xlfn.IFS(Table1[[#This Row],[Age]]&lt;30, "18-29", D639&lt;=45,"30-45", D639&lt;=55, "46-55", TRUE, "55+")</f>
        <v>46-55</v>
      </c>
      <c r="F639" s="2" t="s">
        <v>7</v>
      </c>
      <c r="G639" s="2" t="s">
        <v>8</v>
      </c>
      <c r="H639" s="2" t="s">
        <v>50</v>
      </c>
      <c r="I639" s="5">
        <v>25</v>
      </c>
      <c r="J639" s="5" t="str">
        <f>_xlfn.IFS(Table1[[#This Row],[Experience(Years)]]&lt;5, "Junior", I639&lt;=12, "Mid-Level", I639&lt;=20, "Senior", I639&lt;=30, "Super Senior", TRUE, "Expert")</f>
        <v>Super Senior</v>
      </c>
      <c r="K639" s="7">
        <v>100</v>
      </c>
      <c r="L639" s="7">
        <f>Table1[[#This Row],[Hourly Rate]]*1000</f>
        <v>100000</v>
      </c>
      <c r="M639" s="7" t="str">
        <f t="shared" si="9"/>
        <v>Premium</v>
      </c>
      <c r="N639" s="2">
        <f>IF(ISNUMBER(#REF!),#REF!, _xlfn.IFS( I639&gt;=30, 5, I639&gt;=25, 4.8, I639&gt;=15, 4, I639&gt;=10, 3.8, I639&gt;=5, 3, I639&gt;=2, 2.5, I639&gt;=0, 1.8, TRUE, 1.3))</f>
        <v>4.8</v>
      </c>
      <c r="O639" s="2" t="s">
        <v>2052</v>
      </c>
      <c r="P639" s="10">
        <v>0.8</v>
      </c>
      <c r="Q639" s="10" t="str">
        <f>_xlfn.IFS(Table1[[#This Row],[Rating]]&gt;=4, "Top Performer", Table1[[#This Row],[Rating]]&gt;=3, "Average", TRUE, "Needs Imporovement")</f>
        <v>Top Performer</v>
      </c>
    </row>
    <row r="640" spans="1:17" x14ac:dyDescent="0.3">
      <c r="A640" s="2" t="s">
        <v>1322</v>
      </c>
      <c r="B640" s="2" t="s">
        <v>1323</v>
      </c>
      <c r="C640" s="2" t="s">
        <v>68</v>
      </c>
      <c r="D640" s="2">
        <v>57</v>
      </c>
      <c r="E640" s="2" t="str">
        <f>_xlfn.IFS(Table1[[#This Row],[Age]]&lt;30, "18-29", D640&lt;=45,"30-45", D640&lt;=55, "46-55", TRUE, "55+")</f>
        <v>55+</v>
      </c>
      <c r="F640" s="2" t="s">
        <v>145</v>
      </c>
      <c r="G640" s="2" t="s">
        <v>45</v>
      </c>
      <c r="H640" s="2" t="s">
        <v>9</v>
      </c>
      <c r="I640" s="5">
        <v>18</v>
      </c>
      <c r="J640" s="5" t="str">
        <f>_xlfn.IFS(Table1[[#This Row],[Experience(Years)]]&lt;5, "Junior", I640&lt;=12, "Mid-Level", I640&lt;=20, "Senior", I640&lt;=30, "Super Senior", TRUE, "Expert")</f>
        <v>Senior</v>
      </c>
      <c r="K640" s="7">
        <v>30</v>
      </c>
      <c r="L640" s="7">
        <f>Table1[[#This Row],[Hourly Rate]]*1000</f>
        <v>30000</v>
      </c>
      <c r="M640" s="7" t="str">
        <f t="shared" si="9"/>
        <v>Budget</v>
      </c>
      <c r="N640" s="2">
        <f>IF(ISNUMBER(#REF!),#REF!, _xlfn.IFS( I640&gt;=30, 5, I640&gt;=25, 4.8, I640&gt;=15, 4, I640&gt;=10, 3.8, I640&gt;=5, 3, I640&gt;=2, 2.5, I640&gt;=0, 1.8, TRUE, 1.3))</f>
        <v>4</v>
      </c>
      <c r="O640" s="2" t="s">
        <v>2052</v>
      </c>
      <c r="P640" s="10">
        <v>0.9</v>
      </c>
      <c r="Q640" s="10" t="str">
        <f>_xlfn.IFS(Table1[[#This Row],[Rating]]&gt;=4, "Top Performer", Table1[[#This Row],[Rating]]&gt;=3, "Average", TRUE, "Needs Imporovement")</f>
        <v>Top Performer</v>
      </c>
    </row>
    <row r="641" spans="1:17" x14ac:dyDescent="0.3">
      <c r="A641" s="2" t="s">
        <v>1324</v>
      </c>
      <c r="B641" s="2" t="s">
        <v>1325</v>
      </c>
      <c r="C641" s="2" t="s">
        <v>49</v>
      </c>
      <c r="D641" s="2">
        <v>49</v>
      </c>
      <c r="E641" s="2" t="str">
        <f>_xlfn.IFS(Table1[[#This Row],[Age]]&lt;30, "18-29", D641&lt;=45,"30-45", D641&lt;=55, "46-55", TRUE, "55+")</f>
        <v>46-55</v>
      </c>
      <c r="F641" s="2" t="s">
        <v>145</v>
      </c>
      <c r="G641" s="2" t="s">
        <v>45</v>
      </c>
      <c r="H641" s="2" t="s">
        <v>17</v>
      </c>
      <c r="I641" s="5">
        <v>24</v>
      </c>
      <c r="J641" s="5" t="str">
        <f>_xlfn.IFS(Table1[[#This Row],[Experience(Years)]]&lt;5, "Junior", I641&lt;=12, "Mid-Level", I641&lt;=20, "Senior", I641&lt;=30, "Super Senior", TRUE, "Expert")</f>
        <v>Super Senior</v>
      </c>
      <c r="K641" s="7">
        <v>50</v>
      </c>
      <c r="L641" s="7">
        <f>Table1[[#This Row],[Hourly Rate]]*1000</f>
        <v>50000</v>
      </c>
      <c r="M641" s="7" t="str">
        <f t="shared" si="9"/>
        <v>Standard</v>
      </c>
      <c r="N641" s="2">
        <f>IF(ISNUMBER(#REF!),#REF!, _xlfn.IFS( I641&gt;=30, 5, I641&gt;=25, 4.8, I641&gt;=15, 4, I641&gt;=10, 3.8, I641&gt;=5, 3, I641&gt;=2, 2.5, I641&gt;=0, 1.8, TRUE, 1.3))</f>
        <v>4</v>
      </c>
      <c r="O641" s="2" t="s">
        <v>2052</v>
      </c>
      <c r="P641" s="10">
        <v>0.94</v>
      </c>
      <c r="Q641" s="10" t="str">
        <f>_xlfn.IFS(Table1[[#This Row],[Rating]]&gt;=4, "Top Performer", Table1[[#This Row],[Rating]]&gt;=3, "Average", TRUE, "Needs Imporovement")</f>
        <v>Top Performer</v>
      </c>
    </row>
    <row r="642" spans="1:17" x14ac:dyDescent="0.3">
      <c r="A642" s="2" t="s">
        <v>1326</v>
      </c>
      <c r="B642" s="2" t="s">
        <v>1327</v>
      </c>
      <c r="C642" s="2" t="s">
        <v>68</v>
      </c>
      <c r="D642" s="2">
        <v>41</v>
      </c>
      <c r="E642" s="2" t="str">
        <f>_xlfn.IFS(Table1[[#This Row],[Age]]&lt;30, "18-29", D642&lt;=45,"30-45", D642&lt;=55, "46-55", TRUE, "55+")</f>
        <v>30-45</v>
      </c>
      <c r="F642" s="2" t="s">
        <v>57</v>
      </c>
      <c r="G642" s="2" t="s">
        <v>58</v>
      </c>
      <c r="H642" s="2" t="s">
        <v>24</v>
      </c>
      <c r="I642" s="5">
        <v>7</v>
      </c>
      <c r="J642" s="5" t="str">
        <f>_xlfn.IFS(Table1[[#This Row],[Experience(Years)]]&lt;5, "Junior", I642&lt;=12, "Mid-Level", I642&lt;=20, "Senior", I642&lt;=30, "Super Senior", TRUE, "Expert")</f>
        <v>Mid-Level</v>
      </c>
      <c r="K642" s="7">
        <v>40</v>
      </c>
      <c r="L642" s="7">
        <f>Table1[[#This Row],[Hourly Rate]]*1000</f>
        <v>40000</v>
      </c>
      <c r="M642" s="7" t="str">
        <f t="shared" ref="M642:M705" si="10">_xlfn.IFS(K642&lt;40, "Budget", K642&lt;=80, "Standard", TRUE, "Premium")</f>
        <v>Standard</v>
      </c>
      <c r="N642" s="2">
        <f>IF(ISNUMBER(#REF!),#REF!, _xlfn.IFS( I642&gt;=30, 5, I642&gt;=25, 4.8, I642&gt;=15, 4, I642&gt;=10, 3.8, I642&gt;=5, 3, I642&gt;=2, 2.5, I642&gt;=0, 1.8, TRUE, 1.3))</f>
        <v>3</v>
      </c>
      <c r="O642" s="2" t="s">
        <v>2052</v>
      </c>
      <c r="P642" s="10">
        <v>0.7</v>
      </c>
      <c r="Q642" s="10" t="str">
        <f>_xlfn.IFS(Table1[[#This Row],[Rating]]&gt;=4, "Top Performer", Table1[[#This Row],[Rating]]&gt;=3, "Average", TRUE, "Needs Imporovement")</f>
        <v>Average</v>
      </c>
    </row>
    <row r="643" spans="1:17" x14ac:dyDescent="0.3">
      <c r="A643" s="2" t="s">
        <v>1328</v>
      </c>
      <c r="B643" s="2" t="s">
        <v>1329</v>
      </c>
      <c r="C643" s="2" t="s">
        <v>68</v>
      </c>
      <c r="D643" s="2">
        <v>22</v>
      </c>
      <c r="E643" s="2" t="str">
        <f>_xlfn.IFS(Table1[[#This Row],[Age]]&lt;30, "18-29", D643&lt;=45,"30-45", D643&lt;=55, "46-55", TRUE, "55+")</f>
        <v>18-29</v>
      </c>
      <c r="F643" s="2" t="s">
        <v>145</v>
      </c>
      <c r="G643" s="2" t="s">
        <v>45</v>
      </c>
      <c r="H643" s="2" t="s">
        <v>83</v>
      </c>
      <c r="I643" s="5">
        <v>1</v>
      </c>
      <c r="J643" s="5" t="str">
        <f>_xlfn.IFS(Table1[[#This Row],[Experience(Years)]]&lt;5, "Junior", I643&lt;=12, "Mid-Level", I643&lt;=20, "Senior", I643&lt;=30, "Super Senior", TRUE, "Expert")</f>
        <v>Junior</v>
      </c>
      <c r="K643" s="7">
        <v>20</v>
      </c>
      <c r="L643" s="7">
        <f>Table1[[#This Row],[Hourly Rate]]*1000</f>
        <v>20000</v>
      </c>
      <c r="M643" s="7" t="str">
        <f t="shared" si="10"/>
        <v>Budget</v>
      </c>
      <c r="N643" s="2">
        <f>IF(ISNUMBER(#REF!),#REF!, _xlfn.IFS( I643&gt;=30, 5, I643&gt;=25, 4.8, I643&gt;=15, 4, I643&gt;=10, 3.8, I643&gt;=5, 3, I643&gt;=2, 2.5, I643&gt;=0, 1.8, TRUE, 1.3))</f>
        <v>1.8</v>
      </c>
      <c r="O643" s="2" t="s">
        <v>2053</v>
      </c>
      <c r="P643" s="10">
        <v>0.75</v>
      </c>
      <c r="Q643" s="10" t="str">
        <f>_xlfn.IFS(Table1[[#This Row],[Rating]]&gt;=4, "Top Performer", Table1[[#This Row],[Rating]]&gt;=3, "Average", TRUE, "Needs Imporovement")</f>
        <v>Needs Imporovement</v>
      </c>
    </row>
    <row r="644" spans="1:17" x14ac:dyDescent="0.3">
      <c r="A644" s="2" t="s">
        <v>1330</v>
      </c>
      <c r="B644" s="2" t="s">
        <v>1331</v>
      </c>
      <c r="C644" s="2" t="s">
        <v>68</v>
      </c>
      <c r="D644" s="2">
        <v>50</v>
      </c>
      <c r="E644" s="2" t="str">
        <f>_xlfn.IFS(Table1[[#This Row],[Age]]&lt;30, "18-29", D644&lt;=45,"30-45", D644&lt;=55, "46-55", TRUE, "55+")</f>
        <v>46-55</v>
      </c>
      <c r="F644" s="2" t="s">
        <v>7</v>
      </c>
      <c r="G644" s="2" t="s">
        <v>8</v>
      </c>
      <c r="H644" s="2" t="s">
        <v>4</v>
      </c>
      <c r="I644" s="5">
        <v>17</v>
      </c>
      <c r="J644" s="5" t="str">
        <f>_xlfn.IFS(Table1[[#This Row],[Experience(Years)]]&lt;5, "Junior", I644&lt;=12, "Mid-Level", I644&lt;=20, "Senior", I644&lt;=30, "Super Senior", TRUE, "Expert")</f>
        <v>Senior</v>
      </c>
      <c r="K644" s="7">
        <v>75</v>
      </c>
      <c r="L644" s="7">
        <f>Table1[[#This Row],[Hourly Rate]]*1000</f>
        <v>75000</v>
      </c>
      <c r="M644" s="7" t="str">
        <f t="shared" si="10"/>
        <v>Standard</v>
      </c>
      <c r="N644" s="2">
        <f>IF(ISNUMBER(#REF!),#REF!, _xlfn.IFS( I644&gt;=30, 5, I644&gt;=25, 4.8, I644&gt;=15, 4, I644&gt;=10, 3.8, I644&gt;=5, 3, I644&gt;=2, 2.5, I644&gt;=0, 1.8, TRUE, 1.3))</f>
        <v>4</v>
      </c>
      <c r="O644" s="2" t="s">
        <v>2053</v>
      </c>
      <c r="P644" s="10">
        <v>0.69</v>
      </c>
      <c r="Q644" s="10" t="str">
        <f>_xlfn.IFS(Table1[[#This Row],[Rating]]&gt;=4, "Top Performer", Table1[[#This Row],[Rating]]&gt;=3, "Average", TRUE, "Needs Imporovement")</f>
        <v>Top Performer</v>
      </c>
    </row>
    <row r="645" spans="1:17" x14ac:dyDescent="0.3">
      <c r="A645" s="2" t="s">
        <v>1332</v>
      </c>
      <c r="B645" s="2" t="s">
        <v>1333</v>
      </c>
      <c r="C645" s="2" t="s">
        <v>68</v>
      </c>
      <c r="D645" s="2">
        <v>57</v>
      </c>
      <c r="E645" s="2" t="str">
        <f>_xlfn.IFS(Table1[[#This Row],[Age]]&lt;30, "18-29", D645&lt;=45,"30-45", D645&lt;=55, "46-55", TRUE, "55+")</f>
        <v>55+</v>
      </c>
      <c r="F645" s="2" t="s">
        <v>12</v>
      </c>
      <c r="G645" s="2" t="s">
        <v>13</v>
      </c>
      <c r="H645" s="2" t="s">
        <v>14</v>
      </c>
      <c r="I645" s="5">
        <v>4</v>
      </c>
      <c r="J645" s="5" t="str">
        <f>_xlfn.IFS(Table1[[#This Row],[Experience(Years)]]&lt;5, "Junior", I645&lt;=12, "Mid-Level", I645&lt;=20, "Senior", I645&lt;=30, "Super Senior", TRUE, "Expert")</f>
        <v>Junior</v>
      </c>
      <c r="K645" s="7">
        <v>30</v>
      </c>
      <c r="L645" s="7">
        <f>Table1[[#This Row],[Hourly Rate]]*1000</f>
        <v>30000</v>
      </c>
      <c r="M645" s="7" t="str">
        <f t="shared" si="10"/>
        <v>Budget</v>
      </c>
      <c r="N645" s="2">
        <f>IF(ISNUMBER(#REF!),#REF!, _xlfn.IFS( I645&gt;=30, 5, I645&gt;=25, 4.8, I645&gt;=15, 4, I645&gt;=10, 3.8, I645&gt;=5, 3, I645&gt;=2, 2.5, I645&gt;=0, 1.8, TRUE, 1.3))</f>
        <v>2.5</v>
      </c>
      <c r="O645" s="2" t="s">
        <v>2052</v>
      </c>
      <c r="P645" s="10">
        <v>0.35</v>
      </c>
      <c r="Q645" s="10" t="str">
        <f>_xlfn.IFS(Table1[[#This Row],[Rating]]&gt;=4, "Top Performer", Table1[[#This Row],[Rating]]&gt;=3, "Average", TRUE, "Needs Imporovement")</f>
        <v>Needs Imporovement</v>
      </c>
    </row>
    <row r="646" spans="1:17" x14ac:dyDescent="0.3">
      <c r="A646" s="2" t="s">
        <v>1334</v>
      </c>
      <c r="B646" s="2" t="s">
        <v>1335</v>
      </c>
      <c r="C646" s="2" t="s">
        <v>49</v>
      </c>
      <c r="D646" s="2">
        <v>47</v>
      </c>
      <c r="E646" s="2" t="str">
        <f>_xlfn.IFS(Table1[[#This Row],[Age]]&lt;30, "18-29", D646&lt;=45,"30-45", D646&lt;=55, "46-55", TRUE, "55+")</f>
        <v>46-55</v>
      </c>
      <c r="F646" s="2" t="s">
        <v>145</v>
      </c>
      <c r="G646" s="2" t="s">
        <v>45</v>
      </c>
      <c r="H646" s="2" t="s">
        <v>24</v>
      </c>
      <c r="I646" s="5">
        <v>29</v>
      </c>
      <c r="J646" s="5" t="str">
        <f>_xlfn.IFS(Table1[[#This Row],[Experience(Years)]]&lt;5, "Junior", I646&lt;=12, "Mid-Level", I646&lt;=20, "Senior", I646&lt;=30, "Super Senior", TRUE, "Expert")</f>
        <v>Super Senior</v>
      </c>
      <c r="K646" s="7">
        <v>50</v>
      </c>
      <c r="L646" s="7">
        <f>Table1[[#This Row],[Hourly Rate]]*1000</f>
        <v>50000</v>
      </c>
      <c r="M646" s="7" t="str">
        <f t="shared" si="10"/>
        <v>Standard</v>
      </c>
      <c r="N646" s="2">
        <f>IF(ISNUMBER(#REF!),#REF!, _xlfn.IFS( I646&gt;=30, 5, I646&gt;=25, 4.8, I646&gt;=15, 4, I646&gt;=10, 3.8, I646&gt;=5, 3, I646&gt;=2, 2.5, I646&gt;=0, 1.8, TRUE, 1.3))</f>
        <v>4.8</v>
      </c>
      <c r="O646" s="2" t="s">
        <v>2053</v>
      </c>
      <c r="P646" s="10">
        <v>0.79</v>
      </c>
      <c r="Q646" s="10" t="str">
        <f>_xlfn.IFS(Table1[[#This Row],[Rating]]&gt;=4, "Top Performer", Table1[[#This Row],[Rating]]&gt;=3, "Average", TRUE, "Needs Imporovement")</f>
        <v>Top Performer</v>
      </c>
    </row>
    <row r="647" spans="1:17" x14ac:dyDescent="0.3">
      <c r="A647" s="2" t="s">
        <v>1336</v>
      </c>
      <c r="B647" s="2" t="s">
        <v>1337</v>
      </c>
      <c r="C647" s="2" t="s">
        <v>68</v>
      </c>
      <c r="D647" s="2">
        <v>24</v>
      </c>
      <c r="E647" s="2" t="str">
        <f>_xlfn.IFS(Table1[[#This Row],[Age]]&lt;30, "18-29", D647&lt;=45,"30-45", D647&lt;=55, "46-55", TRUE, "55+")</f>
        <v>18-29</v>
      </c>
      <c r="F647" s="2" t="s">
        <v>121</v>
      </c>
      <c r="G647" s="2" t="s">
        <v>122</v>
      </c>
      <c r="H647" s="2" t="s">
        <v>29</v>
      </c>
      <c r="I647" s="5">
        <v>2</v>
      </c>
      <c r="J647" s="5" t="str">
        <f>_xlfn.IFS(Table1[[#This Row],[Experience(Years)]]&lt;5, "Junior", I647&lt;=12, "Mid-Level", I647&lt;=20, "Senior", I647&lt;=30, "Super Senior", TRUE, "Expert")</f>
        <v>Junior</v>
      </c>
      <c r="K647" s="7">
        <v>100</v>
      </c>
      <c r="L647" s="7">
        <f>Table1[[#This Row],[Hourly Rate]]*1000</f>
        <v>100000</v>
      </c>
      <c r="M647" s="7" t="str">
        <f t="shared" si="10"/>
        <v>Premium</v>
      </c>
      <c r="N647" s="2">
        <f>IF(ISNUMBER(#REF!),#REF!, _xlfn.IFS( I647&gt;=30, 5, I647&gt;=25, 4.8, I647&gt;=15, 4, I647&gt;=10, 3.8, I647&gt;=5, 3, I647&gt;=2, 2.5, I647&gt;=0, 1.8, TRUE, 1.3))</f>
        <v>2.5</v>
      </c>
      <c r="O647" s="2" t="s">
        <v>2053</v>
      </c>
      <c r="P647" s="10">
        <v>0.71</v>
      </c>
      <c r="Q647" s="10" t="str">
        <f>_xlfn.IFS(Table1[[#This Row],[Rating]]&gt;=4, "Top Performer", Table1[[#This Row],[Rating]]&gt;=3, "Average", TRUE, "Needs Imporovement")</f>
        <v>Needs Imporovement</v>
      </c>
    </row>
    <row r="648" spans="1:17" x14ac:dyDescent="0.3">
      <c r="A648" s="2" t="s">
        <v>1338</v>
      </c>
      <c r="B648" s="2" t="s">
        <v>1339</v>
      </c>
      <c r="C648" s="2" t="s">
        <v>68</v>
      </c>
      <c r="D648" s="2">
        <v>32</v>
      </c>
      <c r="E648" s="2" t="str">
        <f>_xlfn.IFS(Table1[[#This Row],[Age]]&lt;30, "18-29", D648&lt;=45,"30-45", D648&lt;=55, "46-55", TRUE, "55+")</f>
        <v>30-45</v>
      </c>
      <c r="F648" s="2" t="s">
        <v>64</v>
      </c>
      <c r="G648" s="2" t="s">
        <v>65</v>
      </c>
      <c r="H648" s="2" t="s">
        <v>50</v>
      </c>
      <c r="I648" s="5">
        <v>9</v>
      </c>
      <c r="J648" s="5" t="str">
        <f>_xlfn.IFS(Table1[[#This Row],[Experience(Years)]]&lt;5, "Junior", I648&lt;=12, "Mid-Level", I648&lt;=20, "Senior", I648&lt;=30, "Super Senior", TRUE, "Expert")</f>
        <v>Mid-Level</v>
      </c>
      <c r="K648" s="7">
        <v>100</v>
      </c>
      <c r="L648" s="7">
        <f>Table1[[#This Row],[Hourly Rate]]*1000</f>
        <v>100000</v>
      </c>
      <c r="M648" s="7" t="str">
        <f t="shared" si="10"/>
        <v>Premium</v>
      </c>
      <c r="N648" s="2">
        <f>IF(ISNUMBER(#REF!),#REF!, _xlfn.IFS( I648&gt;=30, 5, I648&gt;=25, 4.8, I648&gt;=15, 4, I648&gt;=10, 3.8, I648&gt;=5, 3, I648&gt;=2, 2.5, I648&gt;=0, 1.8, TRUE, 1.3))</f>
        <v>3</v>
      </c>
      <c r="O648" s="2" t="s">
        <v>2053</v>
      </c>
      <c r="P648" s="10">
        <v>0.72</v>
      </c>
      <c r="Q648" s="10" t="str">
        <f>_xlfn.IFS(Table1[[#This Row],[Rating]]&gt;=4, "Top Performer", Table1[[#This Row],[Rating]]&gt;=3, "Average", TRUE, "Needs Imporovement")</f>
        <v>Average</v>
      </c>
    </row>
    <row r="649" spans="1:17" x14ac:dyDescent="0.3">
      <c r="A649" s="2" t="s">
        <v>1340</v>
      </c>
      <c r="B649" s="2" t="s">
        <v>1341</v>
      </c>
      <c r="C649" s="2" t="s">
        <v>49</v>
      </c>
      <c r="D649" s="2">
        <v>50</v>
      </c>
      <c r="E649" s="2" t="str">
        <f>_xlfn.IFS(Table1[[#This Row],[Age]]&lt;30, "18-29", D649&lt;=45,"30-45", D649&lt;=55, "46-55", TRUE, "55+")</f>
        <v>46-55</v>
      </c>
      <c r="F649" s="2" t="s">
        <v>12</v>
      </c>
      <c r="G649" s="2" t="s">
        <v>13</v>
      </c>
      <c r="H649" s="2" t="s">
        <v>61</v>
      </c>
      <c r="I649" s="5">
        <v>10</v>
      </c>
      <c r="J649" s="5" t="str">
        <f>_xlfn.IFS(Table1[[#This Row],[Experience(Years)]]&lt;5, "Junior", I649&lt;=12, "Mid-Level", I649&lt;=20, "Senior", I649&lt;=30, "Super Senior", TRUE, "Expert")</f>
        <v>Mid-Level</v>
      </c>
      <c r="K649" s="7">
        <v>100</v>
      </c>
      <c r="L649" s="7">
        <f>Table1[[#This Row],[Hourly Rate]]*1000</f>
        <v>100000</v>
      </c>
      <c r="M649" s="7" t="str">
        <f t="shared" si="10"/>
        <v>Premium</v>
      </c>
      <c r="N649" s="2">
        <f>IF(ISNUMBER(#REF!),#REF!, _xlfn.IFS( I649&gt;=30, 5, I649&gt;=25, 4.8, I649&gt;=15, 4, I649&gt;=10, 3.8, I649&gt;=5, 3, I649&gt;=2, 2.5, I649&gt;=0, 1.8, TRUE, 1.3))</f>
        <v>3.8</v>
      </c>
      <c r="O649" s="2" t="s">
        <v>2052</v>
      </c>
      <c r="P649" s="10">
        <v>0.93</v>
      </c>
      <c r="Q649" s="10" t="str">
        <f>_xlfn.IFS(Table1[[#This Row],[Rating]]&gt;=4, "Top Performer", Table1[[#This Row],[Rating]]&gt;=3, "Average", TRUE, "Needs Imporovement")</f>
        <v>Average</v>
      </c>
    </row>
    <row r="650" spans="1:17" x14ac:dyDescent="0.3">
      <c r="A650" s="2" t="s">
        <v>1342</v>
      </c>
      <c r="B650" s="2" t="s">
        <v>1343</v>
      </c>
      <c r="C650" s="2" t="s">
        <v>68</v>
      </c>
      <c r="D650" s="2">
        <v>46</v>
      </c>
      <c r="E650" s="2" t="str">
        <f>_xlfn.IFS(Table1[[#This Row],[Age]]&lt;30, "18-29", D650&lt;=45,"30-45", D650&lt;=55, "46-55", TRUE, "55+")</f>
        <v>46-55</v>
      </c>
      <c r="F650" s="2" t="s">
        <v>77</v>
      </c>
      <c r="G650" s="2" t="s">
        <v>78</v>
      </c>
      <c r="H650" s="2" t="s">
        <v>83</v>
      </c>
      <c r="I650" s="5">
        <v>20</v>
      </c>
      <c r="J650" s="5" t="str">
        <f>_xlfn.IFS(Table1[[#This Row],[Experience(Years)]]&lt;5, "Junior", I650&lt;=12, "Mid-Level", I650&lt;=20, "Senior", I650&lt;=30, "Super Senior", TRUE, "Expert")</f>
        <v>Senior</v>
      </c>
      <c r="K650" s="7">
        <v>70</v>
      </c>
      <c r="L650" s="7">
        <f>Table1[[#This Row],[Hourly Rate]]*1000</f>
        <v>70000</v>
      </c>
      <c r="M650" s="7" t="str">
        <f t="shared" si="10"/>
        <v>Standard</v>
      </c>
      <c r="N650" s="2">
        <f>IF(ISNUMBER(#REF!),#REF!, _xlfn.IFS( I650&gt;=30, 5, I650&gt;=25, 4.8, I650&gt;=15, 4, I650&gt;=10, 3.8, I650&gt;=5, 3, I650&gt;=2, 2.5, I650&gt;=0, 1.8, TRUE, 1.3))</f>
        <v>4</v>
      </c>
      <c r="O650" s="2" t="s">
        <v>2053</v>
      </c>
      <c r="P650" s="10">
        <v>0.82</v>
      </c>
      <c r="Q650" s="10" t="str">
        <f>_xlfn.IFS(Table1[[#This Row],[Rating]]&gt;=4, "Top Performer", Table1[[#This Row],[Rating]]&gt;=3, "Average", TRUE, "Needs Imporovement")</f>
        <v>Top Performer</v>
      </c>
    </row>
    <row r="651" spans="1:17" x14ac:dyDescent="0.3">
      <c r="A651" s="2" t="s">
        <v>1344</v>
      </c>
      <c r="B651" s="2" t="s">
        <v>1345</v>
      </c>
      <c r="C651" s="2" t="s">
        <v>68</v>
      </c>
      <c r="D651" s="2">
        <v>51</v>
      </c>
      <c r="E651" s="2" t="str">
        <f>_xlfn.IFS(Table1[[#This Row],[Age]]&lt;30, "18-29", D651&lt;=45,"30-45", D651&lt;=55, "46-55", TRUE, "55+")</f>
        <v>46-55</v>
      </c>
      <c r="F651" s="2" t="s">
        <v>7</v>
      </c>
      <c r="G651" s="2" t="s">
        <v>8</v>
      </c>
      <c r="H651" s="2" t="s">
        <v>50</v>
      </c>
      <c r="I651" s="5">
        <v>9</v>
      </c>
      <c r="J651" s="5" t="str">
        <f>_xlfn.IFS(Table1[[#This Row],[Experience(Years)]]&lt;5, "Junior", I651&lt;=12, "Mid-Level", I651&lt;=20, "Senior", I651&lt;=30, "Super Senior", TRUE, "Expert")</f>
        <v>Mid-Level</v>
      </c>
      <c r="K651" s="7">
        <v>40</v>
      </c>
      <c r="L651" s="7">
        <f>Table1[[#This Row],[Hourly Rate]]*1000</f>
        <v>40000</v>
      </c>
      <c r="M651" s="7" t="str">
        <f t="shared" si="10"/>
        <v>Standard</v>
      </c>
      <c r="N651" s="2">
        <f>IF(ISNUMBER(#REF!),#REF!, _xlfn.IFS( I651&gt;=30, 5, I651&gt;=25, 4.8, I651&gt;=15, 4, I651&gt;=10, 3.8, I651&gt;=5, 3, I651&gt;=2, 2.5, I651&gt;=0, 1.8, TRUE, 1.3))</f>
        <v>3</v>
      </c>
      <c r="O651" s="2" t="s">
        <v>2052</v>
      </c>
      <c r="P651" s="10">
        <v>0.6</v>
      </c>
      <c r="Q651" s="10" t="str">
        <f>_xlfn.IFS(Table1[[#This Row],[Rating]]&gt;=4, "Top Performer", Table1[[#This Row],[Rating]]&gt;=3, "Average", TRUE, "Needs Imporovement")</f>
        <v>Average</v>
      </c>
    </row>
    <row r="652" spans="1:17" x14ac:dyDescent="0.3">
      <c r="A652" s="2" t="s">
        <v>1346</v>
      </c>
      <c r="B652" s="2" t="s">
        <v>1347</v>
      </c>
      <c r="C652" s="2" t="s">
        <v>68</v>
      </c>
      <c r="D652" s="2">
        <v>51</v>
      </c>
      <c r="E652" s="2" t="str">
        <f>_xlfn.IFS(Table1[[#This Row],[Age]]&lt;30, "18-29", D652&lt;=45,"30-45", D652&lt;=55, "46-55", TRUE, "55+")</f>
        <v>46-55</v>
      </c>
      <c r="F652" s="2" t="s">
        <v>41</v>
      </c>
      <c r="G652" s="2" t="s">
        <v>8</v>
      </c>
      <c r="H652" s="2" t="s">
        <v>24</v>
      </c>
      <c r="I652" s="5">
        <v>12</v>
      </c>
      <c r="J652" s="5" t="str">
        <f>_xlfn.IFS(Table1[[#This Row],[Experience(Years)]]&lt;5, "Junior", I652&lt;=12, "Mid-Level", I652&lt;=20, "Senior", I652&lt;=30, "Super Senior", TRUE, "Expert")</f>
        <v>Mid-Level</v>
      </c>
      <c r="K652" s="7">
        <v>20</v>
      </c>
      <c r="L652" s="7">
        <f>Table1[[#This Row],[Hourly Rate]]*1000</f>
        <v>20000</v>
      </c>
      <c r="M652" s="7" t="str">
        <f t="shared" si="10"/>
        <v>Budget</v>
      </c>
      <c r="N652" s="2">
        <f>IF(ISNUMBER(#REF!),#REF!, _xlfn.IFS( I652&gt;=30, 5, I652&gt;=25, 4.8, I652&gt;=15, 4, I652&gt;=10, 3.8, I652&gt;=5, 3, I652&gt;=2, 2.5, I652&gt;=0, 1.8, TRUE, 1.3))</f>
        <v>3.8</v>
      </c>
      <c r="O652" s="2" t="s">
        <v>2052</v>
      </c>
      <c r="P652" s="10">
        <v>0.93</v>
      </c>
      <c r="Q652" s="10" t="str">
        <f>_xlfn.IFS(Table1[[#This Row],[Rating]]&gt;=4, "Top Performer", Table1[[#This Row],[Rating]]&gt;=3, "Average", TRUE, "Needs Imporovement")</f>
        <v>Average</v>
      </c>
    </row>
    <row r="653" spans="1:17" x14ac:dyDescent="0.3">
      <c r="A653" s="2" t="s">
        <v>1348</v>
      </c>
      <c r="B653" s="2" t="s">
        <v>1349</v>
      </c>
      <c r="C653" s="2" t="s">
        <v>68</v>
      </c>
      <c r="D653" s="2">
        <v>27</v>
      </c>
      <c r="E653" s="2" t="str">
        <f>_xlfn.IFS(Table1[[#This Row],[Age]]&lt;30, "18-29", D653&lt;=45,"30-45", D653&lt;=55, "46-55", TRUE, "55+")</f>
        <v>18-29</v>
      </c>
      <c r="F653" s="2" t="s">
        <v>41</v>
      </c>
      <c r="G653" s="2" t="s">
        <v>8</v>
      </c>
      <c r="H653" s="2" t="s">
        <v>24</v>
      </c>
      <c r="I653" s="5">
        <v>3</v>
      </c>
      <c r="J653" s="5" t="str">
        <f>_xlfn.IFS(Table1[[#This Row],[Experience(Years)]]&lt;5, "Junior", I653&lt;=12, "Mid-Level", I653&lt;=20, "Senior", I653&lt;=30, "Super Senior", TRUE, "Expert")</f>
        <v>Junior</v>
      </c>
      <c r="K653" s="7">
        <v>50</v>
      </c>
      <c r="L653" s="7">
        <f>Table1[[#This Row],[Hourly Rate]]*1000</f>
        <v>50000</v>
      </c>
      <c r="M653" s="7" t="str">
        <f t="shared" si="10"/>
        <v>Standard</v>
      </c>
      <c r="N653" s="2">
        <f>IF(ISNUMBER(#REF!),#REF!, _xlfn.IFS( I653&gt;=30, 5, I653&gt;=25, 4.8, I653&gt;=15, 4, I653&gt;=10, 3.8, I653&gt;=5, 3, I653&gt;=2, 2.5, I653&gt;=0, 1.8, TRUE, 1.3))</f>
        <v>2.5</v>
      </c>
      <c r="O653" s="2" t="s">
        <v>2052</v>
      </c>
      <c r="P653" s="10">
        <v>0.35</v>
      </c>
      <c r="Q653" s="10" t="str">
        <f>_xlfn.IFS(Table1[[#This Row],[Rating]]&gt;=4, "Top Performer", Table1[[#This Row],[Rating]]&gt;=3, "Average", TRUE, "Needs Imporovement")</f>
        <v>Needs Imporovement</v>
      </c>
    </row>
    <row r="654" spans="1:17" x14ac:dyDescent="0.3">
      <c r="A654" s="2" t="s">
        <v>1350</v>
      </c>
      <c r="B654" s="2" t="s">
        <v>1351</v>
      </c>
      <c r="C654" s="2" t="s">
        <v>68</v>
      </c>
      <c r="D654" s="2">
        <v>42</v>
      </c>
      <c r="E654" s="2" t="str">
        <f>_xlfn.IFS(Table1[[#This Row],[Age]]&lt;30, "18-29", D654&lt;=45,"30-45", D654&lt;=55, "46-55", TRUE, "55+")</f>
        <v>30-45</v>
      </c>
      <c r="F654" s="2" t="s">
        <v>156</v>
      </c>
      <c r="G654" s="2" t="s">
        <v>45</v>
      </c>
      <c r="H654" s="2" t="s">
        <v>17</v>
      </c>
      <c r="I654" s="5">
        <v>13</v>
      </c>
      <c r="J654" s="5" t="str">
        <f>_xlfn.IFS(Table1[[#This Row],[Experience(Years)]]&lt;5, "Junior", I654&lt;=12, "Mid-Level", I654&lt;=20, "Senior", I654&lt;=30, "Super Senior", TRUE, "Expert")</f>
        <v>Senior</v>
      </c>
      <c r="K654" s="7">
        <v>30</v>
      </c>
      <c r="L654" s="7">
        <f>Table1[[#This Row],[Hourly Rate]]*1000</f>
        <v>30000</v>
      </c>
      <c r="M654" s="7" t="str">
        <f t="shared" si="10"/>
        <v>Budget</v>
      </c>
      <c r="N654" s="2">
        <f>IF(ISNUMBER(#REF!),#REF!, _xlfn.IFS( I654&gt;=30, 5, I654&gt;=25, 4.8, I654&gt;=15, 4, I654&gt;=10, 3.8, I654&gt;=5, 3, I654&gt;=2, 2.5, I654&gt;=0, 1.8, TRUE, 1.3))</f>
        <v>3.8</v>
      </c>
      <c r="O654" s="2" t="s">
        <v>2052</v>
      </c>
      <c r="P654" s="10">
        <v>0.74</v>
      </c>
      <c r="Q654" s="10" t="str">
        <f>_xlfn.IFS(Table1[[#This Row],[Rating]]&gt;=4, "Top Performer", Table1[[#This Row],[Rating]]&gt;=3, "Average", TRUE, "Needs Imporovement")</f>
        <v>Average</v>
      </c>
    </row>
    <row r="655" spans="1:17" x14ac:dyDescent="0.3">
      <c r="A655" s="2" t="s">
        <v>1352</v>
      </c>
      <c r="B655" s="2" t="s">
        <v>1353</v>
      </c>
      <c r="C655" s="2" t="s">
        <v>68</v>
      </c>
      <c r="D655" s="2">
        <v>25</v>
      </c>
      <c r="E655" s="2" t="str">
        <f>_xlfn.IFS(Table1[[#This Row],[Age]]&lt;30, "18-29", D655&lt;=45,"30-45", D655&lt;=55, "46-55", TRUE, "55+")</f>
        <v>18-29</v>
      </c>
      <c r="F655" s="2" t="s">
        <v>12</v>
      </c>
      <c r="G655" s="2" t="s">
        <v>13</v>
      </c>
      <c r="H655" s="2" t="s">
        <v>46</v>
      </c>
      <c r="I655" s="5">
        <v>4</v>
      </c>
      <c r="J655" s="5" t="str">
        <f>_xlfn.IFS(Table1[[#This Row],[Experience(Years)]]&lt;5, "Junior", I655&lt;=12, "Mid-Level", I655&lt;=20, "Senior", I655&lt;=30, "Super Senior", TRUE, "Expert")</f>
        <v>Junior</v>
      </c>
      <c r="K655" s="7">
        <v>40</v>
      </c>
      <c r="L655" s="7">
        <f>Table1[[#This Row],[Hourly Rate]]*1000</f>
        <v>40000</v>
      </c>
      <c r="M655" s="7" t="str">
        <f t="shared" si="10"/>
        <v>Standard</v>
      </c>
      <c r="N655" s="2">
        <f>IF(ISNUMBER(#REF!),#REF!, _xlfn.IFS( I655&gt;=30, 5, I655&gt;=25, 4.8, I655&gt;=15, 4, I655&gt;=10, 3.8, I655&gt;=5, 3, I655&gt;=2, 2.5, I655&gt;=0, 1.8, TRUE, 1.3))</f>
        <v>2.5</v>
      </c>
      <c r="O655" s="2" t="s">
        <v>2053</v>
      </c>
      <c r="P655" s="10">
        <v>0.73</v>
      </c>
      <c r="Q655" s="10" t="str">
        <f>_xlfn.IFS(Table1[[#This Row],[Rating]]&gt;=4, "Top Performer", Table1[[#This Row],[Rating]]&gt;=3, "Average", TRUE, "Needs Imporovement")</f>
        <v>Needs Imporovement</v>
      </c>
    </row>
    <row r="656" spans="1:17" x14ac:dyDescent="0.3">
      <c r="A656" s="2" t="s">
        <v>1354</v>
      </c>
      <c r="B656" s="2" t="s">
        <v>1355</v>
      </c>
      <c r="C656" s="2" t="s">
        <v>49</v>
      </c>
      <c r="D656" s="2">
        <v>32</v>
      </c>
      <c r="E656" s="2" t="str">
        <f>_xlfn.IFS(Table1[[#This Row],[Age]]&lt;30, "18-29", D656&lt;=45,"30-45", D656&lt;=55, "46-55", TRUE, "55+")</f>
        <v>30-45</v>
      </c>
      <c r="F656" s="2" t="s">
        <v>12</v>
      </c>
      <c r="G656" s="2" t="s">
        <v>13</v>
      </c>
      <c r="H656" s="2" t="s">
        <v>29</v>
      </c>
      <c r="I656" s="5">
        <v>9</v>
      </c>
      <c r="J656" s="5" t="str">
        <f>_xlfn.IFS(Table1[[#This Row],[Experience(Years)]]&lt;5, "Junior", I656&lt;=12, "Mid-Level", I656&lt;=20, "Senior", I656&lt;=30, "Super Senior", TRUE, "Expert")</f>
        <v>Mid-Level</v>
      </c>
      <c r="K656" s="7">
        <v>75</v>
      </c>
      <c r="L656" s="7">
        <f>Table1[[#This Row],[Hourly Rate]]*1000</f>
        <v>75000</v>
      </c>
      <c r="M656" s="7" t="str">
        <f t="shared" si="10"/>
        <v>Standard</v>
      </c>
      <c r="N656" s="2">
        <f>IF(ISNUMBER(#REF!),#REF!, _xlfn.IFS( I656&gt;=30, 5, I656&gt;=25, 4.8, I656&gt;=15, 4, I656&gt;=10, 3.8, I656&gt;=5, 3, I656&gt;=2, 2.5, I656&gt;=0, 1.8, TRUE, 1.3))</f>
        <v>3</v>
      </c>
      <c r="O656" s="2" t="s">
        <v>2052</v>
      </c>
      <c r="P656" s="10">
        <v>0.96</v>
      </c>
      <c r="Q656" s="10" t="str">
        <f>_xlfn.IFS(Table1[[#This Row],[Rating]]&gt;=4, "Top Performer", Table1[[#This Row],[Rating]]&gt;=3, "Average", TRUE, "Needs Imporovement")</f>
        <v>Average</v>
      </c>
    </row>
    <row r="657" spans="1:17" x14ac:dyDescent="0.3">
      <c r="A657" s="2" t="s">
        <v>1356</v>
      </c>
      <c r="B657" s="2" t="s">
        <v>1357</v>
      </c>
      <c r="C657" s="2" t="s">
        <v>49</v>
      </c>
      <c r="D657" s="2">
        <v>59</v>
      </c>
      <c r="E657" s="2" t="str">
        <f>_xlfn.IFS(Table1[[#This Row],[Age]]&lt;30, "18-29", D657&lt;=45,"30-45", D657&lt;=55, "46-55", TRUE, "55+")</f>
        <v>55+</v>
      </c>
      <c r="F657" s="2" t="s">
        <v>96</v>
      </c>
      <c r="G657" s="2" t="s">
        <v>8</v>
      </c>
      <c r="H657" s="2" t="s">
        <v>14</v>
      </c>
      <c r="I657" s="5">
        <v>14</v>
      </c>
      <c r="J657" s="5" t="str">
        <f>_xlfn.IFS(Table1[[#This Row],[Experience(Years)]]&lt;5, "Junior", I657&lt;=12, "Mid-Level", I657&lt;=20, "Senior", I657&lt;=30, "Super Senior", TRUE, "Expert")</f>
        <v>Senior</v>
      </c>
      <c r="K657" s="7">
        <v>30</v>
      </c>
      <c r="L657" s="7">
        <f>Table1[[#This Row],[Hourly Rate]]*1000</f>
        <v>30000</v>
      </c>
      <c r="M657" s="7" t="str">
        <f t="shared" si="10"/>
        <v>Budget</v>
      </c>
      <c r="N657" s="2">
        <f>IF(ISNUMBER(#REF!),#REF!, _xlfn.IFS( I657&gt;=30, 5, I657&gt;=25, 4.8, I657&gt;=15, 4, I657&gt;=10, 3.8, I657&gt;=5, 3, I657&gt;=2, 2.5, I657&gt;=0, 1.8, TRUE, 1.3))</f>
        <v>3.8</v>
      </c>
      <c r="O657" s="2" t="str">
        <f>IF(AND( Table1[[#This Row],[Rating]]&gt;=3.5, Table1[[#This Row],[Experience(Years)]]&gt;=15), "Active", "Inactive")</f>
        <v>Inactive</v>
      </c>
      <c r="P657" s="10">
        <v>0.66</v>
      </c>
      <c r="Q657" s="10" t="str">
        <f>_xlfn.IFS(Table1[[#This Row],[Rating]]&gt;=4, "Top Performer", Table1[[#This Row],[Rating]]&gt;=3, "Average", TRUE, "Needs Imporovement")</f>
        <v>Average</v>
      </c>
    </row>
    <row r="658" spans="1:17" x14ac:dyDescent="0.3">
      <c r="A658" s="2" t="s">
        <v>1358</v>
      </c>
      <c r="B658" s="2" t="s">
        <v>1359</v>
      </c>
      <c r="C658" s="2" t="s">
        <v>49</v>
      </c>
      <c r="D658" s="2">
        <v>59</v>
      </c>
      <c r="E658" s="2" t="str">
        <f>_xlfn.IFS(Table1[[#This Row],[Age]]&lt;30, "18-29", D658&lt;=45,"30-45", D658&lt;=55, "46-55", TRUE, "55+")</f>
        <v>55+</v>
      </c>
      <c r="F658" s="2" t="s">
        <v>103</v>
      </c>
      <c r="G658" s="2" t="s">
        <v>104</v>
      </c>
      <c r="H658" s="2" t="s">
        <v>50</v>
      </c>
      <c r="I658" s="5">
        <v>37</v>
      </c>
      <c r="J658" s="5" t="str">
        <f>_xlfn.IFS(Table1[[#This Row],[Experience(Years)]]&lt;5, "Junior", I658&lt;=12, "Mid-Level", I658&lt;=20, "Senior", I658&lt;=30, "Super Senior", TRUE, "Expert")</f>
        <v>Expert</v>
      </c>
      <c r="K658" s="7">
        <v>30</v>
      </c>
      <c r="L658" s="7">
        <f>Table1[[#This Row],[Hourly Rate]]*1000</f>
        <v>30000</v>
      </c>
      <c r="M658" s="7" t="str">
        <f t="shared" si="10"/>
        <v>Budget</v>
      </c>
      <c r="N658" s="2">
        <f>IF(ISNUMBER(#REF!),#REF!, _xlfn.IFS( I658&gt;=30, 5, I658&gt;=25, 4.8, I658&gt;=15, 4, I658&gt;=10, 3.8, I658&gt;=5, 3, I658&gt;=2, 2.5, I658&gt;=0, 1.8, TRUE, 1.3))</f>
        <v>5</v>
      </c>
      <c r="O658" s="2" t="s">
        <v>2052</v>
      </c>
      <c r="P658" s="10">
        <v>0.62</v>
      </c>
      <c r="Q658" s="10" t="str">
        <f>_xlfn.IFS(Table1[[#This Row],[Rating]]&gt;=4, "Top Performer", Table1[[#This Row],[Rating]]&gt;=3, "Average", TRUE, "Needs Imporovement")</f>
        <v>Top Performer</v>
      </c>
    </row>
    <row r="659" spans="1:17" x14ac:dyDescent="0.3">
      <c r="A659" s="2" t="s">
        <v>1360</v>
      </c>
      <c r="B659" s="2" t="s">
        <v>1361</v>
      </c>
      <c r="C659" s="2" t="s">
        <v>68</v>
      </c>
      <c r="D659" s="2">
        <v>29</v>
      </c>
      <c r="E659" s="2" t="str">
        <f>_xlfn.IFS(Table1[[#This Row],[Age]]&lt;30, "18-29", D659&lt;=45,"30-45", D659&lt;=55, "46-55", TRUE, "55+")</f>
        <v>18-29</v>
      </c>
      <c r="F659" s="2" t="s">
        <v>12</v>
      </c>
      <c r="G659" s="2" t="s">
        <v>13</v>
      </c>
      <c r="H659" s="2" t="s">
        <v>14</v>
      </c>
      <c r="I659" s="5">
        <v>2</v>
      </c>
      <c r="J659" s="5" t="str">
        <f>_xlfn.IFS(Table1[[#This Row],[Experience(Years)]]&lt;5, "Junior", I659&lt;=12, "Mid-Level", I659&lt;=20, "Senior", I659&lt;=30, "Super Senior", TRUE, "Expert")</f>
        <v>Junior</v>
      </c>
      <c r="K659" s="7">
        <v>75</v>
      </c>
      <c r="L659" s="7">
        <f>Table1[[#This Row],[Hourly Rate]]*1000</f>
        <v>75000</v>
      </c>
      <c r="M659" s="7" t="str">
        <f t="shared" si="10"/>
        <v>Standard</v>
      </c>
      <c r="N659" s="2">
        <f>IF(ISNUMBER(#REF!),#REF!, _xlfn.IFS( I659&gt;=30, 5, I659&gt;=25, 4.8, I659&gt;=15, 4, I659&gt;=10, 3.8, I659&gt;=5, 3, I659&gt;=2, 2.5, I659&gt;=0, 1.8, TRUE, 1.3))</f>
        <v>2.5</v>
      </c>
      <c r="O659" s="2" t="s">
        <v>2053</v>
      </c>
      <c r="P659" s="10">
        <v>0.85</v>
      </c>
      <c r="Q659" s="10" t="str">
        <f>_xlfn.IFS(Table1[[#This Row],[Rating]]&gt;=4, "Top Performer", Table1[[#This Row],[Rating]]&gt;=3, "Average", TRUE, "Needs Imporovement")</f>
        <v>Needs Imporovement</v>
      </c>
    </row>
    <row r="660" spans="1:17" x14ac:dyDescent="0.3">
      <c r="A660" s="2" t="s">
        <v>1362</v>
      </c>
      <c r="B660" s="2" t="s">
        <v>1363</v>
      </c>
      <c r="C660" s="2" t="s">
        <v>68</v>
      </c>
      <c r="D660" s="2">
        <v>58</v>
      </c>
      <c r="E660" s="2" t="str">
        <f>_xlfn.IFS(Table1[[#This Row],[Age]]&lt;30, "18-29", D660&lt;=45,"30-45", D660&lt;=55, "46-55", TRUE, "55+")</f>
        <v>55+</v>
      </c>
      <c r="F660" s="2" t="s">
        <v>141</v>
      </c>
      <c r="G660" s="2" t="s">
        <v>142</v>
      </c>
      <c r="H660" s="2" t="s">
        <v>24</v>
      </c>
      <c r="I660" s="5">
        <v>11</v>
      </c>
      <c r="J660" s="5" t="str">
        <f>_xlfn.IFS(Table1[[#This Row],[Experience(Years)]]&lt;5, "Junior", I660&lt;=12, "Mid-Level", I660&lt;=20, "Senior", I660&lt;=30, "Super Senior", TRUE, "Expert")</f>
        <v>Mid-Level</v>
      </c>
      <c r="K660" s="7">
        <v>100</v>
      </c>
      <c r="L660" s="7">
        <f>Table1[[#This Row],[Hourly Rate]]*1000</f>
        <v>100000</v>
      </c>
      <c r="M660" s="7" t="str">
        <f t="shared" si="10"/>
        <v>Premium</v>
      </c>
      <c r="N660" s="2">
        <f>IF(ISNUMBER(#REF!),#REF!, _xlfn.IFS( I660&gt;=30, 5, I660&gt;=25, 4.8, I660&gt;=15, 4, I660&gt;=10, 3.8, I660&gt;=5, 3, I660&gt;=2, 2.5, I660&gt;=0, 1.8, TRUE, 1.3))</f>
        <v>3.8</v>
      </c>
      <c r="O660" s="2" t="s">
        <v>2052</v>
      </c>
      <c r="P660" s="10">
        <v>0.66</v>
      </c>
      <c r="Q660" s="10" t="str">
        <f>_xlfn.IFS(Table1[[#This Row],[Rating]]&gt;=4, "Top Performer", Table1[[#This Row],[Rating]]&gt;=3, "Average", TRUE, "Needs Imporovement")</f>
        <v>Average</v>
      </c>
    </row>
    <row r="661" spans="1:17" x14ac:dyDescent="0.3">
      <c r="A661" s="2" t="s">
        <v>1364</v>
      </c>
      <c r="B661" s="2" t="s">
        <v>1365</v>
      </c>
      <c r="C661" s="2" t="s">
        <v>49</v>
      </c>
      <c r="D661" s="2">
        <v>56</v>
      </c>
      <c r="E661" s="2" t="str">
        <f>_xlfn.IFS(Table1[[#This Row],[Age]]&lt;30, "18-29", D661&lt;=45,"30-45", D661&lt;=55, "46-55", TRUE, "55+")</f>
        <v>55+</v>
      </c>
      <c r="F661" s="2" t="s">
        <v>96</v>
      </c>
      <c r="G661" s="2" t="s">
        <v>8</v>
      </c>
      <c r="H661" s="2" t="s">
        <v>50</v>
      </c>
      <c r="I661" s="5">
        <v>19</v>
      </c>
      <c r="J661" s="5" t="str">
        <f>_xlfn.IFS(Table1[[#This Row],[Experience(Years)]]&lt;5, "Junior", I661&lt;=12, "Mid-Level", I661&lt;=20, "Senior", I661&lt;=30, "Super Senior", TRUE, "Expert")</f>
        <v>Senior</v>
      </c>
      <c r="K661" s="7">
        <v>20</v>
      </c>
      <c r="L661" s="7">
        <f>Table1[[#This Row],[Hourly Rate]]*1000</f>
        <v>20000</v>
      </c>
      <c r="M661" s="7" t="str">
        <f t="shared" si="10"/>
        <v>Budget</v>
      </c>
      <c r="N661" s="2">
        <f>IF(ISNUMBER(#REF!),#REF!, _xlfn.IFS( I661&gt;=30, 5, I661&gt;=25, 4.8, I661&gt;=15, 4, I661&gt;=10, 3.8, I661&gt;=5, 3, I661&gt;=2, 2.5, I661&gt;=0, 1.8, TRUE, 1.3))</f>
        <v>4</v>
      </c>
      <c r="O661" s="2" t="s">
        <v>2052</v>
      </c>
      <c r="P661" s="10">
        <v>0.87</v>
      </c>
      <c r="Q661" s="10" t="str">
        <f>_xlfn.IFS(Table1[[#This Row],[Rating]]&gt;=4, "Top Performer", Table1[[#This Row],[Rating]]&gt;=3, "Average", TRUE, "Needs Imporovement")</f>
        <v>Top Performer</v>
      </c>
    </row>
    <row r="662" spans="1:17" x14ac:dyDescent="0.3">
      <c r="A662" s="2" t="s">
        <v>1366</v>
      </c>
      <c r="B662" s="2" t="s">
        <v>1367</v>
      </c>
      <c r="C662" s="2" t="s">
        <v>49</v>
      </c>
      <c r="D662" s="2">
        <v>36</v>
      </c>
      <c r="E662" s="2" t="str">
        <f>_xlfn.IFS(Table1[[#This Row],[Age]]&lt;30, "18-29", D662&lt;=45,"30-45", D662&lt;=55, "46-55", TRUE, "55+")</f>
        <v>30-45</v>
      </c>
      <c r="F662" s="2" t="s">
        <v>34</v>
      </c>
      <c r="G662" s="2" t="s">
        <v>8</v>
      </c>
      <c r="H662" s="2" t="s">
        <v>83</v>
      </c>
      <c r="I662" s="5">
        <v>9</v>
      </c>
      <c r="J662" s="5" t="str">
        <f>_xlfn.IFS(Table1[[#This Row],[Experience(Years)]]&lt;5, "Junior", I662&lt;=12, "Mid-Level", I662&lt;=20, "Senior", I662&lt;=30, "Super Senior", TRUE, "Expert")</f>
        <v>Mid-Level</v>
      </c>
      <c r="K662" s="7">
        <v>20</v>
      </c>
      <c r="L662" s="7">
        <f>Table1[[#This Row],[Hourly Rate]]*1000</f>
        <v>20000</v>
      </c>
      <c r="M662" s="7" t="str">
        <f t="shared" si="10"/>
        <v>Budget</v>
      </c>
      <c r="N662" s="2">
        <f>IF(ISNUMBER(#REF!),#REF!, _xlfn.IFS( I662&gt;=30, 5, I662&gt;=25, 4.8, I662&gt;=15, 4, I662&gt;=10, 3.8, I662&gt;=5, 3, I662&gt;=2, 2.5, I662&gt;=0, 1.8, TRUE, 1.3))</f>
        <v>3</v>
      </c>
      <c r="O662" s="2" t="s">
        <v>2053</v>
      </c>
      <c r="P662" s="10">
        <v>0.68</v>
      </c>
      <c r="Q662" s="10" t="str">
        <f>_xlfn.IFS(Table1[[#This Row],[Rating]]&gt;=4, "Top Performer", Table1[[#This Row],[Rating]]&gt;=3, "Average", TRUE, "Needs Imporovement")</f>
        <v>Average</v>
      </c>
    </row>
    <row r="663" spans="1:17" x14ac:dyDescent="0.3">
      <c r="A663" s="2" t="s">
        <v>1368</v>
      </c>
      <c r="B663" s="2" t="s">
        <v>1369</v>
      </c>
      <c r="C663" s="2" t="s">
        <v>49</v>
      </c>
      <c r="D663" s="2">
        <v>52</v>
      </c>
      <c r="E663" s="2" t="str">
        <f>_xlfn.IFS(Table1[[#This Row],[Age]]&lt;30, "18-29", D663&lt;=45,"30-45", D663&lt;=55, "46-55", TRUE, "55+")</f>
        <v>46-55</v>
      </c>
      <c r="F663" s="2" t="s">
        <v>96</v>
      </c>
      <c r="G663" s="2" t="s">
        <v>8</v>
      </c>
      <c r="H663" s="2" t="s">
        <v>46</v>
      </c>
      <c r="I663" s="5">
        <v>16</v>
      </c>
      <c r="J663" s="5" t="str">
        <f>_xlfn.IFS(Table1[[#This Row],[Experience(Years)]]&lt;5, "Junior", I663&lt;=12, "Mid-Level", I663&lt;=20, "Senior", I663&lt;=30, "Super Senior", TRUE, "Expert")</f>
        <v>Senior</v>
      </c>
      <c r="K663" s="7">
        <v>100</v>
      </c>
      <c r="L663" s="7">
        <f>Table1[[#This Row],[Hourly Rate]]*1000</f>
        <v>100000</v>
      </c>
      <c r="M663" s="7" t="str">
        <f t="shared" si="10"/>
        <v>Premium</v>
      </c>
      <c r="N663" s="2">
        <f>IF(ISNUMBER(#REF!),#REF!, _xlfn.IFS( I663&gt;=30, 5, I663&gt;=25, 4.8, I663&gt;=15, 4, I663&gt;=10, 3.8, I663&gt;=5, 3, I663&gt;=2, 2.5, I663&gt;=0, 1.8, TRUE, 1.3))</f>
        <v>4</v>
      </c>
      <c r="O663" s="2" t="s">
        <v>2053</v>
      </c>
      <c r="P663" s="10">
        <v>0.85</v>
      </c>
      <c r="Q663" s="10" t="str">
        <f>_xlfn.IFS(Table1[[#This Row],[Rating]]&gt;=4, "Top Performer", Table1[[#This Row],[Rating]]&gt;=3, "Average", TRUE, "Needs Imporovement")</f>
        <v>Top Performer</v>
      </c>
    </row>
    <row r="664" spans="1:17" x14ac:dyDescent="0.3">
      <c r="A664" s="2" t="s">
        <v>1370</v>
      </c>
      <c r="B664" s="2" t="s">
        <v>1371</v>
      </c>
      <c r="C664" s="2" t="s">
        <v>49</v>
      </c>
      <c r="D664" s="2">
        <v>42</v>
      </c>
      <c r="E664" s="2" t="str">
        <f>_xlfn.IFS(Table1[[#This Row],[Age]]&lt;30, "18-29", D664&lt;=45,"30-45", D664&lt;=55, "46-55", TRUE, "55+")</f>
        <v>30-45</v>
      </c>
      <c r="F664" s="2" t="s">
        <v>22</v>
      </c>
      <c r="G664" s="2" t="s">
        <v>23</v>
      </c>
      <c r="H664" s="2" t="s">
        <v>9</v>
      </c>
      <c r="I664" s="5">
        <v>8</v>
      </c>
      <c r="J664" s="5" t="str">
        <f>_xlfn.IFS(Table1[[#This Row],[Experience(Years)]]&lt;5, "Junior", I664&lt;=12, "Mid-Level", I664&lt;=20, "Senior", I664&lt;=30, "Super Senior", TRUE, "Expert")</f>
        <v>Mid-Level</v>
      </c>
      <c r="K664" s="7">
        <v>50</v>
      </c>
      <c r="L664" s="7">
        <f>Table1[[#This Row],[Hourly Rate]]*1000</f>
        <v>50000</v>
      </c>
      <c r="M664" s="7" t="str">
        <f t="shared" si="10"/>
        <v>Standard</v>
      </c>
      <c r="N664" s="2">
        <f>IF(ISNUMBER(#REF!),#REF!, _xlfn.IFS( I664&gt;=30, 5, I664&gt;=25, 4.8, I664&gt;=15, 4, I664&gt;=10, 3.8, I664&gt;=5, 3, I664&gt;=2, 2.5, I664&gt;=0, 1.8, TRUE, 1.3))</f>
        <v>3</v>
      </c>
      <c r="O664" s="2" t="str">
        <f>IF(AND(Table1[[#This Row],[Rating]]&gt;=3.5, Table1[[#This Row],[Experience(Years)]]&gt;=15), "Active", "Inactive")</f>
        <v>Inactive</v>
      </c>
      <c r="P664" s="10">
        <v>0.6</v>
      </c>
      <c r="Q664" s="10" t="str">
        <f>_xlfn.IFS(Table1[[#This Row],[Rating]]&gt;=4, "Top Performer", Table1[[#This Row],[Rating]]&gt;=3, "Average", TRUE, "Needs Imporovement")</f>
        <v>Average</v>
      </c>
    </row>
    <row r="665" spans="1:17" x14ac:dyDescent="0.3">
      <c r="A665" s="2" t="s">
        <v>1372</v>
      </c>
      <c r="B665" s="2" t="s">
        <v>1373</v>
      </c>
      <c r="C665" s="2" t="s">
        <v>49</v>
      </c>
      <c r="D665" s="2">
        <v>59</v>
      </c>
      <c r="E665" s="2" t="str">
        <f>_xlfn.IFS(Table1[[#This Row],[Age]]&lt;30, "18-29", D665&lt;=45,"30-45", D665&lt;=55, "46-55", TRUE, "55+")</f>
        <v>55+</v>
      </c>
      <c r="F665" s="2" t="s">
        <v>64</v>
      </c>
      <c r="G665" s="2" t="s">
        <v>65</v>
      </c>
      <c r="H665" s="2" t="s">
        <v>9</v>
      </c>
      <c r="I665" s="5">
        <v>34</v>
      </c>
      <c r="J665" s="5" t="str">
        <f>_xlfn.IFS(Table1[[#This Row],[Experience(Years)]]&lt;5, "Junior", I665&lt;=12, "Mid-Level", I665&lt;=20, "Senior", I665&lt;=30, "Super Senior", TRUE, "Expert")</f>
        <v>Expert</v>
      </c>
      <c r="K665" s="7">
        <v>100</v>
      </c>
      <c r="L665" s="7">
        <f>Table1[[#This Row],[Hourly Rate]]*1000</f>
        <v>100000</v>
      </c>
      <c r="M665" s="7" t="str">
        <f t="shared" si="10"/>
        <v>Premium</v>
      </c>
      <c r="N665" s="2">
        <f>IF(ISNUMBER(#REF!),#REF!, _xlfn.IFS( I665&gt;=30, 5, I665&gt;=25, 4.8, I665&gt;=15, 4, I665&gt;=10, 3.8, I665&gt;=5, 3, I665&gt;=2, 2.5, I665&gt;=0, 1.8, TRUE, 1.3))</f>
        <v>5</v>
      </c>
      <c r="O665" s="2" t="s">
        <v>2053</v>
      </c>
      <c r="P665" s="10">
        <v>0.79</v>
      </c>
      <c r="Q665" s="10" t="str">
        <f>_xlfn.IFS(Table1[[#This Row],[Rating]]&gt;=4, "Top Performer", Table1[[#This Row],[Rating]]&gt;=3, "Average", TRUE, "Needs Imporovement")</f>
        <v>Top Performer</v>
      </c>
    </row>
    <row r="666" spans="1:17" x14ac:dyDescent="0.3">
      <c r="A666" s="2" t="s">
        <v>1374</v>
      </c>
      <c r="B666" s="2" t="s">
        <v>1375</v>
      </c>
      <c r="C666" s="2" t="s">
        <v>68</v>
      </c>
      <c r="D666" s="2">
        <v>33</v>
      </c>
      <c r="E666" s="2" t="str">
        <f>_xlfn.IFS(Table1[[#This Row],[Age]]&lt;30, "18-29", D666&lt;=45,"30-45", D666&lt;=55, "46-55", TRUE, "55+")</f>
        <v>30-45</v>
      </c>
      <c r="F666" s="2" t="s">
        <v>22</v>
      </c>
      <c r="G666" s="2" t="s">
        <v>23</v>
      </c>
      <c r="H666" s="2" t="s">
        <v>9</v>
      </c>
      <c r="I666" s="5">
        <v>5</v>
      </c>
      <c r="J666" s="5" t="str">
        <f>_xlfn.IFS(Table1[[#This Row],[Experience(Years)]]&lt;5, "Junior", I666&lt;=12, "Mid-Level", I666&lt;=20, "Senior", I666&lt;=30, "Super Senior", TRUE, "Expert")</f>
        <v>Mid-Level</v>
      </c>
      <c r="K666" s="7">
        <v>50</v>
      </c>
      <c r="L666" s="7">
        <f>Table1[[#This Row],[Hourly Rate]]*1000</f>
        <v>50000</v>
      </c>
      <c r="M666" s="7" t="str">
        <f t="shared" si="10"/>
        <v>Standard</v>
      </c>
      <c r="N666" s="2">
        <f>IF(ISNUMBER(#REF!),#REF!, _xlfn.IFS( I666&gt;=30, 5, I666&gt;=25, 4.8, I666&gt;=15, 4, I666&gt;=10, 3.8, I666&gt;=5, 3, I666&gt;=2, 2.5, I666&gt;=0, 1.8, TRUE, 1.3))</f>
        <v>3</v>
      </c>
      <c r="O666" s="2" t="s">
        <v>2053</v>
      </c>
      <c r="P666" s="10">
        <v>0.88</v>
      </c>
      <c r="Q666" s="10" t="str">
        <f>_xlfn.IFS(Table1[[#This Row],[Rating]]&gt;=4, "Top Performer", Table1[[#This Row],[Rating]]&gt;=3, "Average", TRUE, "Needs Imporovement")</f>
        <v>Average</v>
      </c>
    </row>
    <row r="667" spans="1:17" x14ac:dyDescent="0.3">
      <c r="A667" s="2" t="s">
        <v>1376</v>
      </c>
      <c r="B667" s="2" t="s">
        <v>1377</v>
      </c>
      <c r="C667" s="2" t="s">
        <v>49</v>
      </c>
      <c r="D667" s="2">
        <v>55</v>
      </c>
      <c r="E667" s="2" t="str">
        <f>_xlfn.IFS(Table1[[#This Row],[Age]]&lt;30, "18-29", D667&lt;=45,"30-45", D667&lt;=55, "46-55", TRUE, "55+")</f>
        <v>46-55</v>
      </c>
      <c r="F667" s="2" t="s">
        <v>96</v>
      </c>
      <c r="G667" s="2" t="s">
        <v>8</v>
      </c>
      <c r="H667" s="2" t="s">
        <v>17</v>
      </c>
      <c r="I667" s="5">
        <v>14</v>
      </c>
      <c r="J667" s="5" t="str">
        <f>_xlfn.IFS(Table1[[#This Row],[Experience(Years)]]&lt;5, "Junior", I667&lt;=12, "Mid-Level", I667&lt;=20, "Senior", I667&lt;=30, "Super Senior", TRUE, "Expert")</f>
        <v>Senior</v>
      </c>
      <c r="K667" s="7">
        <v>50</v>
      </c>
      <c r="L667" s="7">
        <f>Table1[[#This Row],[Hourly Rate]]*1000</f>
        <v>50000</v>
      </c>
      <c r="M667" s="7" t="str">
        <f t="shared" si="10"/>
        <v>Standard</v>
      </c>
      <c r="N667" s="2">
        <f>IF(ISNUMBER(#REF!),#REF!, _xlfn.IFS( I667&gt;=30, 5, I667&gt;=25, 4.8, I667&gt;=15, 4, I667&gt;=10, 3.8, I667&gt;=5, 3, I667&gt;=2, 2.5, I667&gt;=0, 1.8, TRUE, 1.3))</f>
        <v>3.8</v>
      </c>
      <c r="O667" s="2" t="s">
        <v>2053</v>
      </c>
      <c r="P667" s="10">
        <v>0.81</v>
      </c>
      <c r="Q667" s="10" t="str">
        <f>_xlfn.IFS(Table1[[#This Row],[Rating]]&gt;=4, "Top Performer", Table1[[#This Row],[Rating]]&gt;=3, "Average", TRUE, "Needs Imporovement")</f>
        <v>Average</v>
      </c>
    </row>
    <row r="668" spans="1:17" x14ac:dyDescent="0.3">
      <c r="A668" s="2" t="s">
        <v>1378</v>
      </c>
      <c r="B668" s="2" t="s">
        <v>1379</v>
      </c>
      <c r="C668" s="2" t="s">
        <v>68</v>
      </c>
      <c r="D668" s="2">
        <v>47</v>
      </c>
      <c r="E668" s="2" t="str">
        <f>_xlfn.IFS(Table1[[#This Row],[Age]]&lt;30, "18-29", D668&lt;=45,"30-45", D668&lt;=55, "46-55", TRUE, "55+")</f>
        <v>46-55</v>
      </c>
      <c r="F668" s="2" t="s">
        <v>81</v>
      </c>
      <c r="G668" s="2" t="s">
        <v>82</v>
      </c>
      <c r="H668" s="2" t="s">
        <v>46</v>
      </c>
      <c r="I668" s="5">
        <v>17</v>
      </c>
      <c r="J668" s="5" t="str">
        <f>_xlfn.IFS(Table1[[#This Row],[Experience(Years)]]&lt;5, "Junior", I668&lt;=12, "Mid-Level", I668&lt;=20, "Senior", I668&lt;=30, "Super Senior", TRUE, "Expert")</f>
        <v>Senior</v>
      </c>
      <c r="K668" s="7">
        <v>50</v>
      </c>
      <c r="L668" s="7">
        <f>Table1[[#This Row],[Hourly Rate]]*1000</f>
        <v>50000</v>
      </c>
      <c r="M668" s="7" t="str">
        <f t="shared" si="10"/>
        <v>Standard</v>
      </c>
      <c r="N668" s="2">
        <f>IF(ISNUMBER(#REF!),#REF!, _xlfn.IFS( I668&gt;=30, 5, I668&gt;=25, 4.8, I668&gt;=15, 4, I668&gt;=10, 3.8, I668&gt;=5, 3, I668&gt;=2, 2.5, I668&gt;=0, 1.8, TRUE, 1.3))</f>
        <v>4</v>
      </c>
      <c r="O668" s="2" t="s">
        <v>2052</v>
      </c>
      <c r="P668" s="10">
        <v>0.85</v>
      </c>
      <c r="Q668" s="10" t="str">
        <f>_xlfn.IFS(Table1[[#This Row],[Rating]]&gt;=4, "Top Performer", Table1[[#This Row],[Rating]]&gt;=3, "Average", TRUE, "Needs Imporovement")</f>
        <v>Top Performer</v>
      </c>
    </row>
    <row r="669" spans="1:17" x14ac:dyDescent="0.3">
      <c r="A669" s="2" t="s">
        <v>1380</v>
      </c>
      <c r="B669" s="2" t="s">
        <v>1381</v>
      </c>
      <c r="C669" s="2" t="s">
        <v>49</v>
      </c>
      <c r="D669" s="2">
        <v>29</v>
      </c>
      <c r="E669" s="2" t="str">
        <f>_xlfn.IFS(Table1[[#This Row],[Age]]&lt;30, "18-29", D669&lt;=45,"30-45", D669&lt;=55, "46-55", TRUE, "55+")</f>
        <v>18-29</v>
      </c>
      <c r="F669" s="2" t="s">
        <v>145</v>
      </c>
      <c r="G669" s="2" t="s">
        <v>45</v>
      </c>
      <c r="H669" s="2" t="s">
        <v>24</v>
      </c>
      <c r="I669" s="5">
        <v>10</v>
      </c>
      <c r="J669" s="5" t="str">
        <f>_xlfn.IFS(Table1[[#This Row],[Experience(Years)]]&lt;5, "Junior", I669&lt;=12, "Mid-Level", I669&lt;=20, "Senior", I669&lt;=30, "Super Senior", TRUE, "Expert")</f>
        <v>Mid-Level</v>
      </c>
      <c r="K669" s="7">
        <v>80</v>
      </c>
      <c r="L669" s="7">
        <f>Table1[[#This Row],[Hourly Rate]]*1000</f>
        <v>80000</v>
      </c>
      <c r="M669" s="7" t="str">
        <f t="shared" si="10"/>
        <v>Standard</v>
      </c>
      <c r="N669" s="2">
        <f>IF(ISNUMBER(#REF!),#REF!, _xlfn.IFS( I669&gt;=30, 5, I669&gt;=25, 4.8, I669&gt;=15, 4, I669&gt;=10, 3.8, I669&gt;=5, 3, I669&gt;=2, 2.5, I669&gt;=0, 1.8, TRUE, 1.3))</f>
        <v>3.8</v>
      </c>
      <c r="O669" s="2" t="s">
        <v>2053</v>
      </c>
      <c r="P669" s="10">
        <v>0.67</v>
      </c>
      <c r="Q669" s="10" t="str">
        <f>_xlfn.IFS(Table1[[#This Row],[Rating]]&gt;=4, "Top Performer", Table1[[#This Row],[Rating]]&gt;=3, "Average", TRUE, "Needs Imporovement")</f>
        <v>Average</v>
      </c>
    </row>
    <row r="670" spans="1:17" x14ac:dyDescent="0.3">
      <c r="A670" s="2" t="s">
        <v>1382</v>
      </c>
      <c r="B670" s="2" t="s">
        <v>1383</v>
      </c>
      <c r="C670" s="2" t="s">
        <v>49</v>
      </c>
      <c r="D670" s="2">
        <v>30</v>
      </c>
      <c r="E670" s="2" t="str">
        <f>_xlfn.IFS(Table1[[#This Row],[Age]]&lt;30, "18-29", D670&lt;=45,"30-45", D670&lt;=55, "46-55", TRUE, "55+")</f>
        <v>30-45</v>
      </c>
      <c r="F670" s="2" t="s">
        <v>41</v>
      </c>
      <c r="G670" s="2" t="s">
        <v>8</v>
      </c>
      <c r="H670" s="2" t="s">
        <v>61</v>
      </c>
      <c r="I670" s="5">
        <v>8</v>
      </c>
      <c r="J670" s="5" t="str">
        <f>_xlfn.IFS(Table1[[#This Row],[Experience(Years)]]&lt;5, "Junior", I670&lt;=12, "Mid-Level", I670&lt;=20, "Senior", I670&lt;=30, "Super Senior", TRUE, "Expert")</f>
        <v>Mid-Level</v>
      </c>
      <c r="K670" s="7">
        <v>100</v>
      </c>
      <c r="L670" s="7">
        <f>Table1[[#This Row],[Hourly Rate]]*1000</f>
        <v>100000</v>
      </c>
      <c r="M670" s="7" t="str">
        <f t="shared" si="10"/>
        <v>Premium</v>
      </c>
      <c r="N670" s="2">
        <f>IF(ISNUMBER(#REF!),#REF!, _xlfn.IFS( I670&gt;=30, 5, I670&gt;=25, 4.8, I670&gt;=15, 4, I670&gt;=10, 3.8, I670&gt;=5, 3, I670&gt;=2, 2.5, I670&gt;=0, 1.8, TRUE, 1.3))</f>
        <v>3</v>
      </c>
      <c r="O670" s="2" t="s">
        <v>2053</v>
      </c>
      <c r="P670" s="10">
        <v>0.62</v>
      </c>
      <c r="Q670" s="10" t="str">
        <f>_xlfn.IFS(Table1[[#This Row],[Rating]]&gt;=4, "Top Performer", Table1[[#This Row],[Rating]]&gt;=3, "Average", TRUE, "Needs Imporovement")</f>
        <v>Average</v>
      </c>
    </row>
    <row r="671" spans="1:17" x14ac:dyDescent="0.3">
      <c r="A671" s="2" t="s">
        <v>1384</v>
      </c>
      <c r="B671" s="2" t="s">
        <v>1385</v>
      </c>
      <c r="C671" s="2" t="s">
        <v>49</v>
      </c>
      <c r="D671" s="2">
        <v>25</v>
      </c>
      <c r="E671" s="2" t="str">
        <f>_xlfn.IFS(Table1[[#This Row],[Age]]&lt;30, "18-29", D671&lt;=45,"30-45", D671&lt;=55, "46-55", TRUE, "55+")</f>
        <v>18-29</v>
      </c>
      <c r="F671" s="2" t="s">
        <v>96</v>
      </c>
      <c r="G671" s="2" t="s">
        <v>8</v>
      </c>
      <c r="H671" s="2" t="s">
        <v>61</v>
      </c>
      <c r="I671" s="5">
        <v>1</v>
      </c>
      <c r="J671" s="5" t="str">
        <f>_xlfn.IFS(Table1[[#This Row],[Experience(Years)]]&lt;5, "Junior", I671&lt;=12, "Mid-Level", I671&lt;=20, "Senior", I671&lt;=30, "Super Senior", TRUE, "Expert")</f>
        <v>Junior</v>
      </c>
      <c r="K671" s="7">
        <v>30</v>
      </c>
      <c r="L671" s="7">
        <f>Table1[[#This Row],[Hourly Rate]]*1000</f>
        <v>30000</v>
      </c>
      <c r="M671" s="7" t="str">
        <f t="shared" si="10"/>
        <v>Budget</v>
      </c>
      <c r="N671" s="2">
        <f>IF(ISNUMBER(#REF!),#REF!, _xlfn.IFS( I671&gt;=30, 5, I671&gt;=25, 4.8, I671&gt;=15, 4, I671&gt;=10, 3.8, I671&gt;=5, 3, I671&gt;=2, 2.5, I671&gt;=0, 1.8, TRUE, 1.3))</f>
        <v>1.8</v>
      </c>
      <c r="O671" s="2" t="s">
        <v>2052</v>
      </c>
      <c r="P671" s="10">
        <v>0.87</v>
      </c>
      <c r="Q671" s="10" t="str">
        <f>_xlfn.IFS(Table1[[#This Row],[Rating]]&gt;=4, "Top Performer", Table1[[#This Row],[Rating]]&gt;=3, "Average", TRUE, "Needs Imporovement")</f>
        <v>Needs Imporovement</v>
      </c>
    </row>
    <row r="672" spans="1:17" x14ac:dyDescent="0.3">
      <c r="A672" s="2" t="s">
        <v>1386</v>
      </c>
      <c r="B672" s="2" t="s">
        <v>1387</v>
      </c>
      <c r="C672" s="2" t="s">
        <v>49</v>
      </c>
      <c r="D672" s="2">
        <v>28</v>
      </c>
      <c r="E672" s="2" t="str">
        <f>_xlfn.IFS(Table1[[#This Row],[Age]]&lt;30, "18-29", D672&lt;=45,"30-45", D672&lt;=55, "46-55", TRUE, "55+")</f>
        <v>18-29</v>
      </c>
      <c r="F672" s="2" t="s">
        <v>107</v>
      </c>
      <c r="G672" s="2" t="s">
        <v>108</v>
      </c>
      <c r="H672" s="2" t="s">
        <v>50</v>
      </c>
      <c r="I672" s="5">
        <v>10</v>
      </c>
      <c r="J672" s="5" t="str">
        <f>_xlfn.IFS(Table1[[#This Row],[Experience(Years)]]&lt;5, "Junior", I672&lt;=12, "Mid-Level", I672&lt;=20, "Senior", I672&lt;=30, "Super Senior", TRUE, "Expert")</f>
        <v>Mid-Level</v>
      </c>
      <c r="K672" s="7">
        <v>40</v>
      </c>
      <c r="L672" s="7">
        <f>Table1[[#This Row],[Hourly Rate]]*1000</f>
        <v>40000</v>
      </c>
      <c r="M672" s="7" t="str">
        <f t="shared" si="10"/>
        <v>Standard</v>
      </c>
      <c r="N672" s="2">
        <f>IF(ISNUMBER(#REF!),#REF!, _xlfn.IFS( I672&gt;=30, 5, I672&gt;=25, 4.8, I672&gt;=15, 4, I672&gt;=10, 3.8, I672&gt;=5, 3, I672&gt;=2, 2.5, I672&gt;=0, 1.8, TRUE, 1.3))</f>
        <v>3.8</v>
      </c>
      <c r="O672" s="2" t="s">
        <v>2053</v>
      </c>
      <c r="P672" s="10">
        <v>0.98</v>
      </c>
      <c r="Q672" s="10" t="str">
        <f>_xlfn.IFS(Table1[[#This Row],[Rating]]&gt;=4, "Top Performer", Table1[[#This Row],[Rating]]&gt;=3, "Average", TRUE, "Needs Imporovement")</f>
        <v>Average</v>
      </c>
    </row>
    <row r="673" spans="1:17" x14ac:dyDescent="0.3">
      <c r="A673" s="2" t="s">
        <v>1388</v>
      </c>
      <c r="B673" s="2" t="s">
        <v>1389</v>
      </c>
      <c r="C673" s="2" t="s">
        <v>68</v>
      </c>
      <c r="D673" s="2">
        <v>29</v>
      </c>
      <c r="E673" s="2" t="str">
        <f>_xlfn.IFS(Table1[[#This Row],[Age]]&lt;30, "18-29", D673&lt;=45,"30-45", D673&lt;=55, "46-55", TRUE, "55+")</f>
        <v>18-29</v>
      </c>
      <c r="F673" s="2" t="s">
        <v>81</v>
      </c>
      <c r="G673" s="2" t="s">
        <v>82</v>
      </c>
      <c r="H673" s="2" t="s">
        <v>4</v>
      </c>
      <c r="I673" s="5">
        <v>0</v>
      </c>
      <c r="J673" s="5" t="str">
        <f>_xlfn.IFS(Table1[[#This Row],[Experience(Years)]]&lt;5, "Junior", I673&lt;=12, "Mid-Level", I673&lt;=20, "Senior", I673&lt;=30, "Super Senior", TRUE, "Expert")</f>
        <v>Junior</v>
      </c>
      <c r="K673" s="7">
        <v>75</v>
      </c>
      <c r="L673" s="7">
        <f>Table1[[#This Row],[Hourly Rate]]*1000</f>
        <v>75000</v>
      </c>
      <c r="M673" s="7" t="str">
        <f t="shared" si="10"/>
        <v>Standard</v>
      </c>
      <c r="N673" s="2">
        <f>IF(ISNUMBER(#REF!),#REF!, _xlfn.IFS( I673&gt;=30, 5, I673&gt;=25, 4.8, I673&gt;=15, 4, I673&gt;=10, 3.8, I673&gt;=5, 3, I673&gt;=2, 2.5, I673&gt;=0, 1.8, TRUE, 1.3))</f>
        <v>1.8</v>
      </c>
      <c r="O673" s="2" t="s">
        <v>2053</v>
      </c>
      <c r="P673" s="10">
        <v>0.64</v>
      </c>
      <c r="Q673" s="10" t="str">
        <f>_xlfn.IFS(Table1[[#This Row],[Rating]]&gt;=4, "Top Performer", Table1[[#This Row],[Rating]]&gt;=3, "Average", TRUE, "Needs Imporovement")</f>
        <v>Needs Imporovement</v>
      </c>
    </row>
    <row r="674" spans="1:17" x14ac:dyDescent="0.3">
      <c r="A674" s="2" t="s">
        <v>1390</v>
      </c>
      <c r="B674" s="2" t="s">
        <v>1391</v>
      </c>
      <c r="C674" s="2" t="s">
        <v>68</v>
      </c>
      <c r="D674" s="2">
        <v>30</v>
      </c>
      <c r="E674" s="2" t="str">
        <f>_xlfn.IFS(Table1[[#This Row],[Age]]&lt;30, "18-29", D674&lt;=45,"30-45", D674&lt;=55, "46-55", TRUE, "55+")</f>
        <v>30-45</v>
      </c>
      <c r="F674" s="2" t="s">
        <v>156</v>
      </c>
      <c r="G674" s="2" t="s">
        <v>45</v>
      </c>
      <c r="H674" s="2" t="s">
        <v>14</v>
      </c>
      <c r="I674" s="5">
        <v>4</v>
      </c>
      <c r="J674" s="5" t="str">
        <f>_xlfn.IFS(Table1[[#This Row],[Experience(Years)]]&lt;5, "Junior", I674&lt;=12, "Mid-Level", I674&lt;=20, "Senior", I674&lt;=30, "Super Senior", TRUE, "Expert")</f>
        <v>Junior</v>
      </c>
      <c r="K674" s="7">
        <v>20</v>
      </c>
      <c r="L674" s="7">
        <f>Table1[[#This Row],[Hourly Rate]]*1000</f>
        <v>20000</v>
      </c>
      <c r="M674" s="7" t="str">
        <f t="shared" si="10"/>
        <v>Budget</v>
      </c>
      <c r="N674" s="2">
        <f>IF(ISNUMBER(#REF!),#REF!, _xlfn.IFS( I674&gt;=30, 5, I674&gt;=25, 4.8, I674&gt;=15, 4, I674&gt;=10, 3.8, I674&gt;=5, 3, I674&gt;=2, 2.5, I674&gt;=0, 1.8, TRUE, 1.3))</f>
        <v>2.5</v>
      </c>
      <c r="O674" s="2" t="s">
        <v>2053</v>
      </c>
      <c r="P674" s="10">
        <v>0.71</v>
      </c>
      <c r="Q674" s="10" t="str">
        <f>_xlfn.IFS(Table1[[#This Row],[Rating]]&gt;=4, "Top Performer", Table1[[#This Row],[Rating]]&gt;=3, "Average", TRUE, "Needs Imporovement")</f>
        <v>Needs Imporovement</v>
      </c>
    </row>
    <row r="675" spans="1:17" x14ac:dyDescent="0.3">
      <c r="A675" s="2" t="s">
        <v>1392</v>
      </c>
      <c r="B675" s="2" t="s">
        <v>1393</v>
      </c>
      <c r="C675" s="2" t="s">
        <v>68</v>
      </c>
      <c r="D675" s="2">
        <v>47</v>
      </c>
      <c r="E675" s="2" t="str">
        <f>_xlfn.IFS(Table1[[#This Row],[Age]]&lt;30, "18-29", D675&lt;=45,"30-45", D675&lt;=55, "46-55", TRUE, "55+")</f>
        <v>46-55</v>
      </c>
      <c r="F675" s="2" t="s">
        <v>107</v>
      </c>
      <c r="G675" s="2" t="s">
        <v>108</v>
      </c>
      <c r="H675" s="2" t="s">
        <v>24</v>
      </c>
      <c r="I675" s="5">
        <v>2</v>
      </c>
      <c r="J675" s="5" t="str">
        <f>_xlfn.IFS(Table1[[#This Row],[Experience(Years)]]&lt;5, "Junior", I675&lt;=12, "Mid-Level", I675&lt;=20, "Senior", I675&lt;=30, "Super Senior", TRUE, "Expert")</f>
        <v>Junior</v>
      </c>
      <c r="K675" s="7">
        <v>50</v>
      </c>
      <c r="L675" s="7">
        <f>Table1[[#This Row],[Hourly Rate]]*1000</f>
        <v>50000</v>
      </c>
      <c r="M675" s="7" t="str">
        <f t="shared" si="10"/>
        <v>Standard</v>
      </c>
      <c r="N675" s="2">
        <f>IF(ISNUMBER(#REF!),#REF!, _xlfn.IFS( I675&gt;=30, 5, I675&gt;=25, 4.8, I675&gt;=15, 4, I675&gt;=10, 3.8, I675&gt;=5, 3, I675&gt;=2, 2.5, I675&gt;=0, 1.8, TRUE, 1.3))</f>
        <v>2.5</v>
      </c>
      <c r="O675" s="2" t="s">
        <v>2052</v>
      </c>
      <c r="P675" s="10">
        <v>0.96</v>
      </c>
      <c r="Q675" s="10" t="str">
        <f>_xlfn.IFS(Table1[[#This Row],[Rating]]&gt;=4, "Top Performer", Table1[[#This Row],[Rating]]&gt;=3, "Average", TRUE, "Needs Imporovement")</f>
        <v>Needs Imporovement</v>
      </c>
    </row>
    <row r="676" spans="1:17" x14ac:dyDescent="0.3">
      <c r="A676" s="2" t="s">
        <v>1394</v>
      </c>
      <c r="B676" s="2" t="s">
        <v>1395</v>
      </c>
      <c r="C676" s="2" t="s">
        <v>68</v>
      </c>
      <c r="D676" s="2">
        <v>34</v>
      </c>
      <c r="E676" s="2" t="str">
        <f>_xlfn.IFS(Table1[[#This Row],[Age]]&lt;30, "18-29", D676&lt;=45,"30-45", D676&lt;=55, "46-55", TRUE, "55+")</f>
        <v>30-45</v>
      </c>
      <c r="F676" s="2" t="s">
        <v>7</v>
      </c>
      <c r="G676" s="2" t="s">
        <v>8</v>
      </c>
      <c r="H676" s="2" t="s">
        <v>4</v>
      </c>
      <c r="I676" s="5">
        <v>10</v>
      </c>
      <c r="J676" s="5" t="str">
        <f>_xlfn.IFS(Table1[[#This Row],[Experience(Years)]]&lt;5, "Junior", I676&lt;=12, "Mid-Level", I676&lt;=20, "Senior", I676&lt;=30, "Super Senior", TRUE, "Expert")</f>
        <v>Mid-Level</v>
      </c>
      <c r="K676" s="7">
        <v>30</v>
      </c>
      <c r="L676" s="7">
        <f>Table1[[#This Row],[Hourly Rate]]*1000</f>
        <v>30000</v>
      </c>
      <c r="M676" s="7" t="str">
        <f t="shared" si="10"/>
        <v>Budget</v>
      </c>
      <c r="N676" s="2">
        <f>IF(ISNUMBER(#REF!),#REF!, _xlfn.IFS( I676&gt;=30, 5, I676&gt;=25, 4.8, I676&gt;=15, 4, I676&gt;=10, 3.8, I676&gt;=5, 3, I676&gt;=2, 2.5, I676&gt;=0, 1.8, TRUE, 1.3))</f>
        <v>3.8</v>
      </c>
      <c r="O676" s="2" t="str">
        <f>IF(AND( Table1[[#This Row],[Rating]]&gt;=3.5, Table1[[#This Row],[Experience(Years)]]&gt;=15), "Active", "Inactive")</f>
        <v>Inactive</v>
      </c>
      <c r="P676" s="10">
        <v>0.75</v>
      </c>
      <c r="Q676" s="10" t="str">
        <f>_xlfn.IFS(Table1[[#This Row],[Rating]]&gt;=4, "Top Performer", Table1[[#This Row],[Rating]]&gt;=3, "Average", TRUE, "Needs Imporovement")</f>
        <v>Average</v>
      </c>
    </row>
    <row r="677" spans="1:17" x14ac:dyDescent="0.3">
      <c r="A677" s="2" t="s">
        <v>1396</v>
      </c>
      <c r="B677" s="2" t="s">
        <v>1397</v>
      </c>
      <c r="C677" s="2" t="s">
        <v>68</v>
      </c>
      <c r="D677" s="2">
        <v>45</v>
      </c>
      <c r="E677" s="2" t="str">
        <f>_xlfn.IFS(Table1[[#This Row],[Age]]&lt;30, "18-29", D677&lt;=45,"30-45", D677&lt;=55, "46-55", TRUE, "55+")</f>
        <v>30-45</v>
      </c>
      <c r="F677" s="2" t="s">
        <v>34</v>
      </c>
      <c r="G677" s="2" t="s">
        <v>8</v>
      </c>
      <c r="H677" s="2" t="s">
        <v>14</v>
      </c>
      <c r="I677" s="5">
        <v>16</v>
      </c>
      <c r="J677" s="5" t="str">
        <f>_xlfn.IFS(Table1[[#This Row],[Experience(Years)]]&lt;5, "Junior", I677&lt;=12, "Mid-Level", I677&lt;=20, "Senior", I677&lt;=30, "Super Senior", TRUE, "Expert")</f>
        <v>Senior</v>
      </c>
      <c r="K677" s="7">
        <v>100</v>
      </c>
      <c r="L677" s="7">
        <f>Table1[[#This Row],[Hourly Rate]]*1000</f>
        <v>100000</v>
      </c>
      <c r="M677" s="7" t="str">
        <f t="shared" si="10"/>
        <v>Premium</v>
      </c>
      <c r="N677" s="2">
        <f>IF(ISNUMBER(#REF!),#REF!, _xlfn.IFS( I677&gt;=30, 5, I677&gt;=25, 4.8, I677&gt;=15, 4, I677&gt;=10, 3.8, I677&gt;=5, 3, I677&gt;=2, 2.5, I677&gt;=0, 1.8, TRUE, 1.3))</f>
        <v>4</v>
      </c>
      <c r="O677" s="2" t="s">
        <v>2052</v>
      </c>
      <c r="P677" s="10">
        <v>0.78</v>
      </c>
      <c r="Q677" s="10" t="str">
        <f>_xlfn.IFS(Table1[[#This Row],[Rating]]&gt;=4, "Top Performer", Table1[[#This Row],[Rating]]&gt;=3, "Average", TRUE, "Needs Imporovement")</f>
        <v>Top Performer</v>
      </c>
    </row>
    <row r="678" spans="1:17" x14ac:dyDescent="0.3">
      <c r="A678" s="2" t="s">
        <v>1398</v>
      </c>
      <c r="B678" s="2" t="s">
        <v>1399</v>
      </c>
      <c r="C678" s="2" t="s">
        <v>49</v>
      </c>
      <c r="D678" s="2">
        <v>56</v>
      </c>
      <c r="E678" s="2" t="str">
        <f>_xlfn.IFS(Table1[[#This Row],[Age]]&lt;30, "18-29", D678&lt;=45,"30-45", D678&lt;=55, "46-55", TRUE, "55+")</f>
        <v>55+</v>
      </c>
      <c r="F678" s="2" t="s">
        <v>156</v>
      </c>
      <c r="G678" s="2" t="s">
        <v>45</v>
      </c>
      <c r="H678" s="2" t="s">
        <v>50</v>
      </c>
      <c r="I678" s="5">
        <v>27</v>
      </c>
      <c r="J678" s="5" t="str">
        <f>_xlfn.IFS(Table1[[#This Row],[Experience(Years)]]&lt;5, "Junior", I678&lt;=12, "Mid-Level", I678&lt;=20, "Senior", I678&lt;=30, "Super Senior", TRUE, "Expert")</f>
        <v>Super Senior</v>
      </c>
      <c r="K678" s="7">
        <v>20</v>
      </c>
      <c r="L678" s="7">
        <f>Table1[[#This Row],[Hourly Rate]]*1000</f>
        <v>20000</v>
      </c>
      <c r="M678" s="7" t="str">
        <f t="shared" si="10"/>
        <v>Budget</v>
      </c>
      <c r="N678" s="2">
        <f>IF(ISNUMBER(#REF!),#REF!, _xlfn.IFS( I678&gt;=30, 5, I678&gt;=25, 4.8, I678&gt;=15, 4, I678&gt;=10, 3.8, I678&gt;=5, 3, I678&gt;=2, 2.5, I678&gt;=0, 1.8, TRUE, 1.3))</f>
        <v>4.8</v>
      </c>
      <c r="O678" s="2" t="s">
        <v>2052</v>
      </c>
      <c r="P678" s="10">
        <v>0.7</v>
      </c>
      <c r="Q678" s="10" t="str">
        <f>_xlfn.IFS(Table1[[#This Row],[Rating]]&gt;=4, "Top Performer", Table1[[#This Row],[Rating]]&gt;=3, "Average", TRUE, "Needs Imporovement")</f>
        <v>Top Performer</v>
      </c>
    </row>
    <row r="679" spans="1:17" x14ac:dyDescent="0.3">
      <c r="A679" s="2" t="s">
        <v>1400</v>
      </c>
      <c r="B679" s="2" t="s">
        <v>1401</v>
      </c>
      <c r="C679" s="2" t="s">
        <v>49</v>
      </c>
      <c r="D679" s="2">
        <v>49</v>
      </c>
      <c r="E679" s="2" t="str">
        <f>_xlfn.IFS(Table1[[#This Row],[Age]]&lt;30, "18-29", D679&lt;=45,"30-45", D679&lt;=55, "46-55", TRUE, "55+")</f>
        <v>46-55</v>
      </c>
      <c r="F679" s="2" t="s">
        <v>141</v>
      </c>
      <c r="G679" s="2" t="s">
        <v>142</v>
      </c>
      <c r="H679" s="2" t="s">
        <v>61</v>
      </c>
      <c r="I679" s="5">
        <v>20</v>
      </c>
      <c r="J679" s="5" t="str">
        <f>_xlfn.IFS(Table1[[#This Row],[Experience(Years)]]&lt;5, "Junior", I679&lt;=12, "Mid-Level", I679&lt;=20, "Senior", I679&lt;=30, "Super Senior", TRUE, "Expert")</f>
        <v>Senior</v>
      </c>
      <c r="K679" s="7">
        <v>50</v>
      </c>
      <c r="L679" s="7">
        <f>Table1[[#This Row],[Hourly Rate]]*1000</f>
        <v>50000</v>
      </c>
      <c r="M679" s="7" t="str">
        <f t="shared" si="10"/>
        <v>Standard</v>
      </c>
      <c r="N679" s="2">
        <f>IF(ISNUMBER(#REF!),#REF!, _xlfn.IFS( I679&gt;=30, 5, I679&gt;=25, 4.8, I679&gt;=15, 4, I679&gt;=10, 3.8, I679&gt;=5, 3, I679&gt;=2, 2.5, I679&gt;=0, 1.8, TRUE, 1.3))</f>
        <v>4</v>
      </c>
      <c r="O679" s="2" t="s">
        <v>2052</v>
      </c>
      <c r="P679" s="10">
        <v>0.82</v>
      </c>
      <c r="Q679" s="10" t="str">
        <f>_xlfn.IFS(Table1[[#This Row],[Rating]]&gt;=4, "Top Performer", Table1[[#This Row],[Rating]]&gt;=3, "Average", TRUE, "Needs Imporovement")</f>
        <v>Top Performer</v>
      </c>
    </row>
    <row r="680" spans="1:17" x14ac:dyDescent="0.3">
      <c r="A680" s="2" t="s">
        <v>1402</v>
      </c>
      <c r="B680" s="2" t="s">
        <v>1403</v>
      </c>
      <c r="C680" s="2" t="s">
        <v>68</v>
      </c>
      <c r="D680" s="2">
        <v>48</v>
      </c>
      <c r="E680" s="2" t="str">
        <f>_xlfn.IFS(Table1[[#This Row],[Age]]&lt;30, "18-29", D680&lt;=45,"30-45", D680&lt;=55, "46-55", TRUE, "55+")</f>
        <v>46-55</v>
      </c>
      <c r="F680" s="2" t="s">
        <v>103</v>
      </c>
      <c r="G680" s="2" t="s">
        <v>104</v>
      </c>
      <c r="H680" s="2" t="s">
        <v>24</v>
      </c>
      <c r="I680" s="5">
        <v>10</v>
      </c>
      <c r="J680" s="5" t="str">
        <f>_xlfn.IFS(Table1[[#This Row],[Experience(Years)]]&lt;5, "Junior", I680&lt;=12, "Mid-Level", I680&lt;=20, "Senior", I680&lt;=30, "Super Senior", TRUE, "Expert")</f>
        <v>Mid-Level</v>
      </c>
      <c r="K680" s="7">
        <v>20</v>
      </c>
      <c r="L680" s="7">
        <f>Table1[[#This Row],[Hourly Rate]]*1000</f>
        <v>20000</v>
      </c>
      <c r="M680" s="7" t="str">
        <f t="shared" si="10"/>
        <v>Budget</v>
      </c>
      <c r="N680" s="2">
        <f>IF(ISNUMBER(#REF!),#REF!, _xlfn.IFS( I680&gt;=30, 5, I680&gt;=25, 4.8, I680&gt;=15, 4, I680&gt;=10, 3.8, I680&gt;=5, 3, I680&gt;=2, 2.5, I680&gt;=0, 1.8, TRUE, 1.3))</f>
        <v>3.8</v>
      </c>
      <c r="O680" s="2" t="s">
        <v>2052</v>
      </c>
      <c r="P680" s="10">
        <v>0.75</v>
      </c>
      <c r="Q680" s="10" t="str">
        <f>_xlfn.IFS(Table1[[#This Row],[Rating]]&gt;=4, "Top Performer", Table1[[#This Row],[Rating]]&gt;=3, "Average", TRUE, "Needs Imporovement")</f>
        <v>Average</v>
      </c>
    </row>
    <row r="681" spans="1:17" x14ac:dyDescent="0.3">
      <c r="A681" s="2" t="s">
        <v>1404</v>
      </c>
      <c r="B681" s="2" t="s">
        <v>1405</v>
      </c>
      <c r="C681" s="2" t="s">
        <v>49</v>
      </c>
      <c r="D681" s="2">
        <v>29</v>
      </c>
      <c r="E681" s="2" t="str">
        <f>_xlfn.IFS(Table1[[#This Row],[Age]]&lt;30, "18-29", D681&lt;=45,"30-45", D681&lt;=55, "46-55", TRUE, "55+")</f>
        <v>18-29</v>
      </c>
      <c r="F681" s="2" t="s">
        <v>81</v>
      </c>
      <c r="G681" s="2" t="s">
        <v>82</v>
      </c>
      <c r="H681" s="2" t="s">
        <v>14</v>
      </c>
      <c r="I681" s="5">
        <v>0</v>
      </c>
      <c r="J681" s="5" t="str">
        <f>_xlfn.IFS(Table1[[#This Row],[Experience(Years)]]&lt;5, "Junior", I681&lt;=12, "Mid-Level", I681&lt;=20, "Senior", I681&lt;=30, "Super Senior", TRUE, "Expert")</f>
        <v>Junior</v>
      </c>
      <c r="K681" s="7">
        <v>20</v>
      </c>
      <c r="L681" s="7">
        <f>Table1[[#This Row],[Hourly Rate]]*1000</f>
        <v>20000</v>
      </c>
      <c r="M681" s="7" t="str">
        <f t="shared" si="10"/>
        <v>Budget</v>
      </c>
      <c r="N681" s="2">
        <f>IF(ISNUMBER(#REF!),#REF!, _xlfn.IFS( I681&gt;=30, 5, I681&gt;=25, 4.8, I681&gt;=15, 4, I681&gt;=10, 3.8, I681&gt;=5, 3, I681&gt;=2, 2.5, I681&gt;=0, 1.8, TRUE, 1.3))</f>
        <v>1.8</v>
      </c>
      <c r="O681" s="2" t="s">
        <v>2053</v>
      </c>
      <c r="P681" s="10">
        <v>0.99</v>
      </c>
      <c r="Q681" s="10" t="str">
        <f>_xlfn.IFS(Table1[[#This Row],[Rating]]&gt;=4, "Top Performer", Table1[[#This Row],[Rating]]&gt;=3, "Average", TRUE, "Needs Imporovement")</f>
        <v>Needs Imporovement</v>
      </c>
    </row>
    <row r="682" spans="1:17" x14ac:dyDescent="0.3">
      <c r="A682" s="2" t="s">
        <v>1406</v>
      </c>
      <c r="B682" s="2" t="s">
        <v>1407</v>
      </c>
      <c r="C682" s="2" t="s">
        <v>49</v>
      </c>
      <c r="D682" s="2">
        <v>49</v>
      </c>
      <c r="E682" s="2" t="str">
        <f>_xlfn.IFS(Table1[[#This Row],[Age]]&lt;30, "18-29", D682&lt;=45,"30-45", D682&lt;=55, "46-55", TRUE, "55+")</f>
        <v>46-55</v>
      </c>
      <c r="F682" s="2" t="s">
        <v>22</v>
      </c>
      <c r="G682" s="2" t="s">
        <v>23</v>
      </c>
      <c r="H682" s="2" t="s">
        <v>17</v>
      </c>
      <c r="I682" s="5">
        <v>11</v>
      </c>
      <c r="J682" s="5" t="str">
        <f>_xlfn.IFS(Table1[[#This Row],[Experience(Years)]]&lt;5, "Junior", I682&lt;=12, "Mid-Level", I682&lt;=20, "Senior", I682&lt;=30, "Super Senior", TRUE, "Expert")</f>
        <v>Mid-Level</v>
      </c>
      <c r="K682" s="7">
        <v>75</v>
      </c>
      <c r="L682" s="7">
        <f>Table1[[#This Row],[Hourly Rate]]*1000</f>
        <v>75000</v>
      </c>
      <c r="M682" s="7" t="str">
        <f t="shared" si="10"/>
        <v>Standard</v>
      </c>
      <c r="N682" s="2">
        <f>IF(ISNUMBER(#REF!),#REF!, _xlfn.IFS( I682&gt;=30, 5, I682&gt;=25, 4.8, I682&gt;=15, 4, I682&gt;=10, 3.8, I682&gt;=5, 3, I682&gt;=2, 2.5, I682&gt;=0, 1.8, TRUE, 1.3))</f>
        <v>3.8</v>
      </c>
      <c r="O682" s="2" t="s">
        <v>2053</v>
      </c>
      <c r="P682" s="10">
        <v>0.93</v>
      </c>
      <c r="Q682" s="10" t="str">
        <f>_xlfn.IFS(Table1[[#This Row],[Rating]]&gt;=4, "Top Performer", Table1[[#This Row],[Rating]]&gt;=3, "Average", TRUE, "Needs Imporovement")</f>
        <v>Average</v>
      </c>
    </row>
    <row r="683" spans="1:17" x14ac:dyDescent="0.3">
      <c r="A683" s="2" t="s">
        <v>1408</v>
      </c>
      <c r="B683" s="2" t="s">
        <v>1409</v>
      </c>
      <c r="C683" s="2" t="s">
        <v>49</v>
      </c>
      <c r="D683" s="2">
        <v>22</v>
      </c>
      <c r="E683" s="2" t="str">
        <f>_xlfn.IFS(Table1[[#This Row],[Age]]&lt;30, "18-29", D683&lt;=45,"30-45", D683&lt;=55, "46-55", TRUE, "55+")</f>
        <v>18-29</v>
      </c>
      <c r="F683" s="2" t="s">
        <v>141</v>
      </c>
      <c r="G683" s="2" t="s">
        <v>142</v>
      </c>
      <c r="H683" s="2" t="s">
        <v>4</v>
      </c>
      <c r="I683" s="5">
        <v>1</v>
      </c>
      <c r="J683" s="5" t="str">
        <f>_xlfn.IFS(Table1[[#This Row],[Experience(Years)]]&lt;5, "Junior", I683&lt;=12, "Mid-Level", I683&lt;=20, "Senior", I683&lt;=30, "Super Senior", TRUE, "Expert")</f>
        <v>Junior</v>
      </c>
      <c r="K683" s="7">
        <v>100</v>
      </c>
      <c r="L683" s="7">
        <f>Table1[[#This Row],[Hourly Rate]]*1000</f>
        <v>100000</v>
      </c>
      <c r="M683" s="7" t="str">
        <f t="shared" si="10"/>
        <v>Premium</v>
      </c>
      <c r="N683" s="2">
        <f>IF(ISNUMBER(#REF!),#REF!, _xlfn.IFS( I683&gt;=30, 5, I683&gt;=25, 4.8, I683&gt;=15, 4, I683&gt;=10, 3.8, I683&gt;=5, 3, I683&gt;=2, 2.5, I683&gt;=0, 1.8, TRUE, 1.3))</f>
        <v>1.8</v>
      </c>
      <c r="O683" s="2" t="s">
        <v>2053</v>
      </c>
      <c r="P683" s="10">
        <v>0.75</v>
      </c>
      <c r="Q683" s="10" t="str">
        <f>_xlfn.IFS(Table1[[#This Row],[Rating]]&gt;=4, "Top Performer", Table1[[#This Row],[Rating]]&gt;=3, "Average", TRUE, "Needs Imporovement")</f>
        <v>Needs Imporovement</v>
      </c>
    </row>
    <row r="684" spans="1:17" x14ac:dyDescent="0.3">
      <c r="A684" s="2" t="s">
        <v>1410</v>
      </c>
      <c r="B684" s="2" t="s">
        <v>1411</v>
      </c>
      <c r="C684" s="2" t="s">
        <v>68</v>
      </c>
      <c r="D684" s="2">
        <v>52</v>
      </c>
      <c r="E684" s="2" t="str">
        <f>_xlfn.IFS(Table1[[#This Row],[Age]]&lt;30, "18-29", D684&lt;=45,"30-45", D684&lt;=55, "46-55", TRUE, "55+")</f>
        <v>46-55</v>
      </c>
      <c r="F684" s="2" t="s">
        <v>145</v>
      </c>
      <c r="G684" s="2" t="s">
        <v>45</v>
      </c>
      <c r="H684" s="2" t="s">
        <v>14</v>
      </c>
      <c r="I684" s="5">
        <v>30</v>
      </c>
      <c r="J684" s="5" t="str">
        <f>_xlfn.IFS(Table1[[#This Row],[Experience(Years)]]&lt;5, "Junior", I684&lt;=12, "Mid-Level", I684&lt;=20, "Senior", I684&lt;=30, "Super Senior", TRUE, "Expert")</f>
        <v>Super Senior</v>
      </c>
      <c r="K684" s="7">
        <v>100</v>
      </c>
      <c r="L684" s="7">
        <f>Table1[[#This Row],[Hourly Rate]]*1000</f>
        <v>100000</v>
      </c>
      <c r="M684" s="7" t="str">
        <f t="shared" si="10"/>
        <v>Premium</v>
      </c>
      <c r="N684" s="2">
        <f>IF(ISNUMBER(#REF!),#REF!, _xlfn.IFS( I684&gt;=30, 5, I684&gt;=25, 4.8, I684&gt;=15, 4, I684&gt;=10, 3.8, I684&gt;=5, 3, I684&gt;=2, 2.5, I684&gt;=0, 1.8, TRUE, 1.3))</f>
        <v>5</v>
      </c>
      <c r="O684" s="2" t="str">
        <f>IF(AND( Table1[[#This Row],[Rating]]&gt;=3.5, Table1[[#This Row],[Experience(Years)]]&gt;=15), "Active", "Inactive")</f>
        <v>Active</v>
      </c>
      <c r="P684" s="10">
        <v>0.61</v>
      </c>
      <c r="Q684" s="10" t="str">
        <f>_xlfn.IFS(Table1[[#This Row],[Rating]]&gt;=4, "Top Performer", Table1[[#This Row],[Rating]]&gt;=3, "Average", TRUE, "Needs Imporovement")</f>
        <v>Top Performer</v>
      </c>
    </row>
    <row r="685" spans="1:17" x14ac:dyDescent="0.3">
      <c r="A685" s="2" t="s">
        <v>1412</v>
      </c>
      <c r="B685" s="2" t="s">
        <v>1413</v>
      </c>
      <c r="C685" s="2" t="s">
        <v>68</v>
      </c>
      <c r="D685" s="2">
        <v>60</v>
      </c>
      <c r="E685" s="2" t="str">
        <f>_xlfn.IFS(Table1[[#This Row],[Age]]&lt;30, "18-29", D685&lt;=45,"30-45", D685&lt;=55, "46-55", TRUE, "55+")</f>
        <v>55+</v>
      </c>
      <c r="F685" s="2" t="s">
        <v>96</v>
      </c>
      <c r="G685" s="2" t="s">
        <v>8</v>
      </c>
      <c r="H685" s="2" t="s">
        <v>4</v>
      </c>
      <c r="I685" s="5">
        <v>7</v>
      </c>
      <c r="J685" s="5" t="str">
        <f>_xlfn.IFS(Table1[[#This Row],[Experience(Years)]]&lt;5, "Junior", I685&lt;=12, "Mid-Level", I685&lt;=20, "Senior", I685&lt;=30, "Super Senior", TRUE, "Expert")</f>
        <v>Mid-Level</v>
      </c>
      <c r="K685" s="7">
        <v>30</v>
      </c>
      <c r="L685" s="7">
        <f>Table1[[#This Row],[Hourly Rate]]*1000</f>
        <v>30000</v>
      </c>
      <c r="M685" s="7" t="str">
        <f t="shared" si="10"/>
        <v>Budget</v>
      </c>
      <c r="N685" s="2">
        <f>IF(ISNUMBER(#REF!),#REF!, _xlfn.IFS( I685&gt;=30, 5, I685&gt;=25, 4.8, I685&gt;=15, 4, I685&gt;=10, 3.8, I685&gt;=5, 3, I685&gt;=2, 2.5, I685&gt;=0, 1.8, TRUE, 1.3))</f>
        <v>3</v>
      </c>
      <c r="O685" s="2" t="s">
        <v>2052</v>
      </c>
      <c r="P685" s="10">
        <v>0.97</v>
      </c>
      <c r="Q685" s="10" t="str">
        <f>_xlfn.IFS(Table1[[#This Row],[Rating]]&gt;=4, "Top Performer", Table1[[#This Row],[Rating]]&gt;=3, "Average", TRUE, "Needs Imporovement")</f>
        <v>Average</v>
      </c>
    </row>
    <row r="686" spans="1:17" x14ac:dyDescent="0.3">
      <c r="A686" s="2" t="s">
        <v>1414</v>
      </c>
      <c r="B686" s="2" t="s">
        <v>1415</v>
      </c>
      <c r="C686" s="2" t="s">
        <v>49</v>
      </c>
      <c r="D686" s="2">
        <v>33</v>
      </c>
      <c r="E686" s="2" t="str">
        <f>_xlfn.IFS(Table1[[#This Row],[Age]]&lt;30, "18-29", D686&lt;=45,"30-45", D686&lt;=55, "46-55", TRUE, "55+")</f>
        <v>30-45</v>
      </c>
      <c r="F686" s="2" t="s">
        <v>57</v>
      </c>
      <c r="G686" s="2" t="s">
        <v>58</v>
      </c>
      <c r="H686" s="2" t="s">
        <v>46</v>
      </c>
      <c r="I686" s="5">
        <v>0</v>
      </c>
      <c r="J686" s="5" t="str">
        <f>_xlfn.IFS(Table1[[#This Row],[Experience(Years)]]&lt;5, "Junior", I686&lt;=12, "Mid-Level", I686&lt;=20, "Senior", I686&lt;=30, "Super Senior", TRUE, "Expert")</f>
        <v>Junior</v>
      </c>
      <c r="K686" s="7">
        <v>100</v>
      </c>
      <c r="L686" s="7">
        <f>Table1[[#This Row],[Hourly Rate]]*1000</f>
        <v>100000</v>
      </c>
      <c r="M686" s="7" t="str">
        <f t="shared" si="10"/>
        <v>Premium</v>
      </c>
      <c r="N686" s="2">
        <f>IF(ISNUMBER(#REF!),#REF!, _xlfn.IFS( I686&gt;=30, 5, I686&gt;=25, 4.8, I686&gt;=15, 4, I686&gt;=10, 3.8, I686&gt;=5, 3, I686&gt;=2, 2.5, I686&gt;=0, 1.8, TRUE, 1.3))</f>
        <v>1.8</v>
      </c>
      <c r="O686" s="2" t="s">
        <v>2053</v>
      </c>
      <c r="P686" s="10">
        <v>0.95</v>
      </c>
      <c r="Q686" s="10" t="str">
        <f>_xlfn.IFS(Table1[[#This Row],[Rating]]&gt;=4, "Top Performer", Table1[[#This Row],[Rating]]&gt;=3, "Average", TRUE, "Needs Imporovement")</f>
        <v>Needs Imporovement</v>
      </c>
    </row>
    <row r="687" spans="1:17" x14ac:dyDescent="0.3">
      <c r="A687" s="2" t="s">
        <v>1416</v>
      </c>
      <c r="B687" s="2" t="s">
        <v>1417</v>
      </c>
      <c r="C687" s="2" t="s">
        <v>68</v>
      </c>
      <c r="D687" s="2">
        <v>52</v>
      </c>
      <c r="E687" s="2" t="str">
        <f>_xlfn.IFS(Table1[[#This Row],[Age]]&lt;30, "18-29", D687&lt;=45,"30-45", D687&lt;=55, "46-55", TRUE, "55+")</f>
        <v>46-55</v>
      </c>
      <c r="F687" s="2" t="s">
        <v>81</v>
      </c>
      <c r="G687" s="2" t="s">
        <v>82</v>
      </c>
      <c r="H687" s="2" t="s">
        <v>14</v>
      </c>
      <c r="I687" s="5">
        <v>21</v>
      </c>
      <c r="J687" s="5" t="str">
        <f>_xlfn.IFS(Table1[[#This Row],[Experience(Years)]]&lt;5, "Junior", I687&lt;=12, "Mid-Level", I687&lt;=20, "Senior", I687&lt;=30, "Super Senior", TRUE, "Expert")</f>
        <v>Super Senior</v>
      </c>
      <c r="K687" s="7">
        <v>40</v>
      </c>
      <c r="L687" s="7">
        <f>Table1[[#This Row],[Hourly Rate]]*1000</f>
        <v>40000</v>
      </c>
      <c r="M687" s="7" t="str">
        <f t="shared" si="10"/>
        <v>Standard</v>
      </c>
      <c r="N687" s="2">
        <f>IF(ISNUMBER(#REF!),#REF!, _xlfn.IFS( I687&gt;=30, 5, I687&gt;=25, 4.8, I687&gt;=15, 4, I687&gt;=10, 3.8, I687&gt;=5, 3, I687&gt;=2, 2.5, I687&gt;=0, 1.8, TRUE, 1.3))</f>
        <v>4</v>
      </c>
      <c r="O687" s="2" t="str">
        <f>IF(AND( Table1[[#This Row],[Rating]]&gt;=3.5, Table1[[#This Row],[Experience(Years)]]&gt;=15), "Active", "Inactive")</f>
        <v>Active</v>
      </c>
      <c r="P687" s="10">
        <v>0.69</v>
      </c>
      <c r="Q687" s="10" t="str">
        <f>_xlfn.IFS(Table1[[#This Row],[Rating]]&gt;=4, "Top Performer", Table1[[#This Row],[Rating]]&gt;=3, "Average", TRUE, "Needs Imporovement")</f>
        <v>Top Performer</v>
      </c>
    </row>
    <row r="688" spans="1:17" x14ac:dyDescent="0.3">
      <c r="A688" s="2" t="s">
        <v>1418</v>
      </c>
      <c r="B688" s="2" t="s">
        <v>1419</v>
      </c>
      <c r="C688" s="2" t="s">
        <v>49</v>
      </c>
      <c r="D688" s="2">
        <v>25</v>
      </c>
      <c r="E688" s="2" t="str">
        <f>_xlfn.IFS(Table1[[#This Row],[Age]]&lt;30, "18-29", D688&lt;=45,"30-45", D688&lt;=55, "46-55", TRUE, "55+")</f>
        <v>18-29</v>
      </c>
      <c r="F688" s="2" t="s">
        <v>12</v>
      </c>
      <c r="G688" s="2" t="s">
        <v>13</v>
      </c>
      <c r="H688" s="2" t="s">
        <v>61</v>
      </c>
      <c r="I688" s="5">
        <v>7</v>
      </c>
      <c r="J688" s="5" t="str">
        <f>_xlfn.IFS(Table1[[#This Row],[Experience(Years)]]&lt;5, "Junior", I688&lt;=12, "Mid-Level", I688&lt;=20, "Senior", I688&lt;=30, "Super Senior", TRUE, "Expert")</f>
        <v>Mid-Level</v>
      </c>
      <c r="K688" s="7">
        <v>100</v>
      </c>
      <c r="L688" s="7">
        <f>Table1[[#This Row],[Hourly Rate]]*1000</f>
        <v>100000</v>
      </c>
      <c r="M688" s="7" t="str">
        <f t="shared" si="10"/>
        <v>Premium</v>
      </c>
      <c r="N688" s="2">
        <f>IF(ISNUMBER(#REF!),#REF!, _xlfn.IFS( I688&gt;=30, 5, I688&gt;=25, 4.8, I688&gt;=15, 4, I688&gt;=10, 3.8, I688&gt;=5, 3, I688&gt;=2, 2.5, I688&gt;=0, 1.8, TRUE, 1.3))</f>
        <v>3</v>
      </c>
      <c r="O688" s="2" t="s">
        <v>2052</v>
      </c>
      <c r="P688" s="10">
        <v>0.63</v>
      </c>
      <c r="Q688" s="10" t="str">
        <f>_xlfn.IFS(Table1[[#This Row],[Rating]]&gt;=4, "Top Performer", Table1[[#This Row],[Rating]]&gt;=3, "Average", TRUE, "Needs Imporovement")</f>
        <v>Average</v>
      </c>
    </row>
    <row r="689" spans="1:17" x14ac:dyDescent="0.3">
      <c r="A689" s="2" t="s">
        <v>1420</v>
      </c>
      <c r="B689" s="2" t="s">
        <v>1421</v>
      </c>
      <c r="C689" s="2" t="s">
        <v>68</v>
      </c>
      <c r="D689" s="2">
        <v>33</v>
      </c>
      <c r="E689" s="2" t="str">
        <f>_xlfn.IFS(Table1[[#This Row],[Age]]&lt;30, "18-29", D689&lt;=45,"30-45", D689&lt;=55, "46-55", TRUE, "55+")</f>
        <v>30-45</v>
      </c>
      <c r="F689" s="2" t="s">
        <v>57</v>
      </c>
      <c r="G689" s="2" t="s">
        <v>58</v>
      </c>
      <c r="H689" s="2" t="s">
        <v>50</v>
      </c>
      <c r="I689" s="5">
        <v>12</v>
      </c>
      <c r="J689" s="5" t="str">
        <f>_xlfn.IFS(Table1[[#This Row],[Experience(Years)]]&lt;5, "Junior", I689&lt;=12, "Mid-Level", I689&lt;=20, "Senior", I689&lt;=30, "Super Senior", TRUE, "Expert")</f>
        <v>Mid-Level</v>
      </c>
      <c r="K689" s="7">
        <v>30</v>
      </c>
      <c r="L689" s="7">
        <f>Table1[[#This Row],[Hourly Rate]]*1000</f>
        <v>30000</v>
      </c>
      <c r="M689" s="7" t="str">
        <f t="shared" si="10"/>
        <v>Budget</v>
      </c>
      <c r="N689" s="2">
        <f>IF(ISNUMBER(#REF!),#REF!, _xlfn.IFS( I689&gt;=30, 5, I689&gt;=25, 4.8, I689&gt;=15, 4, I689&gt;=10, 3.8, I689&gt;=5, 3, I689&gt;=2, 2.5, I689&gt;=0, 1.8, TRUE, 1.3))</f>
        <v>3.8</v>
      </c>
      <c r="O689" s="2" t="s">
        <v>2053</v>
      </c>
      <c r="P689" s="10">
        <v>0.65</v>
      </c>
      <c r="Q689" s="10" t="str">
        <f>_xlfn.IFS(Table1[[#This Row],[Rating]]&gt;=4, "Top Performer", Table1[[#This Row],[Rating]]&gt;=3, "Average", TRUE, "Needs Imporovement")</f>
        <v>Average</v>
      </c>
    </row>
    <row r="690" spans="1:17" x14ac:dyDescent="0.3">
      <c r="A690" s="2" t="s">
        <v>1422</v>
      </c>
      <c r="B690" s="2" t="s">
        <v>1423</v>
      </c>
      <c r="C690" s="2" t="s">
        <v>49</v>
      </c>
      <c r="D690" s="2">
        <v>33</v>
      </c>
      <c r="E690" s="2" t="str">
        <f>_xlfn.IFS(Table1[[#This Row],[Age]]&lt;30, "18-29", D690&lt;=45,"30-45", D690&lt;=55, "46-55", TRUE, "55+")</f>
        <v>30-45</v>
      </c>
      <c r="F690" s="2" t="s">
        <v>141</v>
      </c>
      <c r="G690" s="2" t="s">
        <v>142</v>
      </c>
      <c r="H690" s="2" t="s">
        <v>9</v>
      </c>
      <c r="I690" s="5">
        <v>10</v>
      </c>
      <c r="J690" s="5" t="str">
        <f>_xlfn.IFS(Table1[[#This Row],[Experience(Years)]]&lt;5, "Junior", I690&lt;=12, "Mid-Level", I690&lt;=20, "Senior", I690&lt;=30, "Super Senior", TRUE, "Expert")</f>
        <v>Mid-Level</v>
      </c>
      <c r="K690" s="7">
        <v>50</v>
      </c>
      <c r="L690" s="7">
        <f>Table1[[#This Row],[Hourly Rate]]*1000</f>
        <v>50000</v>
      </c>
      <c r="M690" s="7" t="str">
        <f t="shared" si="10"/>
        <v>Standard</v>
      </c>
      <c r="N690" s="2">
        <f>IF(ISNUMBER(#REF!),#REF!, _xlfn.IFS( I690&gt;=30, 5, I690&gt;=25, 4.8, I690&gt;=15, 4, I690&gt;=10, 3.8, I690&gt;=5, 3, I690&gt;=2, 2.5, I690&gt;=0, 1.8, TRUE, 1.3))</f>
        <v>3.8</v>
      </c>
      <c r="O690" s="2" t="s">
        <v>2053</v>
      </c>
      <c r="P690" s="10">
        <v>0.9</v>
      </c>
      <c r="Q690" s="10" t="str">
        <f>_xlfn.IFS(Table1[[#This Row],[Rating]]&gt;=4, "Top Performer", Table1[[#This Row],[Rating]]&gt;=3, "Average", TRUE, "Needs Imporovement")</f>
        <v>Average</v>
      </c>
    </row>
    <row r="691" spans="1:17" x14ac:dyDescent="0.3">
      <c r="A691" s="2" t="s">
        <v>1424</v>
      </c>
      <c r="B691" s="2" t="s">
        <v>21</v>
      </c>
      <c r="C691" s="2" t="s">
        <v>49</v>
      </c>
      <c r="D691" s="2">
        <v>52</v>
      </c>
      <c r="E691" s="2" t="str">
        <f>_xlfn.IFS(Table1[[#This Row],[Age]]&lt;30, "18-29", D691&lt;=45,"30-45", D691&lt;=55, "46-55", TRUE, "55+")</f>
        <v>46-55</v>
      </c>
      <c r="F691" s="2" t="s">
        <v>96</v>
      </c>
      <c r="G691" s="2" t="s">
        <v>8</v>
      </c>
      <c r="H691" s="2" t="s">
        <v>46</v>
      </c>
      <c r="I691" s="5">
        <v>25</v>
      </c>
      <c r="J691" s="5" t="str">
        <f>_xlfn.IFS(Table1[[#This Row],[Experience(Years)]]&lt;5, "Junior", I691&lt;=12, "Mid-Level", I691&lt;=20, "Senior", I691&lt;=30, "Super Senior", TRUE, "Expert")</f>
        <v>Super Senior</v>
      </c>
      <c r="K691" s="7">
        <v>100</v>
      </c>
      <c r="L691" s="7">
        <f>Table1[[#This Row],[Hourly Rate]]*1000</f>
        <v>100000</v>
      </c>
      <c r="M691" s="7" t="str">
        <f t="shared" si="10"/>
        <v>Premium</v>
      </c>
      <c r="N691" s="2">
        <f>IF(ISNUMBER(#REF!),#REF!, _xlfn.IFS( I691&gt;=30, 5, I691&gt;=25, 4.8, I691&gt;=15, 4, I691&gt;=10, 3.8, I691&gt;=5, 3, I691&gt;=2, 2.5, I691&gt;=0, 1.8, TRUE, 1.3))</f>
        <v>4.8</v>
      </c>
      <c r="O691" s="2" t="s">
        <v>2052</v>
      </c>
      <c r="P691" s="10">
        <v>0.9</v>
      </c>
      <c r="Q691" s="10" t="str">
        <f>_xlfn.IFS(Table1[[#This Row],[Rating]]&gt;=4, "Top Performer", Table1[[#This Row],[Rating]]&gt;=3, "Average", TRUE, "Needs Imporovement")</f>
        <v>Top Performer</v>
      </c>
    </row>
    <row r="692" spans="1:17" x14ac:dyDescent="0.3">
      <c r="A692" s="2" t="s">
        <v>1425</v>
      </c>
      <c r="B692" s="2" t="s">
        <v>1426</v>
      </c>
      <c r="C692" s="2" t="s">
        <v>49</v>
      </c>
      <c r="D692" s="2">
        <v>20</v>
      </c>
      <c r="E692" s="2" t="str">
        <f>_xlfn.IFS(Table1[[#This Row],[Age]]&lt;30, "18-29", D692&lt;=45,"30-45", D692&lt;=55, "46-55", TRUE, "55+")</f>
        <v>18-29</v>
      </c>
      <c r="F692" s="2" t="s">
        <v>27</v>
      </c>
      <c r="G692" s="2" t="s">
        <v>28</v>
      </c>
      <c r="H692" s="2" t="s">
        <v>17</v>
      </c>
      <c r="I692" s="5">
        <v>1</v>
      </c>
      <c r="J692" s="5" t="str">
        <f>_xlfn.IFS(Table1[[#This Row],[Experience(Years)]]&lt;5, "Junior", I692&lt;=12, "Mid-Level", I692&lt;=20, "Senior", I692&lt;=30, "Super Senior", TRUE, "Expert")</f>
        <v>Junior</v>
      </c>
      <c r="K692" s="7">
        <v>30</v>
      </c>
      <c r="L692" s="7">
        <f>Table1[[#This Row],[Hourly Rate]]*1000</f>
        <v>30000</v>
      </c>
      <c r="M692" s="7" t="str">
        <f t="shared" si="10"/>
        <v>Budget</v>
      </c>
      <c r="N692" s="2">
        <f>IF(ISNUMBER(#REF!),#REF!, _xlfn.IFS( I692&gt;=30, 5, I692&gt;=25, 4.8, I692&gt;=15, 4, I692&gt;=10, 3.8, I692&gt;=5, 3, I692&gt;=2, 2.5, I692&gt;=0, 1.8, TRUE, 1.3))</f>
        <v>1.8</v>
      </c>
      <c r="O692" s="2" t="s">
        <v>2052</v>
      </c>
      <c r="P692" s="10">
        <v>0.89</v>
      </c>
      <c r="Q692" s="10" t="str">
        <f>_xlfn.IFS(Table1[[#This Row],[Rating]]&gt;=4, "Top Performer", Table1[[#This Row],[Rating]]&gt;=3, "Average", TRUE, "Needs Imporovement")</f>
        <v>Needs Imporovement</v>
      </c>
    </row>
    <row r="693" spans="1:17" x14ac:dyDescent="0.3">
      <c r="A693" s="2" t="s">
        <v>1427</v>
      </c>
      <c r="B693" s="2" t="s">
        <v>1428</v>
      </c>
      <c r="C693" s="2" t="s">
        <v>49</v>
      </c>
      <c r="D693" s="2">
        <v>43</v>
      </c>
      <c r="E693" s="2" t="str">
        <f>_xlfn.IFS(Table1[[#This Row],[Age]]&lt;30, "18-29", D693&lt;=45,"30-45", D693&lt;=55, "46-55", TRUE, "55+")</f>
        <v>30-45</v>
      </c>
      <c r="F693" s="2" t="s">
        <v>92</v>
      </c>
      <c r="G693" s="2" t="s">
        <v>93</v>
      </c>
      <c r="H693" s="2" t="s">
        <v>29</v>
      </c>
      <c r="I693" s="5">
        <v>7</v>
      </c>
      <c r="J693" s="5" t="str">
        <f>_xlfn.IFS(Table1[[#This Row],[Experience(Years)]]&lt;5, "Junior", I693&lt;=12, "Mid-Level", I693&lt;=20, "Senior", I693&lt;=30, "Super Senior", TRUE, "Expert")</f>
        <v>Mid-Level</v>
      </c>
      <c r="K693" s="7">
        <v>50</v>
      </c>
      <c r="L693" s="7">
        <f>Table1[[#This Row],[Hourly Rate]]*1000</f>
        <v>50000</v>
      </c>
      <c r="M693" s="7" t="str">
        <f t="shared" si="10"/>
        <v>Standard</v>
      </c>
      <c r="N693" s="2">
        <f>IF(ISNUMBER(#REF!),#REF!, _xlfn.IFS( I693&gt;=30, 5, I693&gt;=25, 4.8, I693&gt;=15, 4, I693&gt;=10, 3.8, I693&gt;=5, 3, I693&gt;=2, 2.5, I693&gt;=0, 1.8, TRUE, 1.3))</f>
        <v>3</v>
      </c>
      <c r="O693" s="2" t="s">
        <v>2053</v>
      </c>
      <c r="P693" s="10">
        <v>0.8</v>
      </c>
      <c r="Q693" s="10" t="str">
        <f>_xlfn.IFS(Table1[[#This Row],[Rating]]&gt;=4, "Top Performer", Table1[[#This Row],[Rating]]&gt;=3, "Average", TRUE, "Needs Imporovement")</f>
        <v>Average</v>
      </c>
    </row>
    <row r="694" spans="1:17" x14ac:dyDescent="0.3">
      <c r="A694" s="2" t="s">
        <v>1429</v>
      </c>
      <c r="B694" s="2" t="s">
        <v>1385</v>
      </c>
      <c r="C694" s="2" t="s">
        <v>49</v>
      </c>
      <c r="D694" s="2">
        <v>31</v>
      </c>
      <c r="E694" s="2" t="str">
        <f>_xlfn.IFS(Table1[[#This Row],[Age]]&lt;30, "18-29", D694&lt;=45,"30-45", D694&lt;=55, "46-55", TRUE, "55+")</f>
        <v>30-45</v>
      </c>
      <c r="F694" s="2" t="s">
        <v>103</v>
      </c>
      <c r="G694" s="2" t="s">
        <v>104</v>
      </c>
      <c r="H694" s="2" t="s">
        <v>9</v>
      </c>
      <c r="I694" s="5">
        <v>10</v>
      </c>
      <c r="J694" s="5" t="str">
        <f>_xlfn.IFS(Table1[[#This Row],[Experience(Years)]]&lt;5, "Junior", I694&lt;=12, "Mid-Level", I694&lt;=20, "Senior", I694&lt;=30, "Super Senior", TRUE, "Expert")</f>
        <v>Mid-Level</v>
      </c>
      <c r="K694" s="7">
        <v>50</v>
      </c>
      <c r="L694" s="7">
        <f>Table1[[#This Row],[Hourly Rate]]*1000</f>
        <v>50000</v>
      </c>
      <c r="M694" s="7" t="str">
        <f t="shared" si="10"/>
        <v>Standard</v>
      </c>
      <c r="N694" s="2">
        <f>IF(ISNUMBER(#REF!),#REF!, _xlfn.IFS( I694&gt;=30, 5, I694&gt;=25, 4.8, I694&gt;=15, 4, I694&gt;=10, 3.8, I694&gt;=5, 3, I694&gt;=2, 2.5, I694&gt;=0, 1.8, TRUE, 1.3))</f>
        <v>3.8</v>
      </c>
      <c r="O694" s="2" t="s">
        <v>2052</v>
      </c>
      <c r="P694" s="10">
        <v>0.8</v>
      </c>
      <c r="Q694" s="10" t="str">
        <f>_xlfn.IFS(Table1[[#This Row],[Rating]]&gt;=4, "Top Performer", Table1[[#This Row],[Rating]]&gt;=3, "Average", TRUE, "Needs Imporovement")</f>
        <v>Average</v>
      </c>
    </row>
    <row r="695" spans="1:17" x14ac:dyDescent="0.3">
      <c r="A695" s="2" t="s">
        <v>1430</v>
      </c>
      <c r="B695" s="2" t="s">
        <v>1431</v>
      </c>
      <c r="C695" s="2" t="s">
        <v>49</v>
      </c>
      <c r="D695" s="2">
        <v>29</v>
      </c>
      <c r="E695" s="2" t="str">
        <f>_xlfn.IFS(Table1[[#This Row],[Age]]&lt;30, "18-29", D695&lt;=45,"30-45", D695&lt;=55, "46-55", TRUE, "55+")</f>
        <v>18-29</v>
      </c>
      <c r="F695" s="2" t="s">
        <v>12</v>
      </c>
      <c r="G695" s="2" t="s">
        <v>13</v>
      </c>
      <c r="H695" s="2" t="s">
        <v>29</v>
      </c>
      <c r="I695" s="5">
        <v>6</v>
      </c>
      <c r="J695" s="5" t="str">
        <f>_xlfn.IFS(Table1[[#This Row],[Experience(Years)]]&lt;5, "Junior", I695&lt;=12, "Mid-Level", I695&lt;=20, "Senior", I695&lt;=30, "Super Senior", TRUE, "Expert")</f>
        <v>Mid-Level</v>
      </c>
      <c r="K695" s="7">
        <v>100</v>
      </c>
      <c r="L695" s="7">
        <f>Table1[[#This Row],[Hourly Rate]]*1000</f>
        <v>100000</v>
      </c>
      <c r="M695" s="7" t="str">
        <f t="shared" si="10"/>
        <v>Premium</v>
      </c>
      <c r="N695" s="2">
        <f>IF(ISNUMBER(#REF!),#REF!, _xlfn.IFS( I695&gt;=30, 5, I695&gt;=25, 4.8, I695&gt;=15, 4, I695&gt;=10, 3.8, I695&gt;=5, 3, I695&gt;=2, 2.5, I695&gt;=0, 1.8, TRUE, 1.3))</f>
        <v>3</v>
      </c>
      <c r="O695" s="2" t="s">
        <v>2052</v>
      </c>
      <c r="P695" s="10">
        <v>0.6</v>
      </c>
      <c r="Q695" s="10" t="str">
        <f>_xlfn.IFS(Table1[[#This Row],[Rating]]&gt;=4, "Top Performer", Table1[[#This Row],[Rating]]&gt;=3, "Average", TRUE, "Needs Imporovement")</f>
        <v>Average</v>
      </c>
    </row>
    <row r="696" spans="1:17" x14ac:dyDescent="0.3">
      <c r="A696" s="2" t="s">
        <v>1432</v>
      </c>
      <c r="B696" s="2" t="s">
        <v>803</v>
      </c>
      <c r="C696" s="2" t="s">
        <v>49</v>
      </c>
      <c r="D696" s="2">
        <v>53</v>
      </c>
      <c r="E696" s="2" t="str">
        <f>_xlfn.IFS(Table1[[#This Row],[Age]]&lt;30, "18-29", D696&lt;=45,"30-45", D696&lt;=55, "46-55", TRUE, "55+")</f>
        <v>46-55</v>
      </c>
      <c r="F696" s="2" t="s">
        <v>121</v>
      </c>
      <c r="G696" s="2" t="s">
        <v>122</v>
      </c>
      <c r="H696" s="2" t="s">
        <v>14</v>
      </c>
      <c r="I696" s="5">
        <v>35</v>
      </c>
      <c r="J696" s="5" t="str">
        <f>_xlfn.IFS(Table1[[#This Row],[Experience(Years)]]&lt;5, "Junior", I696&lt;=12, "Mid-Level", I696&lt;=20, "Senior", I696&lt;=30, "Super Senior", TRUE, "Expert")</f>
        <v>Expert</v>
      </c>
      <c r="K696" s="7">
        <v>100</v>
      </c>
      <c r="L696" s="7">
        <f>Table1[[#This Row],[Hourly Rate]]*1000</f>
        <v>100000</v>
      </c>
      <c r="M696" s="7" t="str">
        <f t="shared" si="10"/>
        <v>Premium</v>
      </c>
      <c r="N696" s="2">
        <f>IF(ISNUMBER(#REF!),#REF!, _xlfn.IFS( I696&gt;=30, 5, I696&gt;=25, 4.8, I696&gt;=15, 4, I696&gt;=10, 3.8, I696&gt;=5, 3, I696&gt;=2, 2.5, I696&gt;=0, 1.8, TRUE, 1.3))</f>
        <v>5</v>
      </c>
      <c r="O696" s="2" t="s">
        <v>2053</v>
      </c>
      <c r="P696" s="10">
        <v>0.67</v>
      </c>
      <c r="Q696" s="10" t="str">
        <f>_xlfn.IFS(Table1[[#This Row],[Rating]]&gt;=4, "Top Performer", Table1[[#This Row],[Rating]]&gt;=3, "Average", TRUE, "Needs Imporovement")</f>
        <v>Top Performer</v>
      </c>
    </row>
    <row r="697" spans="1:17" x14ac:dyDescent="0.3">
      <c r="A697" s="2" t="s">
        <v>1433</v>
      </c>
      <c r="B697" s="2" t="s">
        <v>1434</v>
      </c>
      <c r="C697" s="2" t="s">
        <v>68</v>
      </c>
      <c r="D697" s="2">
        <v>38</v>
      </c>
      <c r="E697" s="2" t="str">
        <f>_xlfn.IFS(Table1[[#This Row],[Age]]&lt;30, "18-29", D697&lt;=45,"30-45", D697&lt;=55, "46-55", TRUE, "55+")</f>
        <v>30-45</v>
      </c>
      <c r="F697" s="2" t="s">
        <v>64</v>
      </c>
      <c r="G697" s="2" t="s">
        <v>65</v>
      </c>
      <c r="H697" s="2" t="s">
        <v>9</v>
      </c>
      <c r="I697" s="5">
        <v>1</v>
      </c>
      <c r="J697" s="5" t="str">
        <f>_xlfn.IFS(Table1[[#This Row],[Experience(Years)]]&lt;5, "Junior", I697&lt;=12, "Mid-Level", I697&lt;=20, "Senior", I697&lt;=30, "Super Senior", TRUE, "Expert")</f>
        <v>Junior</v>
      </c>
      <c r="K697" s="7">
        <v>40</v>
      </c>
      <c r="L697" s="7">
        <f>Table1[[#This Row],[Hourly Rate]]*1000</f>
        <v>40000</v>
      </c>
      <c r="M697" s="7" t="str">
        <f t="shared" si="10"/>
        <v>Standard</v>
      </c>
      <c r="N697" s="2">
        <f>IF(ISNUMBER(#REF!),#REF!, _xlfn.IFS( I697&gt;=30, 5, I697&gt;=25, 4.8, I697&gt;=15, 4, I697&gt;=10, 3.8, I697&gt;=5, 3, I697&gt;=2, 2.5, I697&gt;=0, 1.8, TRUE, 1.3))</f>
        <v>1.8</v>
      </c>
      <c r="O697" s="2" t="s">
        <v>2052</v>
      </c>
      <c r="P697" s="10">
        <v>0.96</v>
      </c>
      <c r="Q697" s="10" t="str">
        <f>_xlfn.IFS(Table1[[#This Row],[Rating]]&gt;=4, "Top Performer", Table1[[#This Row],[Rating]]&gt;=3, "Average", TRUE, "Needs Imporovement")</f>
        <v>Needs Imporovement</v>
      </c>
    </row>
    <row r="698" spans="1:17" x14ac:dyDescent="0.3">
      <c r="A698" s="2" t="s">
        <v>1435</v>
      </c>
      <c r="B698" s="2" t="s">
        <v>1436</v>
      </c>
      <c r="C698" s="2" t="s">
        <v>68</v>
      </c>
      <c r="D698" s="2">
        <v>29</v>
      </c>
      <c r="E698" s="2" t="str">
        <f>_xlfn.IFS(Table1[[#This Row],[Age]]&lt;30, "18-29", D698&lt;=45,"30-45", D698&lt;=55, "46-55", TRUE, "55+")</f>
        <v>18-29</v>
      </c>
      <c r="F698" s="2" t="s">
        <v>156</v>
      </c>
      <c r="G698" s="2" t="s">
        <v>45</v>
      </c>
      <c r="H698" s="2" t="s">
        <v>14</v>
      </c>
      <c r="I698" s="5">
        <v>5</v>
      </c>
      <c r="J698" s="5" t="str">
        <f>_xlfn.IFS(Table1[[#This Row],[Experience(Years)]]&lt;5, "Junior", I698&lt;=12, "Mid-Level", I698&lt;=20, "Senior", I698&lt;=30, "Super Senior", TRUE, "Expert")</f>
        <v>Mid-Level</v>
      </c>
      <c r="K698" s="7">
        <v>20</v>
      </c>
      <c r="L698" s="7">
        <f>Table1[[#This Row],[Hourly Rate]]*1000</f>
        <v>20000</v>
      </c>
      <c r="M698" s="7" t="str">
        <f t="shared" si="10"/>
        <v>Budget</v>
      </c>
      <c r="N698" s="2">
        <f>IF(ISNUMBER(#REF!),#REF!, _xlfn.IFS( I698&gt;=30, 5, I698&gt;=25, 4.8, I698&gt;=15, 4, I698&gt;=10, 3.8, I698&gt;=5, 3, I698&gt;=2, 2.5, I698&gt;=0, 1.8, TRUE, 1.3))</f>
        <v>3</v>
      </c>
      <c r="O698" s="2" t="s">
        <v>2052</v>
      </c>
      <c r="P698" s="10">
        <v>0.9</v>
      </c>
      <c r="Q698" s="10" t="str">
        <f>_xlfn.IFS(Table1[[#This Row],[Rating]]&gt;=4, "Top Performer", Table1[[#This Row],[Rating]]&gt;=3, "Average", TRUE, "Needs Imporovement")</f>
        <v>Average</v>
      </c>
    </row>
    <row r="699" spans="1:17" x14ac:dyDescent="0.3">
      <c r="A699" s="2" t="s">
        <v>1437</v>
      </c>
      <c r="B699" s="2" t="s">
        <v>1438</v>
      </c>
      <c r="C699" s="2" t="s">
        <v>68</v>
      </c>
      <c r="D699" s="2">
        <v>42</v>
      </c>
      <c r="E699" s="2" t="str">
        <f>_xlfn.IFS(Table1[[#This Row],[Age]]&lt;30, "18-29", D699&lt;=45,"30-45", D699&lt;=55, "46-55", TRUE, "55+")</f>
        <v>30-45</v>
      </c>
      <c r="F699" s="2" t="s">
        <v>81</v>
      </c>
      <c r="G699" s="2" t="s">
        <v>82</v>
      </c>
      <c r="H699" s="2" t="s">
        <v>46</v>
      </c>
      <c r="I699" s="5">
        <v>0</v>
      </c>
      <c r="J699" s="5" t="str">
        <f>_xlfn.IFS(Table1[[#This Row],[Experience(Years)]]&lt;5, "Junior", I699&lt;=12, "Mid-Level", I699&lt;=20, "Senior", I699&lt;=30, "Super Senior", TRUE, "Expert")</f>
        <v>Junior</v>
      </c>
      <c r="K699" s="7">
        <v>60</v>
      </c>
      <c r="L699" s="7">
        <f>Table1[[#This Row],[Hourly Rate]]*1000</f>
        <v>60000</v>
      </c>
      <c r="M699" s="7" t="str">
        <f t="shared" si="10"/>
        <v>Standard</v>
      </c>
      <c r="N699" s="2">
        <f>IF(ISNUMBER(#REF!),#REF!, _xlfn.IFS( I699&gt;=30, 5, I699&gt;=25, 4.8, I699&gt;=15, 4, I699&gt;=10, 3.8, I699&gt;=5, 3, I699&gt;=2, 2.5, I699&gt;=0, 1.8, TRUE, 1.3))</f>
        <v>1.8</v>
      </c>
      <c r="O699" s="2" t="s">
        <v>2052</v>
      </c>
      <c r="P699" s="10">
        <v>0.62</v>
      </c>
      <c r="Q699" s="10" t="str">
        <f>_xlfn.IFS(Table1[[#This Row],[Rating]]&gt;=4, "Top Performer", Table1[[#This Row],[Rating]]&gt;=3, "Average", TRUE, "Needs Imporovement")</f>
        <v>Needs Imporovement</v>
      </c>
    </row>
    <row r="700" spans="1:17" x14ac:dyDescent="0.3">
      <c r="A700" s="2" t="s">
        <v>1439</v>
      </c>
      <c r="B700" s="2" t="s">
        <v>1440</v>
      </c>
      <c r="C700" s="2" t="s">
        <v>49</v>
      </c>
      <c r="D700" s="2">
        <v>54</v>
      </c>
      <c r="E700" s="2" t="str">
        <f>_xlfn.IFS(Table1[[#This Row],[Age]]&lt;30, "18-29", D700&lt;=45,"30-45", D700&lt;=55, "46-55", TRUE, "55+")</f>
        <v>46-55</v>
      </c>
      <c r="F700" s="2" t="s">
        <v>34</v>
      </c>
      <c r="G700" s="2" t="s">
        <v>8</v>
      </c>
      <c r="H700" s="2" t="s">
        <v>83</v>
      </c>
      <c r="I700" s="5">
        <v>9</v>
      </c>
      <c r="J700" s="5" t="str">
        <f>_xlfn.IFS(Table1[[#This Row],[Experience(Years)]]&lt;5, "Junior", I700&lt;=12, "Mid-Level", I700&lt;=20, "Senior", I700&lt;=30, "Super Senior", TRUE, "Expert")</f>
        <v>Mid-Level</v>
      </c>
      <c r="K700" s="7">
        <v>100</v>
      </c>
      <c r="L700" s="7">
        <f>Table1[[#This Row],[Hourly Rate]]*1000</f>
        <v>100000</v>
      </c>
      <c r="M700" s="7" t="str">
        <f t="shared" si="10"/>
        <v>Premium</v>
      </c>
      <c r="N700" s="2">
        <f>IF(ISNUMBER(#REF!),#REF!, _xlfn.IFS( I700&gt;=30, 5, I700&gt;=25, 4.8, I700&gt;=15, 4, I700&gt;=10, 3.8, I700&gt;=5, 3, I700&gt;=2, 2.5, I700&gt;=0, 1.8, TRUE, 1.3))</f>
        <v>3</v>
      </c>
      <c r="O700" s="2" t="s">
        <v>2052</v>
      </c>
      <c r="P700" s="10">
        <v>0.72</v>
      </c>
      <c r="Q700" s="10" t="str">
        <f>_xlfn.IFS(Table1[[#This Row],[Rating]]&gt;=4, "Top Performer", Table1[[#This Row],[Rating]]&gt;=3, "Average", TRUE, "Needs Imporovement")</f>
        <v>Average</v>
      </c>
    </row>
    <row r="701" spans="1:17" x14ac:dyDescent="0.3">
      <c r="A701" s="2" t="s">
        <v>1441</v>
      </c>
      <c r="B701" s="2" t="s">
        <v>1442</v>
      </c>
      <c r="C701" s="2" t="s">
        <v>68</v>
      </c>
      <c r="D701" s="2">
        <v>56</v>
      </c>
      <c r="E701" s="2" t="str">
        <f>_xlfn.IFS(Table1[[#This Row],[Age]]&lt;30, "18-29", D701&lt;=45,"30-45", D701&lt;=55, "46-55", TRUE, "55+")</f>
        <v>55+</v>
      </c>
      <c r="F701" s="2" t="s">
        <v>141</v>
      </c>
      <c r="G701" s="2" t="s">
        <v>142</v>
      </c>
      <c r="H701" s="2" t="s">
        <v>46</v>
      </c>
      <c r="I701" s="5">
        <v>18</v>
      </c>
      <c r="J701" s="5" t="str">
        <f>_xlfn.IFS(Table1[[#This Row],[Experience(Years)]]&lt;5, "Junior", I701&lt;=12, "Mid-Level", I701&lt;=20, "Senior", I701&lt;=30, "Super Senior", TRUE, "Expert")</f>
        <v>Senior</v>
      </c>
      <c r="K701" s="7">
        <v>50</v>
      </c>
      <c r="L701" s="7">
        <f>Table1[[#This Row],[Hourly Rate]]*1000</f>
        <v>50000</v>
      </c>
      <c r="M701" s="7" t="str">
        <f t="shared" si="10"/>
        <v>Standard</v>
      </c>
      <c r="N701" s="2">
        <f>IF(ISNUMBER(#REF!),#REF!, _xlfn.IFS( I701&gt;=30, 5, I701&gt;=25, 4.8, I701&gt;=15, 4, I701&gt;=10, 3.8, I701&gt;=5, 3, I701&gt;=2, 2.5, I701&gt;=0, 1.8, TRUE, 1.3))</f>
        <v>4</v>
      </c>
      <c r="O701" s="2" t="s">
        <v>2053</v>
      </c>
      <c r="P701" s="10">
        <v>0.83</v>
      </c>
      <c r="Q701" s="10" t="str">
        <f>_xlfn.IFS(Table1[[#This Row],[Rating]]&gt;=4, "Top Performer", Table1[[#This Row],[Rating]]&gt;=3, "Average", TRUE, "Needs Imporovement")</f>
        <v>Top Performer</v>
      </c>
    </row>
    <row r="702" spans="1:17" x14ac:dyDescent="0.3">
      <c r="A702" s="2" t="s">
        <v>1443</v>
      </c>
      <c r="B702" s="2" t="s">
        <v>1444</v>
      </c>
      <c r="C702" s="2" t="s">
        <v>49</v>
      </c>
      <c r="D702" s="2">
        <v>47</v>
      </c>
      <c r="E702" s="2" t="str">
        <f>_xlfn.IFS(Table1[[#This Row],[Age]]&lt;30, "18-29", D702&lt;=45,"30-45", D702&lt;=55, "46-55", TRUE, "55+")</f>
        <v>46-55</v>
      </c>
      <c r="F702" s="2" t="s">
        <v>37</v>
      </c>
      <c r="G702" s="2" t="s">
        <v>38</v>
      </c>
      <c r="H702" s="2" t="s">
        <v>14</v>
      </c>
      <c r="I702" s="5">
        <v>22</v>
      </c>
      <c r="J702" s="5" t="str">
        <f>_xlfn.IFS(Table1[[#This Row],[Experience(Years)]]&lt;5, "Junior", I702&lt;=12, "Mid-Level", I702&lt;=20, "Senior", I702&lt;=30, "Super Senior", TRUE, "Expert")</f>
        <v>Super Senior</v>
      </c>
      <c r="K702" s="7">
        <v>100</v>
      </c>
      <c r="L702" s="7">
        <f>Table1[[#This Row],[Hourly Rate]]*1000</f>
        <v>100000</v>
      </c>
      <c r="M702" s="7" t="str">
        <f t="shared" si="10"/>
        <v>Premium</v>
      </c>
      <c r="N702" s="2">
        <f>IF(ISNUMBER(#REF!),#REF!, _xlfn.IFS( I702&gt;=30, 5, I702&gt;=25, 4.8, I702&gt;=15, 4, I702&gt;=10, 3.8, I702&gt;=5, 3, I702&gt;=2, 2.5, I702&gt;=0, 1.8, TRUE, 1.3))</f>
        <v>4</v>
      </c>
      <c r="O702" s="2" t="s">
        <v>2052</v>
      </c>
      <c r="P702" s="10">
        <v>0.7</v>
      </c>
      <c r="Q702" s="10" t="str">
        <f>_xlfn.IFS(Table1[[#This Row],[Rating]]&gt;=4, "Top Performer", Table1[[#This Row],[Rating]]&gt;=3, "Average", TRUE, "Needs Imporovement")</f>
        <v>Top Performer</v>
      </c>
    </row>
    <row r="703" spans="1:17" x14ac:dyDescent="0.3">
      <c r="A703" s="2" t="s">
        <v>1445</v>
      </c>
      <c r="B703" s="2" t="s">
        <v>1446</v>
      </c>
      <c r="C703" s="2" t="s">
        <v>68</v>
      </c>
      <c r="D703" s="2">
        <v>45</v>
      </c>
      <c r="E703" s="2" t="str">
        <f>_xlfn.IFS(Table1[[#This Row],[Age]]&lt;30, "18-29", D703&lt;=45,"30-45", D703&lt;=55, "46-55", TRUE, "55+")</f>
        <v>30-45</v>
      </c>
      <c r="F703" s="2" t="s">
        <v>92</v>
      </c>
      <c r="G703" s="2" t="s">
        <v>93</v>
      </c>
      <c r="H703" s="2" t="s">
        <v>4</v>
      </c>
      <c r="I703" s="5">
        <v>25</v>
      </c>
      <c r="J703" s="5" t="str">
        <f>_xlfn.IFS(Table1[[#This Row],[Experience(Years)]]&lt;5, "Junior", I703&lt;=12, "Mid-Level", I703&lt;=20, "Senior", I703&lt;=30, "Super Senior", TRUE, "Expert")</f>
        <v>Super Senior</v>
      </c>
      <c r="K703" s="7">
        <v>50</v>
      </c>
      <c r="L703" s="7">
        <f>Table1[[#This Row],[Hourly Rate]]*1000</f>
        <v>50000</v>
      </c>
      <c r="M703" s="7" t="str">
        <f t="shared" si="10"/>
        <v>Standard</v>
      </c>
      <c r="N703" s="2">
        <f>IF(ISNUMBER(#REF!),#REF!, _xlfn.IFS( I703&gt;=30, 5, I703&gt;=25, 4.8, I703&gt;=15, 4, I703&gt;=10, 3.8, I703&gt;=5, 3, I703&gt;=2, 2.5, I703&gt;=0, 1.8, TRUE, 1.3))</f>
        <v>4.8</v>
      </c>
      <c r="O703" s="2" t="s">
        <v>2052</v>
      </c>
      <c r="P703" s="10">
        <v>0.99</v>
      </c>
      <c r="Q703" s="10" t="str">
        <f>_xlfn.IFS(Table1[[#This Row],[Rating]]&gt;=4, "Top Performer", Table1[[#This Row],[Rating]]&gt;=3, "Average", TRUE, "Needs Imporovement")</f>
        <v>Top Performer</v>
      </c>
    </row>
    <row r="704" spans="1:17" x14ac:dyDescent="0.3">
      <c r="A704" s="2" t="s">
        <v>1447</v>
      </c>
      <c r="B704" s="2" t="s">
        <v>1448</v>
      </c>
      <c r="C704" s="2" t="s">
        <v>68</v>
      </c>
      <c r="D704" s="2">
        <v>45</v>
      </c>
      <c r="E704" s="2" t="str">
        <f>_xlfn.IFS(Table1[[#This Row],[Age]]&lt;30, "18-29", D704&lt;=45,"30-45", D704&lt;=55, "46-55", TRUE, "55+")</f>
        <v>30-45</v>
      </c>
      <c r="F704" s="2" t="s">
        <v>141</v>
      </c>
      <c r="G704" s="2" t="s">
        <v>142</v>
      </c>
      <c r="H704" s="2" t="s">
        <v>29</v>
      </c>
      <c r="I704" s="5">
        <v>6</v>
      </c>
      <c r="J704" s="5" t="str">
        <f>_xlfn.IFS(Table1[[#This Row],[Experience(Years)]]&lt;5, "Junior", I704&lt;=12, "Mid-Level", I704&lt;=20, "Senior", I704&lt;=30, "Super Senior", TRUE, "Expert")</f>
        <v>Mid-Level</v>
      </c>
      <c r="K704" s="7">
        <v>50</v>
      </c>
      <c r="L704" s="7">
        <f>Table1[[#This Row],[Hourly Rate]]*1000</f>
        <v>50000</v>
      </c>
      <c r="M704" s="7" t="str">
        <f t="shared" si="10"/>
        <v>Standard</v>
      </c>
      <c r="N704" s="2">
        <f>IF(ISNUMBER(#REF!),#REF!, _xlfn.IFS( I704&gt;=30, 5, I704&gt;=25, 4.8, I704&gt;=15, 4, I704&gt;=10, 3.8, I704&gt;=5, 3, I704&gt;=2, 2.5, I704&gt;=0, 1.8, TRUE, 1.3))</f>
        <v>3</v>
      </c>
      <c r="O704" s="2" t="str">
        <f>IF(AND( Table1[[#This Row],[Rating]]&gt;=3.5, Table1[[#This Row],[Experience(Years)]]&gt;=15), "Active", "Inactive")</f>
        <v>Inactive</v>
      </c>
      <c r="P704" s="10">
        <v>0.97</v>
      </c>
      <c r="Q704" s="10" t="str">
        <f>_xlfn.IFS(Table1[[#This Row],[Rating]]&gt;=4, "Top Performer", Table1[[#This Row],[Rating]]&gt;=3, "Average", TRUE, "Needs Imporovement")</f>
        <v>Average</v>
      </c>
    </row>
    <row r="705" spans="1:17" x14ac:dyDescent="0.3">
      <c r="A705" s="2" t="s">
        <v>1449</v>
      </c>
      <c r="B705" s="2" t="s">
        <v>1450</v>
      </c>
      <c r="C705" s="2" t="s">
        <v>68</v>
      </c>
      <c r="D705" s="2">
        <v>35</v>
      </c>
      <c r="E705" s="2" t="str">
        <f>_xlfn.IFS(Table1[[#This Row],[Age]]&lt;30, "18-29", D705&lt;=45,"30-45", D705&lt;=55, "46-55", TRUE, "55+")</f>
        <v>30-45</v>
      </c>
      <c r="F705" s="2" t="s">
        <v>96</v>
      </c>
      <c r="G705" s="2" t="s">
        <v>8</v>
      </c>
      <c r="H705" s="2" t="s">
        <v>83</v>
      </c>
      <c r="I705" s="5">
        <v>10</v>
      </c>
      <c r="J705" s="5" t="str">
        <f>_xlfn.IFS(Table1[[#This Row],[Experience(Years)]]&lt;5, "Junior", I705&lt;=12, "Mid-Level", I705&lt;=20, "Senior", I705&lt;=30, "Super Senior", TRUE, "Expert")</f>
        <v>Mid-Level</v>
      </c>
      <c r="K705" s="7">
        <v>20</v>
      </c>
      <c r="L705" s="7">
        <f>Table1[[#This Row],[Hourly Rate]]*1000</f>
        <v>20000</v>
      </c>
      <c r="M705" s="7" t="str">
        <f t="shared" si="10"/>
        <v>Budget</v>
      </c>
      <c r="N705" s="2">
        <f>IF(ISNUMBER(#REF!),#REF!, _xlfn.IFS( I705&gt;=30, 5, I705&gt;=25, 4.8, I705&gt;=15, 4, I705&gt;=10, 3.8, I705&gt;=5, 3, I705&gt;=2, 2.5, I705&gt;=0, 1.8, TRUE, 1.3))</f>
        <v>3.8</v>
      </c>
      <c r="O705" s="2" t="s">
        <v>2053</v>
      </c>
      <c r="P705" s="10">
        <v>0.77</v>
      </c>
      <c r="Q705" s="10" t="str">
        <f>_xlfn.IFS(Table1[[#This Row],[Rating]]&gt;=4, "Top Performer", Table1[[#This Row],[Rating]]&gt;=3, "Average", TRUE, "Needs Imporovement")</f>
        <v>Average</v>
      </c>
    </row>
    <row r="706" spans="1:17" x14ac:dyDescent="0.3">
      <c r="A706" s="2" t="s">
        <v>1451</v>
      </c>
      <c r="B706" s="2" t="s">
        <v>1452</v>
      </c>
      <c r="C706" s="2" t="s">
        <v>68</v>
      </c>
      <c r="D706" s="2">
        <v>51</v>
      </c>
      <c r="E706" s="2" t="str">
        <f>_xlfn.IFS(Table1[[#This Row],[Age]]&lt;30, "18-29", D706&lt;=45,"30-45", D706&lt;=55, "46-55", TRUE, "55+")</f>
        <v>46-55</v>
      </c>
      <c r="F706" s="2" t="s">
        <v>96</v>
      </c>
      <c r="G706" s="2" t="s">
        <v>8</v>
      </c>
      <c r="H706" s="2" t="s">
        <v>61</v>
      </c>
      <c r="I706" s="5">
        <v>4</v>
      </c>
      <c r="J706" s="5" t="str">
        <f>_xlfn.IFS(Table1[[#This Row],[Experience(Years)]]&lt;5, "Junior", I706&lt;=12, "Mid-Level", I706&lt;=20, "Senior", I706&lt;=30, "Super Senior", TRUE, "Expert")</f>
        <v>Junior</v>
      </c>
      <c r="K706" s="7">
        <v>50</v>
      </c>
      <c r="L706" s="7">
        <f>Table1[[#This Row],[Hourly Rate]]*1000</f>
        <v>50000</v>
      </c>
      <c r="M706" s="7" t="str">
        <f t="shared" ref="M706:M769" si="11">_xlfn.IFS(K706&lt;40, "Budget", K706&lt;=80, "Standard", TRUE, "Premium")</f>
        <v>Standard</v>
      </c>
      <c r="N706" s="2">
        <f>IF(ISNUMBER(#REF!),#REF!, _xlfn.IFS( I706&gt;=30, 5, I706&gt;=25, 4.8, I706&gt;=15, 4, I706&gt;=10, 3.8, I706&gt;=5, 3, I706&gt;=2, 2.5, I706&gt;=0, 1.8, TRUE, 1.3))</f>
        <v>2.5</v>
      </c>
      <c r="O706" s="2" t="s">
        <v>2052</v>
      </c>
      <c r="P706" s="10">
        <v>0.92</v>
      </c>
      <c r="Q706" s="10" t="str">
        <f>_xlfn.IFS(Table1[[#This Row],[Rating]]&gt;=4, "Top Performer", Table1[[#This Row],[Rating]]&gt;=3, "Average", TRUE, "Needs Imporovement")</f>
        <v>Needs Imporovement</v>
      </c>
    </row>
    <row r="707" spans="1:17" x14ac:dyDescent="0.3">
      <c r="A707" s="2" t="s">
        <v>1453</v>
      </c>
      <c r="B707" s="2" t="s">
        <v>1454</v>
      </c>
      <c r="C707" s="2" t="s">
        <v>49</v>
      </c>
      <c r="D707" s="2">
        <v>34</v>
      </c>
      <c r="E707" s="2" t="str">
        <f>_xlfn.IFS(Table1[[#This Row],[Age]]&lt;30, "18-29", D707&lt;=45,"30-45", D707&lt;=55, "46-55", TRUE, "55+")</f>
        <v>30-45</v>
      </c>
      <c r="F707" s="2" t="s">
        <v>156</v>
      </c>
      <c r="G707" s="2" t="s">
        <v>45</v>
      </c>
      <c r="H707" s="2" t="s">
        <v>9</v>
      </c>
      <c r="I707" s="5">
        <v>11</v>
      </c>
      <c r="J707" s="5" t="str">
        <f>_xlfn.IFS(Table1[[#This Row],[Experience(Years)]]&lt;5, "Junior", I707&lt;=12, "Mid-Level", I707&lt;=20, "Senior", I707&lt;=30, "Super Senior", TRUE, "Expert")</f>
        <v>Mid-Level</v>
      </c>
      <c r="K707" s="7">
        <v>50</v>
      </c>
      <c r="L707" s="7">
        <f>Table1[[#This Row],[Hourly Rate]]*1000</f>
        <v>50000</v>
      </c>
      <c r="M707" s="7" t="str">
        <f t="shared" si="11"/>
        <v>Standard</v>
      </c>
      <c r="N707" s="2">
        <f>IF(ISNUMBER(#REF!),#REF!, _xlfn.IFS( I707&gt;=30, 5, I707&gt;=25, 4.8, I707&gt;=15, 4, I707&gt;=10, 3.8, I707&gt;=5, 3, I707&gt;=2, 2.5, I707&gt;=0, 1.8, TRUE, 1.3))</f>
        <v>3.8</v>
      </c>
      <c r="O707" s="2" t="s">
        <v>2053</v>
      </c>
      <c r="P707" s="10">
        <v>0.76</v>
      </c>
      <c r="Q707" s="10" t="str">
        <f>_xlfn.IFS(Table1[[#This Row],[Rating]]&gt;=4, "Top Performer", Table1[[#This Row],[Rating]]&gt;=3, "Average", TRUE, "Needs Imporovement")</f>
        <v>Average</v>
      </c>
    </row>
    <row r="708" spans="1:17" x14ac:dyDescent="0.3">
      <c r="A708" s="2" t="s">
        <v>1455</v>
      </c>
      <c r="B708" s="2" t="s">
        <v>1456</v>
      </c>
      <c r="C708" s="2" t="s">
        <v>49</v>
      </c>
      <c r="D708" s="2">
        <v>51</v>
      </c>
      <c r="E708" s="2" t="str">
        <f>_xlfn.IFS(Table1[[#This Row],[Age]]&lt;30, "18-29", D708&lt;=45,"30-45", D708&lt;=55, "46-55", TRUE, "55+")</f>
        <v>46-55</v>
      </c>
      <c r="F708" s="2" t="s">
        <v>27</v>
      </c>
      <c r="G708" s="2" t="s">
        <v>28</v>
      </c>
      <c r="H708" s="2" t="s">
        <v>14</v>
      </c>
      <c r="I708" s="5">
        <v>1</v>
      </c>
      <c r="J708" s="5" t="str">
        <f>_xlfn.IFS(Table1[[#This Row],[Experience(Years)]]&lt;5, "Junior", I708&lt;=12, "Mid-Level", I708&lt;=20, "Senior", I708&lt;=30, "Super Senior", TRUE, "Expert")</f>
        <v>Junior</v>
      </c>
      <c r="K708" s="7">
        <v>50</v>
      </c>
      <c r="L708" s="7">
        <f>Table1[[#This Row],[Hourly Rate]]*1000</f>
        <v>50000</v>
      </c>
      <c r="M708" s="7" t="str">
        <f t="shared" si="11"/>
        <v>Standard</v>
      </c>
      <c r="N708" s="2">
        <f>IF(ISNUMBER(#REF!),#REF!, _xlfn.IFS( I708&gt;=30, 5, I708&gt;=25, 4.8, I708&gt;=15, 4, I708&gt;=10, 3.8, I708&gt;=5, 3, I708&gt;=2, 2.5, I708&gt;=0, 1.8, TRUE, 1.3))</f>
        <v>1.8</v>
      </c>
      <c r="O708" s="2" t="s">
        <v>2053</v>
      </c>
      <c r="P708" s="10">
        <v>0.97</v>
      </c>
      <c r="Q708" s="10" t="str">
        <f>_xlfn.IFS(Table1[[#This Row],[Rating]]&gt;=4, "Top Performer", Table1[[#This Row],[Rating]]&gt;=3, "Average", TRUE, "Needs Imporovement")</f>
        <v>Needs Imporovement</v>
      </c>
    </row>
    <row r="709" spans="1:17" x14ac:dyDescent="0.3">
      <c r="A709" s="2" t="s">
        <v>1457</v>
      </c>
      <c r="B709" s="2" t="s">
        <v>1458</v>
      </c>
      <c r="C709" s="2" t="s">
        <v>68</v>
      </c>
      <c r="D709" s="2">
        <v>58</v>
      </c>
      <c r="E709" s="2" t="str">
        <f>_xlfn.IFS(Table1[[#This Row],[Age]]&lt;30, "18-29", D709&lt;=45,"30-45", D709&lt;=55, "46-55", TRUE, "55+")</f>
        <v>55+</v>
      </c>
      <c r="F709" s="2" t="s">
        <v>107</v>
      </c>
      <c r="G709" s="2" t="s">
        <v>108</v>
      </c>
      <c r="H709" s="2" t="s">
        <v>14</v>
      </c>
      <c r="I709" s="5">
        <v>35</v>
      </c>
      <c r="J709" s="5" t="str">
        <f>_xlfn.IFS(Table1[[#This Row],[Experience(Years)]]&lt;5, "Junior", I709&lt;=12, "Mid-Level", I709&lt;=20, "Senior", I709&lt;=30, "Super Senior", TRUE, "Expert")</f>
        <v>Expert</v>
      </c>
      <c r="K709" s="7">
        <v>100</v>
      </c>
      <c r="L709" s="7">
        <f>Table1[[#This Row],[Hourly Rate]]*1000</f>
        <v>100000</v>
      </c>
      <c r="M709" s="7" t="str">
        <f t="shared" si="11"/>
        <v>Premium</v>
      </c>
      <c r="N709" s="2">
        <f>IF(ISNUMBER(#REF!),#REF!, _xlfn.IFS( I709&gt;=30, 5, I709&gt;=25, 4.8, I709&gt;=15, 4, I709&gt;=10, 3.8, I709&gt;=5, 3, I709&gt;=2, 2.5, I709&gt;=0, 1.8, TRUE, 1.3))</f>
        <v>5</v>
      </c>
      <c r="O709" s="2" t="s">
        <v>2053</v>
      </c>
      <c r="P709" s="10">
        <v>1</v>
      </c>
      <c r="Q709" s="10" t="str">
        <f>_xlfn.IFS(Table1[[#This Row],[Rating]]&gt;=4, "Top Performer", Table1[[#This Row],[Rating]]&gt;=3, "Average", TRUE, "Needs Imporovement")</f>
        <v>Top Performer</v>
      </c>
    </row>
    <row r="710" spans="1:17" x14ac:dyDescent="0.3">
      <c r="A710" s="2" t="s">
        <v>1459</v>
      </c>
      <c r="B710" s="2" t="s">
        <v>1460</v>
      </c>
      <c r="C710" s="2" t="s">
        <v>49</v>
      </c>
      <c r="D710" s="2">
        <v>36</v>
      </c>
      <c r="E710" s="2" t="str">
        <f>_xlfn.IFS(Table1[[#This Row],[Age]]&lt;30, "18-29", D710&lt;=45,"30-45", D710&lt;=55, "46-55", TRUE, "55+")</f>
        <v>30-45</v>
      </c>
      <c r="F710" s="2" t="s">
        <v>22</v>
      </c>
      <c r="G710" s="2" t="s">
        <v>23</v>
      </c>
      <c r="H710" s="2" t="s">
        <v>17</v>
      </c>
      <c r="I710" s="5">
        <v>17</v>
      </c>
      <c r="J710" s="5" t="str">
        <f>_xlfn.IFS(Table1[[#This Row],[Experience(Years)]]&lt;5, "Junior", I710&lt;=12, "Mid-Level", I710&lt;=20, "Senior", I710&lt;=30, "Super Senior", TRUE, "Expert")</f>
        <v>Senior</v>
      </c>
      <c r="K710" s="7">
        <v>20</v>
      </c>
      <c r="L710" s="7">
        <f>Table1[[#This Row],[Hourly Rate]]*1000</f>
        <v>20000</v>
      </c>
      <c r="M710" s="7" t="str">
        <f t="shared" si="11"/>
        <v>Budget</v>
      </c>
      <c r="N710" s="2">
        <f>IF(ISNUMBER(#REF!),#REF!, _xlfn.IFS( I710&gt;=30, 5, I710&gt;=25, 4.8, I710&gt;=15, 4, I710&gt;=10, 3.8, I710&gt;=5, 3, I710&gt;=2, 2.5, I710&gt;=0, 1.8, TRUE, 1.3))</f>
        <v>4</v>
      </c>
      <c r="O710" s="2" t="s">
        <v>2053</v>
      </c>
      <c r="P710" s="10">
        <v>0.99</v>
      </c>
      <c r="Q710" s="10" t="str">
        <f>_xlfn.IFS(Table1[[#This Row],[Rating]]&gt;=4, "Top Performer", Table1[[#This Row],[Rating]]&gt;=3, "Average", TRUE, "Needs Imporovement")</f>
        <v>Top Performer</v>
      </c>
    </row>
    <row r="711" spans="1:17" x14ac:dyDescent="0.3">
      <c r="A711" s="2" t="s">
        <v>1461</v>
      </c>
      <c r="B711" s="2" t="s">
        <v>1462</v>
      </c>
      <c r="C711" s="2" t="s">
        <v>68</v>
      </c>
      <c r="D711" s="2">
        <v>34</v>
      </c>
      <c r="E711" s="2" t="str">
        <f>_xlfn.IFS(Table1[[#This Row],[Age]]&lt;30, "18-29", D711&lt;=45,"30-45", D711&lt;=55, "46-55", TRUE, "55+")</f>
        <v>30-45</v>
      </c>
      <c r="F711" s="2" t="s">
        <v>92</v>
      </c>
      <c r="G711" s="2" t="s">
        <v>93</v>
      </c>
      <c r="H711" s="2" t="s">
        <v>24</v>
      </c>
      <c r="I711" s="5">
        <v>12</v>
      </c>
      <c r="J711" s="5" t="str">
        <f>_xlfn.IFS(Table1[[#This Row],[Experience(Years)]]&lt;5, "Junior", I711&lt;=12, "Mid-Level", I711&lt;=20, "Senior", I711&lt;=30, "Super Senior", TRUE, "Expert")</f>
        <v>Mid-Level</v>
      </c>
      <c r="K711" s="7">
        <v>30</v>
      </c>
      <c r="L711" s="7">
        <f>Table1[[#This Row],[Hourly Rate]]*1000</f>
        <v>30000</v>
      </c>
      <c r="M711" s="7" t="str">
        <f t="shared" si="11"/>
        <v>Budget</v>
      </c>
      <c r="N711" s="2">
        <f>IF(ISNUMBER(#REF!),#REF!, _xlfn.IFS( I711&gt;=30, 5, I711&gt;=25, 4.8, I711&gt;=15, 4, I711&gt;=10, 3.8, I711&gt;=5, 3, I711&gt;=2, 2.5, I711&gt;=0, 1.8, TRUE, 1.3))</f>
        <v>3.8</v>
      </c>
      <c r="O711" s="2" t="s">
        <v>2053</v>
      </c>
      <c r="P711" s="10">
        <v>0.75</v>
      </c>
      <c r="Q711" s="10" t="str">
        <f>_xlfn.IFS(Table1[[#This Row],[Rating]]&gt;=4, "Top Performer", Table1[[#This Row],[Rating]]&gt;=3, "Average", TRUE, "Needs Imporovement")</f>
        <v>Average</v>
      </c>
    </row>
    <row r="712" spans="1:17" x14ac:dyDescent="0.3">
      <c r="A712" s="2" t="s">
        <v>1463</v>
      </c>
      <c r="B712" s="2" t="s">
        <v>1464</v>
      </c>
      <c r="C712" s="2" t="s">
        <v>68</v>
      </c>
      <c r="D712" s="2">
        <v>56</v>
      </c>
      <c r="E712" s="2" t="str">
        <f>_xlfn.IFS(Table1[[#This Row],[Age]]&lt;30, "18-29", D712&lt;=45,"30-45", D712&lt;=55, "46-55", TRUE, "55+")</f>
        <v>55+</v>
      </c>
      <c r="F712" s="2" t="s">
        <v>121</v>
      </c>
      <c r="G712" s="2" t="s">
        <v>122</v>
      </c>
      <c r="H712" s="2" t="s">
        <v>83</v>
      </c>
      <c r="I712" s="5">
        <v>30</v>
      </c>
      <c r="J712" s="5" t="str">
        <f>_xlfn.IFS(Table1[[#This Row],[Experience(Years)]]&lt;5, "Junior", I712&lt;=12, "Mid-Level", I712&lt;=20, "Senior", I712&lt;=30, "Super Senior", TRUE, "Expert")</f>
        <v>Super Senior</v>
      </c>
      <c r="K712" s="7">
        <v>40</v>
      </c>
      <c r="L712" s="7">
        <f>Table1[[#This Row],[Hourly Rate]]*1000</f>
        <v>40000</v>
      </c>
      <c r="M712" s="7" t="str">
        <f t="shared" si="11"/>
        <v>Standard</v>
      </c>
      <c r="N712" s="2">
        <f>IF(ISNUMBER(#REF!),#REF!, _xlfn.IFS( I712&gt;=30, 5, I712&gt;=25, 4.8, I712&gt;=15, 4, I712&gt;=10, 3.8, I712&gt;=5, 3, I712&gt;=2, 2.5, I712&gt;=0, 1.8, TRUE, 1.3))</f>
        <v>5</v>
      </c>
      <c r="O712" s="2" t="s">
        <v>2053</v>
      </c>
      <c r="P712" s="10">
        <v>0.82</v>
      </c>
      <c r="Q712" s="10" t="str">
        <f>_xlfn.IFS(Table1[[#This Row],[Rating]]&gt;=4, "Top Performer", Table1[[#This Row],[Rating]]&gt;=3, "Average", TRUE, "Needs Imporovement")</f>
        <v>Top Performer</v>
      </c>
    </row>
    <row r="713" spans="1:17" x14ac:dyDescent="0.3">
      <c r="A713" s="2" t="s">
        <v>1465</v>
      </c>
      <c r="B713" s="2" t="s">
        <v>1466</v>
      </c>
      <c r="C713" s="2" t="s">
        <v>49</v>
      </c>
      <c r="D713" s="2">
        <v>58</v>
      </c>
      <c r="E713" s="2" t="str">
        <f>_xlfn.IFS(Table1[[#This Row],[Age]]&lt;30, "18-29", D713&lt;=45,"30-45", D713&lt;=55, "46-55", TRUE, "55+")</f>
        <v>55+</v>
      </c>
      <c r="F713" s="2" t="s">
        <v>96</v>
      </c>
      <c r="G713" s="2" t="s">
        <v>8</v>
      </c>
      <c r="H713" s="2" t="s">
        <v>50</v>
      </c>
      <c r="I713" s="5">
        <v>20</v>
      </c>
      <c r="J713" s="5" t="str">
        <f>_xlfn.IFS(Table1[[#This Row],[Experience(Years)]]&lt;5, "Junior", I713&lt;=12, "Mid-Level", I713&lt;=20, "Senior", I713&lt;=30, "Super Senior", TRUE, "Expert")</f>
        <v>Senior</v>
      </c>
      <c r="K713" s="7">
        <v>75</v>
      </c>
      <c r="L713" s="7">
        <f>Table1[[#This Row],[Hourly Rate]]*1000</f>
        <v>75000</v>
      </c>
      <c r="M713" s="7" t="str">
        <f t="shared" si="11"/>
        <v>Standard</v>
      </c>
      <c r="N713" s="2">
        <f>IF(ISNUMBER(#REF!),#REF!, _xlfn.IFS( I713&gt;=30, 5, I713&gt;=25, 4.8, I713&gt;=15, 4, I713&gt;=10, 3.8, I713&gt;=5, 3, I713&gt;=2, 2.5, I713&gt;=0, 1.8, TRUE, 1.3))</f>
        <v>4</v>
      </c>
      <c r="O713" s="2" t="s">
        <v>2053</v>
      </c>
      <c r="P713" s="10">
        <v>0.78</v>
      </c>
      <c r="Q713" s="10" t="str">
        <f>_xlfn.IFS(Table1[[#This Row],[Rating]]&gt;=4, "Top Performer", Table1[[#This Row],[Rating]]&gt;=3, "Average", TRUE, "Needs Imporovement")</f>
        <v>Top Performer</v>
      </c>
    </row>
    <row r="714" spans="1:17" x14ac:dyDescent="0.3">
      <c r="A714" s="2" t="s">
        <v>1467</v>
      </c>
      <c r="B714" s="2" t="s">
        <v>1468</v>
      </c>
      <c r="C714" s="2" t="s">
        <v>49</v>
      </c>
      <c r="D714" s="2">
        <v>58</v>
      </c>
      <c r="E714" s="2" t="str">
        <f>_xlfn.IFS(Table1[[#This Row],[Age]]&lt;30, "18-29", D714&lt;=45,"30-45", D714&lt;=55, "46-55", TRUE, "55+")</f>
        <v>55+</v>
      </c>
      <c r="F714" s="2" t="s">
        <v>34</v>
      </c>
      <c r="G714" s="2" t="s">
        <v>8</v>
      </c>
      <c r="H714" s="2" t="s">
        <v>50</v>
      </c>
      <c r="I714" s="5">
        <v>22</v>
      </c>
      <c r="J714" s="5" t="str">
        <f>_xlfn.IFS(Table1[[#This Row],[Experience(Years)]]&lt;5, "Junior", I714&lt;=12, "Mid-Level", I714&lt;=20, "Senior", I714&lt;=30, "Super Senior", TRUE, "Expert")</f>
        <v>Super Senior</v>
      </c>
      <c r="K714" s="7">
        <v>100</v>
      </c>
      <c r="L714" s="7">
        <f>Table1[[#This Row],[Hourly Rate]]*1000</f>
        <v>100000</v>
      </c>
      <c r="M714" s="7" t="str">
        <f t="shared" si="11"/>
        <v>Premium</v>
      </c>
      <c r="N714" s="2">
        <f>IF(ISNUMBER(#REF!),#REF!, _xlfn.IFS( I714&gt;=30, 5, I714&gt;=25, 4.8, I714&gt;=15, 4, I714&gt;=10, 3.8, I714&gt;=5, 3, I714&gt;=2, 2.5, I714&gt;=0, 1.8, TRUE, 1.3))</f>
        <v>4</v>
      </c>
      <c r="O714" s="2" t="s">
        <v>2052</v>
      </c>
      <c r="P714" s="10">
        <v>0.85</v>
      </c>
      <c r="Q714" s="10" t="str">
        <f>_xlfn.IFS(Table1[[#This Row],[Rating]]&gt;=4, "Top Performer", Table1[[#This Row],[Rating]]&gt;=3, "Average", TRUE, "Needs Imporovement")</f>
        <v>Top Performer</v>
      </c>
    </row>
    <row r="715" spans="1:17" x14ac:dyDescent="0.3">
      <c r="A715" s="2" t="s">
        <v>1469</v>
      </c>
      <c r="B715" s="2" t="s">
        <v>1470</v>
      </c>
      <c r="C715" s="2" t="s">
        <v>49</v>
      </c>
      <c r="D715" s="2">
        <v>54</v>
      </c>
      <c r="E715" s="2" t="str">
        <f>_xlfn.IFS(Table1[[#This Row],[Age]]&lt;30, "18-29", D715&lt;=45,"30-45", D715&lt;=55, "46-55", TRUE, "55+")</f>
        <v>46-55</v>
      </c>
      <c r="F715" s="2" t="s">
        <v>41</v>
      </c>
      <c r="G715" s="2" t="s">
        <v>8</v>
      </c>
      <c r="H715" s="2" t="s">
        <v>24</v>
      </c>
      <c r="I715" s="5">
        <v>32</v>
      </c>
      <c r="J715" s="5" t="str">
        <f>_xlfn.IFS(Table1[[#This Row],[Experience(Years)]]&lt;5, "Junior", I715&lt;=12, "Mid-Level", I715&lt;=20, "Senior", I715&lt;=30, "Super Senior", TRUE, "Expert")</f>
        <v>Expert</v>
      </c>
      <c r="K715" s="7">
        <v>20</v>
      </c>
      <c r="L715" s="7">
        <f>Table1[[#This Row],[Hourly Rate]]*1000</f>
        <v>20000</v>
      </c>
      <c r="M715" s="7" t="str">
        <f t="shared" si="11"/>
        <v>Budget</v>
      </c>
      <c r="N715" s="2">
        <f>IF(ISNUMBER(#REF!),#REF!, _xlfn.IFS( I715&gt;=30, 5, I715&gt;=25, 4.8, I715&gt;=15, 4, I715&gt;=10, 3.8, I715&gt;=5, 3, I715&gt;=2, 2.5, I715&gt;=0, 1.8, TRUE, 1.3))</f>
        <v>5</v>
      </c>
      <c r="O715" s="2" t="s">
        <v>2052</v>
      </c>
      <c r="P715" s="10">
        <v>1</v>
      </c>
      <c r="Q715" s="10" t="str">
        <f>_xlfn.IFS(Table1[[#This Row],[Rating]]&gt;=4, "Top Performer", Table1[[#This Row],[Rating]]&gt;=3, "Average", TRUE, "Needs Imporovement")</f>
        <v>Top Performer</v>
      </c>
    </row>
    <row r="716" spans="1:17" x14ac:dyDescent="0.3">
      <c r="A716" s="2" t="s">
        <v>1471</v>
      </c>
      <c r="B716" s="2" t="s">
        <v>1472</v>
      </c>
      <c r="C716" s="2" t="s">
        <v>68</v>
      </c>
      <c r="D716" s="2">
        <v>53</v>
      </c>
      <c r="E716" s="2" t="str">
        <f>_xlfn.IFS(Table1[[#This Row],[Age]]&lt;30, "18-29", D716&lt;=45,"30-45", D716&lt;=55, "46-55", TRUE, "55+")</f>
        <v>46-55</v>
      </c>
      <c r="F716" s="2" t="s">
        <v>7</v>
      </c>
      <c r="G716" s="2" t="s">
        <v>8</v>
      </c>
      <c r="H716" s="2" t="s">
        <v>46</v>
      </c>
      <c r="I716" s="5">
        <v>9</v>
      </c>
      <c r="J716" s="5" t="str">
        <f>_xlfn.IFS(Table1[[#This Row],[Experience(Years)]]&lt;5, "Junior", I716&lt;=12, "Mid-Level", I716&lt;=20, "Senior", I716&lt;=30, "Super Senior", TRUE, "Expert")</f>
        <v>Mid-Level</v>
      </c>
      <c r="K716" s="7">
        <v>50</v>
      </c>
      <c r="L716" s="7">
        <f>Table1[[#This Row],[Hourly Rate]]*1000</f>
        <v>50000</v>
      </c>
      <c r="M716" s="7" t="str">
        <f t="shared" si="11"/>
        <v>Standard</v>
      </c>
      <c r="N716" s="2">
        <f>IF(ISNUMBER(#REF!),#REF!, _xlfn.IFS( I716&gt;=30, 5, I716&gt;=25, 4.8, I716&gt;=15, 4, I716&gt;=10, 3.8, I716&gt;=5, 3, I716&gt;=2, 2.5, I716&gt;=0, 1.8, TRUE, 1.3))</f>
        <v>3</v>
      </c>
      <c r="O716" s="2" t="s">
        <v>2053</v>
      </c>
      <c r="P716" s="10">
        <v>0.72</v>
      </c>
      <c r="Q716" s="10" t="str">
        <f>_xlfn.IFS(Table1[[#This Row],[Rating]]&gt;=4, "Top Performer", Table1[[#This Row],[Rating]]&gt;=3, "Average", TRUE, "Needs Imporovement")</f>
        <v>Average</v>
      </c>
    </row>
    <row r="717" spans="1:17" x14ac:dyDescent="0.3">
      <c r="A717" s="2" t="s">
        <v>1473</v>
      </c>
      <c r="B717" s="2" t="s">
        <v>1474</v>
      </c>
      <c r="C717" s="2" t="s">
        <v>49</v>
      </c>
      <c r="D717" s="2">
        <v>43</v>
      </c>
      <c r="E717" s="2" t="str">
        <f>_xlfn.IFS(Table1[[#This Row],[Age]]&lt;30, "18-29", D717&lt;=45,"30-45", D717&lt;=55, "46-55", TRUE, "55+")</f>
        <v>30-45</v>
      </c>
      <c r="F717" s="2" t="s">
        <v>7</v>
      </c>
      <c r="G717" s="2" t="s">
        <v>8</v>
      </c>
      <c r="H717" s="2" t="s">
        <v>17</v>
      </c>
      <c r="I717" s="5">
        <v>22</v>
      </c>
      <c r="J717" s="5" t="str">
        <f>_xlfn.IFS(Table1[[#This Row],[Experience(Years)]]&lt;5, "Junior", I717&lt;=12, "Mid-Level", I717&lt;=20, "Senior", I717&lt;=30, "Super Senior", TRUE, "Expert")</f>
        <v>Super Senior</v>
      </c>
      <c r="K717" s="7">
        <v>40</v>
      </c>
      <c r="L717" s="7">
        <f>Table1[[#This Row],[Hourly Rate]]*1000</f>
        <v>40000</v>
      </c>
      <c r="M717" s="7" t="str">
        <f t="shared" si="11"/>
        <v>Standard</v>
      </c>
      <c r="N717" s="2">
        <f>IF(ISNUMBER(#REF!),#REF!, _xlfn.IFS( I717&gt;=30, 5, I717&gt;=25, 4.8, I717&gt;=15, 4, I717&gt;=10, 3.8, I717&gt;=5, 3, I717&gt;=2, 2.5, I717&gt;=0, 1.8, TRUE, 1.3))</f>
        <v>4</v>
      </c>
      <c r="O717" s="2" t="str">
        <f>IF(AND( Table1[[#This Row],[Rating]]&gt;=3.5, Table1[[#This Row],[Experience(Years)]]&gt;=15), "Active", "Inactive")</f>
        <v>Active</v>
      </c>
      <c r="P717" s="10">
        <v>0.85</v>
      </c>
      <c r="Q717" s="10" t="str">
        <f>_xlfn.IFS(Table1[[#This Row],[Rating]]&gt;=4, "Top Performer", Table1[[#This Row],[Rating]]&gt;=3, "Average", TRUE, "Needs Imporovement")</f>
        <v>Top Performer</v>
      </c>
    </row>
    <row r="718" spans="1:17" x14ac:dyDescent="0.3">
      <c r="A718" s="2" t="s">
        <v>1475</v>
      </c>
      <c r="B718" s="2" t="s">
        <v>1476</v>
      </c>
      <c r="C718" s="2" t="s">
        <v>68</v>
      </c>
      <c r="D718" s="2">
        <v>44</v>
      </c>
      <c r="E718" s="2" t="str">
        <f>_xlfn.IFS(Table1[[#This Row],[Age]]&lt;30, "18-29", D718&lt;=45,"30-45", D718&lt;=55, "46-55", TRUE, "55+")</f>
        <v>30-45</v>
      </c>
      <c r="F718" s="2" t="s">
        <v>81</v>
      </c>
      <c r="G718" s="2" t="s">
        <v>82</v>
      </c>
      <c r="H718" s="2" t="s">
        <v>83</v>
      </c>
      <c r="I718" s="5">
        <v>1</v>
      </c>
      <c r="J718" s="5" t="str">
        <f>_xlfn.IFS(Table1[[#This Row],[Experience(Years)]]&lt;5, "Junior", I718&lt;=12, "Mid-Level", I718&lt;=20, "Senior", I718&lt;=30, "Super Senior", TRUE, "Expert")</f>
        <v>Junior</v>
      </c>
      <c r="K718" s="7">
        <v>75</v>
      </c>
      <c r="L718" s="7">
        <f>Table1[[#This Row],[Hourly Rate]]*1000</f>
        <v>75000</v>
      </c>
      <c r="M718" s="7" t="str">
        <f t="shared" si="11"/>
        <v>Standard</v>
      </c>
      <c r="N718" s="2">
        <f>IF(ISNUMBER(#REF!),#REF!, _xlfn.IFS( I718&gt;=30, 5, I718&gt;=25, 4.8, I718&gt;=15, 4, I718&gt;=10, 3.8, I718&gt;=5, 3, I718&gt;=2, 2.5, I718&gt;=0, 1.8, TRUE, 1.3))</f>
        <v>1.8</v>
      </c>
      <c r="O718" s="2" t="s">
        <v>2053</v>
      </c>
      <c r="P718" s="10">
        <v>0.3</v>
      </c>
      <c r="Q718" s="10" t="str">
        <f>_xlfn.IFS(Table1[[#This Row],[Rating]]&gt;=4, "Top Performer", Table1[[#This Row],[Rating]]&gt;=3, "Average", TRUE, "Needs Imporovement")</f>
        <v>Needs Imporovement</v>
      </c>
    </row>
    <row r="719" spans="1:17" x14ac:dyDescent="0.3">
      <c r="A719" s="2" t="s">
        <v>1477</v>
      </c>
      <c r="B719" s="2" t="s">
        <v>1478</v>
      </c>
      <c r="C719" s="2" t="s">
        <v>68</v>
      </c>
      <c r="D719" s="2">
        <v>34</v>
      </c>
      <c r="E719" s="2" t="str">
        <f>_xlfn.IFS(Table1[[#This Row],[Age]]&lt;30, "18-29", D719&lt;=45,"30-45", D719&lt;=55, "46-55", TRUE, "55+")</f>
        <v>30-45</v>
      </c>
      <c r="F719" s="2" t="s">
        <v>96</v>
      </c>
      <c r="G719" s="2" t="s">
        <v>8</v>
      </c>
      <c r="H719" s="2" t="s">
        <v>50</v>
      </c>
      <c r="I719" s="5">
        <v>4</v>
      </c>
      <c r="J719" s="5" t="str">
        <f>_xlfn.IFS(Table1[[#This Row],[Experience(Years)]]&lt;5, "Junior", I719&lt;=12, "Mid-Level", I719&lt;=20, "Senior", I719&lt;=30, "Super Senior", TRUE, "Expert")</f>
        <v>Junior</v>
      </c>
      <c r="K719" s="7">
        <v>75</v>
      </c>
      <c r="L719" s="7">
        <f>Table1[[#This Row],[Hourly Rate]]*1000</f>
        <v>75000</v>
      </c>
      <c r="M719" s="7" t="str">
        <f t="shared" si="11"/>
        <v>Standard</v>
      </c>
      <c r="N719" s="2">
        <f>IF(ISNUMBER(#REF!),#REF!, _xlfn.IFS( I719&gt;=30, 5, I719&gt;=25, 4.8, I719&gt;=15, 4, I719&gt;=10, 3.8, I719&gt;=5, 3, I719&gt;=2, 2.5, I719&gt;=0, 1.8, TRUE, 1.3))</f>
        <v>2.5</v>
      </c>
      <c r="O719" s="2" t="s">
        <v>2053</v>
      </c>
      <c r="P719" s="10">
        <v>0.35</v>
      </c>
      <c r="Q719" s="10" t="str">
        <f>_xlfn.IFS(Table1[[#This Row],[Rating]]&gt;=4, "Top Performer", Table1[[#This Row],[Rating]]&gt;=3, "Average", TRUE, "Needs Imporovement")</f>
        <v>Needs Imporovement</v>
      </c>
    </row>
    <row r="720" spans="1:17" x14ac:dyDescent="0.3">
      <c r="A720" s="2" t="s">
        <v>1479</v>
      </c>
      <c r="B720" s="2" t="s">
        <v>1480</v>
      </c>
      <c r="C720" s="2" t="s">
        <v>49</v>
      </c>
      <c r="D720" s="2">
        <v>27</v>
      </c>
      <c r="E720" s="2" t="str">
        <f>_xlfn.IFS(Table1[[#This Row],[Age]]&lt;30, "18-29", D720&lt;=45,"30-45", D720&lt;=55, "46-55", TRUE, "55+")</f>
        <v>18-29</v>
      </c>
      <c r="F720" s="2" t="s">
        <v>77</v>
      </c>
      <c r="G720" s="2" t="s">
        <v>78</v>
      </c>
      <c r="H720" s="2" t="s">
        <v>9</v>
      </c>
      <c r="I720" s="5">
        <v>8</v>
      </c>
      <c r="J720" s="5" t="str">
        <f>_xlfn.IFS(Table1[[#This Row],[Experience(Years)]]&lt;5, "Junior", I720&lt;=12, "Mid-Level", I720&lt;=20, "Senior", I720&lt;=30, "Super Senior", TRUE, "Expert")</f>
        <v>Mid-Level</v>
      </c>
      <c r="K720" s="7">
        <v>50</v>
      </c>
      <c r="L720" s="7">
        <f>Table1[[#This Row],[Hourly Rate]]*1000</f>
        <v>50000</v>
      </c>
      <c r="M720" s="7" t="str">
        <f t="shared" si="11"/>
        <v>Standard</v>
      </c>
      <c r="N720" s="2">
        <f>IF(ISNUMBER(#REF!),#REF!, _xlfn.IFS( I720&gt;=30, 5, I720&gt;=25, 4.8, I720&gt;=15, 4, I720&gt;=10, 3.8, I720&gt;=5, 3, I720&gt;=2, 2.5, I720&gt;=0, 1.8, TRUE, 1.3))</f>
        <v>3</v>
      </c>
      <c r="O720" s="2" t="s">
        <v>2053</v>
      </c>
      <c r="P720" s="10">
        <v>0.6</v>
      </c>
      <c r="Q720" s="10" t="str">
        <f>_xlfn.IFS(Table1[[#This Row],[Rating]]&gt;=4, "Top Performer", Table1[[#This Row],[Rating]]&gt;=3, "Average", TRUE, "Needs Imporovement")</f>
        <v>Average</v>
      </c>
    </row>
    <row r="721" spans="1:17" x14ac:dyDescent="0.3">
      <c r="A721" s="2" t="s">
        <v>1481</v>
      </c>
      <c r="B721" s="2" t="s">
        <v>1482</v>
      </c>
      <c r="C721" s="2" t="s">
        <v>68</v>
      </c>
      <c r="D721" s="2">
        <v>50</v>
      </c>
      <c r="E721" s="2" t="str">
        <f>_xlfn.IFS(Table1[[#This Row],[Age]]&lt;30, "18-29", D721&lt;=45,"30-45", D721&lt;=55, "46-55", TRUE, "55+")</f>
        <v>46-55</v>
      </c>
      <c r="F721" s="2" t="s">
        <v>57</v>
      </c>
      <c r="G721" s="2" t="s">
        <v>58</v>
      </c>
      <c r="H721" s="2" t="s">
        <v>29</v>
      </c>
      <c r="I721" s="5">
        <v>3</v>
      </c>
      <c r="J721" s="5" t="str">
        <f>_xlfn.IFS(Table1[[#This Row],[Experience(Years)]]&lt;5, "Junior", I721&lt;=12, "Mid-Level", I721&lt;=20, "Senior", I721&lt;=30, "Super Senior", TRUE, "Expert")</f>
        <v>Junior</v>
      </c>
      <c r="K721" s="7">
        <v>100</v>
      </c>
      <c r="L721" s="7">
        <f>Table1[[#This Row],[Hourly Rate]]*1000</f>
        <v>100000</v>
      </c>
      <c r="M721" s="7" t="str">
        <f t="shared" si="11"/>
        <v>Premium</v>
      </c>
      <c r="N721" s="2">
        <f>IF(ISNUMBER(#REF!),#REF!, _xlfn.IFS( I721&gt;=30, 5, I721&gt;=25, 4.8, I721&gt;=15, 4, I721&gt;=10, 3.8, I721&gt;=5, 3, I721&gt;=2, 2.5, I721&gt;=0, 1.8, TRUE, 1.3))</f>
        <v>2.5</v>
      </c>
      <c r="O721" s="2" t="s">
        <v>2053</v>
      </c>
      <c r="P721" s="10">
        <v>0.35</v>
      </c>
      <c r="Q721" s="10" t="str">
        <f>_xlfn.IFS(Table1[[#This Row],[Rating]]&gt;=4, "Top Performer", Table1[[#This Row],[Rating]]&gt;=3, "Average", TRUE, "Needs Imporovement")</f>
        <v>Needs Imporovement</v>
      </c>
    </row>
    <row r="722" spans="1:17" x14ac:dyDescent="0.3">
      <c r="A722" s="2" t="s">
        <v>1483</v>
      </c>
      <c r="B722" s="2" t="s">
        <v>1484</v>
      </c>
      <c r="C722" s="2" t="s">
        <v>49</v>
      </c>
      <c r="D722" s="2">
        <v>52</v>
      </c>
      <c r="E722" s="2" t="str">
        <f>_xlfn.IFS(Table1[[#This Row],[Age]]&lt;30, "18-29", D722&lt;=45,"30-45", D722&lt;=55, "46-55", TRUE, "55+")</f>
        <v>46-55</v>
      </c>
      <c r="F722" s="2" t="s">
        <v>81</v>
      </c>
      <c r="G722" s="2" t="s">
        <v>82</v>
      </c>
      <c r="H722" s="2" t="s">
        <v>46</v>
      </c>
      <c r="I722" s="5">
        <v>30</v>
      </c>
      <c r="J722" s="5" t="str">
        <f>_xlfn.IFS(Table1[[#This Row],[Experience(Years)]]&lt;5, "Junior", I722&lt;=12, "Mid-Level", I722&lt;=20, "Senior", I722&lt;=30, "Super Senior", TRUE, "Expert")</f>
        <v>Super Senior</v>
      </c>
      <c r="K722" s="7">
        <v>75</v>
      </c>
      <c r="L722" s="7">
        <f>Table1[[#This Row],[Hourly Rate]]*1000</f>
        <v>75000</v>
      </c>
      <c r="M722" s="7" t="str">
        <f t="shared" si="11"/>
        <v>Standard</v>
      </c>
      <c r="N722" s="2">
        <f>IF(ISNUMBER(#REF!),#REF!, _xlfn.IFS( I722&gt;=30, 5, I722&gt;=25, 4.8, I722&gt;=15, 4, I722&gt;=10, 3.8, I722&gt;=5, 3, I722&gt;=2, 2.5, I722&gt;=0, 1.8, TRUE, 1.3))</f>
        <v>5</v>
      </c>
      <c r="O722" s="2" t="s">
        <v>2052</v>
      </c>
      <c r="P722" s="10">
        <v>0.94</v>
      </c>
      <c r="Q722" s="10" t="str">
        <f>_xlfn.IFS(Table1[[#This Row],[Rating]]&gt;=4, "Top Performer", Table1[[#This Row],[Rating]]&gt;=3, "Average", TRUE, "Needs Imporovement")</f>
        <v>Top Performer</v>
      </c>
    </row>
    <row r="723" spans="1:17" x14ac:dyDescent="0.3">
      <c r="A723" s="2" t="s">
        <v>1485</v>
      </c>
      <c r="B723" s="2" t="s">
        <v>1486</v>
      </c>
      <c r="C723" s="2" t="s">
        <v>68</v>
      </c>
      <c r="D723" s="2">
        <v>57</v>
      </c>
      <c r="E723" s="2" t="str">
        <f>_xlfn.IFS(Table1[[#This Row],[Age]]&lt;30, "18-29", D723&lt;=45,"30-45", D723&lt;=55, "46-55", TRUE, "55+")</f>
        <v>55+</v>
      </c>
      <c r="F723" s="2" t="s">
        <v>156</v>
      </c>
      <c r="G723" s="2" t="s">
        <v>45</v>
      </c>
      <c r="H723" s="2" t="s">
        <v>4</v>
      </c>
      <c r="I723" s="5">
        <v>11</v>
      </c>
      <c r="J723" s="5" t="str">
        <f>_xlfn.IFS(Table1[[#This Row],[Experience(Years)]]&lt;5, "Junior", I723&lt;=12, "Mid-Level", I723&lt;=20, "Senior", I723&lt;=30, "Super Senior", TRUE, "Expert")</f>
        <v>Mid-Level</v>
      </c>
      <c r="K723" s="7">
        <v>20</v>
      </c>
      <c r="L723" s="7">
        <f>Table1[[#This Row],[Hourly Rate]]*1000</f>
        <v>20000</v>
      </c>
      <c r="M723" s="7" t="str">
        <f t="shared" si="11"/>
        <v>Budget</v>
      </c>
      <c r="N723" s="2">
        <f>IF(ISNUMBER(#REF!),#REF!, _xlfn.IFS( I723&gt;=30, 5, I723&gt;=25, 4.8, I723&gt;=15, 4, I723&gt;=10, 3.8, I723&gt;=5, 3, I723&gt;=2, 2.5, I723&gt;=0, 1.8, TRUE, 1.3))</f>
        <v>3.8</v>
      </c>
      <c r="O723" s="2" t="s">
        <v>2053</v>
      </c>
      <c r="P723" s="10">
        <v>0.75</v>
      </c>
      <c r="Q723" s="10" t="str">
        <f>_xlfn.IFS(Table1[[#This Row],[Rating]]&gt;=4, "Top Performer", Table1[[#This Row],[Rating]]&gt;=3, "Average", TRUE, "Needs Imporovement")</f>
        <v>Average</v>
      </c>
    </row>
    <row r="724" spans="1:17" x14ac:dyDescent="0.3">
      <c r="A724" s="2" t="s">
        <v>1487</v>
      </c>
      <c r="B724" s="2" t="s">
        <v>1488</v>
      </c>
      <c r="C724" s="2" t="s">
        <v>49</v>
      </c>
      <c r="D724" s="2">
        <v>53</v>
      </c>
      <c r="E724" s="2" t="str">
        <f>_xlfn.IFS(Table1[[#This Row],[Age]]&lt;30, "18-29", D724&lt;=45,"30-45", D724&lt;=55, "46-55", TRUE, "55+")</f>
        <v>46-55</v>
      </c>
      <c r="F724" s="2" t="s">
        <v>145</v>
      </c>
      <c r="G724" s="2" t="s">
        <v>45</v>
      </c>
      <c r="H724" s="2" t="s">
        <v>61</v>
      </c>
      <c r="I724" s="5">
        <v>8</v>
      </c>
      <c r="J724" s="5" t="str">
        <f>_xlfn.IFS(Table1[[#This Row],[Experience(Years)]]&lt;5, "Junior", I724&lt;=12, "Mid-Level", I724&lt;=20, "Senior", I724&lt;=30, "Super Senior", TRUE, "Expert")</f>
        <v>Mid-Level</v>
      </c>
      <c r="K724" s="7">
        <v>20</v>
      </c>
      <c r="L724" s="7">
        <f>Table1[[#This Row],[Hourly Rate]]*1000</f>
        <v>20000</v>
      </c>
      <c r="M724" s="7" t="str">
        <f t="shared" si="11"/>
        <v>Budget</v>
      </c>
      <c r="N724" s="2">
        <f>IF(ISNUMBER(#REF!),#REF!, _xlfn.IFS( I724&gt;=30, 5, I724&gt;=25, 4.8, I724&gt;=15, 4, I724&gt;=10, 3.8, I724&gt;=5, 3, I724&gt;=2, 2.5, I724&gt;=0, 1.8, TRUE, 1.3))</f>
        <v>3</v>
      </c>
      <c r="O724" s="2" t="s">
        <v>2053</v>
      </c>
      <c r="P724" s="10">
        <v>0.6</v>
      </c>
      <c r="Q724" s="10" t="str">
        <f>_xlfn.IFS(Table1[[#This Row],[Rating]]&gt;=4, "Top Performer", Table1[[#This Row],[Rating]]&gt;=3, "Average", TRUE, "Needs Imporovement")</f>
        <v>Average</v>
      </c>
    </row>
    <row r="725" spans="1:17" x14ac:dyDescent="0.3">
      <c r="A725" s="2" t="s">
        <v>1489</v>
      </c>
      <c r="B725" s="2" t="s">
        <v>1490</v>
      </c>
      <c r="C725" s="2" t="s">
        <v>68</v>
      </c>
      <c r="D725" s="2">
        <v>51</v>
      </c>
      <c r="E725" s="2" t="str">
        <f>_xlfn.IFS(Table1[[#This Row],[Age]]&lt;30, "18-29", D725&lt;=45,"30-45", D725&lt;=55, "46-55", TRUE, "55+")</f>
        <v>46-55</v>
      </c>
      <c r="F725" s="2" t="s">
        <v>37</v>
      </c>
      <c r="G725" s="2" t="s">
        <v>38</v>
      </c>
      <c r="H725" s="2" t="s">
        <v>46</v>
      </c>
      <c r="I725" s="5">
        <v>11</v>
      </c>
      <c r="J725" s="5" t="str">
        <f>_xlfn.IFS(Table1[[#This Row],[Experience(Years)]]&lt;5, "Junior", I725&lt;=12, "Mid-Level", I725&lt;=20, "Senior", I725&lt;=30, "Super Senior", TRUE, "Expert")</f>
        <v>Mid-Level</v>
      </c>
      <c r="K725" s="7">
        <v>30</v>
      </c>
      <c r="L725" s="7">
        <f>Table1[[#This Row],[Hourly Rate]]*1000</f>
        <v>30000</v>
      </c>
      <c r="M725" s="7" t="str">
        <f t="shared" si="11"/>
        <v>Budget</v>
      </c>
      <c r="N725" s="2">
        <f>IF(ISNUMBER(#REF!),#REF!, _xlfn.IFS( I725&gt;=30, 5, I725&gt;=25, 4.8, I725&gt;=15, 4, I725&gt;=10, 3.8, I725&gt;=5, 3, I725&gt;=2, 2.5, I725&gt;=0, 1.8, TRUE, 1.3))</f>
        <v>3.8</v>
      </c>
      <c r="O725" s="2" t="s">
        <v>2053</v>
      </c>
      <c r="P725" s="10">
        <v>0.77</v>
      </c>
      <c r="Q725" s="10" t="str">
        <f>_xlfn.IFS(Table1[[#This Row],[Rating]]&gt;=4, "Top Performer", Table1[[#This Row],[Rating]]&gt;=3, "Average", TRUE, "Needs Imporovement")</f>
        <v>Average</v>
      </c>
    </row>
    <row r="726" spans="1:17" x14ac:dyDescent="0.3">
      <c r="A726" s="2" t="s">
        <v>1491</v>
      </c>
      <c r="B726" s="2" t="s">
        <v>1492</v>
      </c>
      <c r="C726" s="2" t="s">
        <v>49</v>
      </c>
      <c r="D726" s="2">
        <v>37</v>
      </c>
      <c r="E726" s="2" t="str">
        <f>_xlfn.IFS(Table1[[#This Row],[Age]]&lt;30, "18-29", D726&lt;=45,"30-45", D726&lt;=55, "46-55", TRUE, "55+")</f>
        <v>30-45</v>
      </c>
      <c r="F726" s="2" t="s">
        <v>96</v>
      </c>
      <c r="G726" s="2" t="s">
        <v>8</v>
      </c>
      <c r="H726" s="2" t="s">
        <v>50</v>
      </c>
      <c r="I726" s="5">
        <v>9</v>
      </c>
      <c r="J726" s="5" t="str">
        <f>_xlfn.IFS(Table1[[#This Row],[Experience(Years)]]&lt;5, "Junior", I726&lt;=12, "Mid-Level", I726&lt;=20, "Senior", I726&lt;=30, "Super Senior", TRUE, "Expert")</f>
        <v>Mid-Level</v>
      </c>
      <c r="K726" s="7">
        <v>50</v>
      </c>
      <c r="L726" s="7">
        <f>Table1[[#This Row],[Hourly Rate]]*1000</f>
        <v>50000</v>
      </c>
      <c r="M726" s="7" t="str">
        <f t="shared" si="11"/>
        <v>Standard</v>
      </c>
      <c r="N726" s="2">
        <f>IF(ISNUMBER(#REF!),#REF!, _xlfn.IFS( I726&gt;=30, 5, I726&gt;=25, 4.8, I726&gt;=15, 4, I726&gt;=10, 3.8, I726&gt;=5, 3, I726&gt;=2, 2.5, I726&gt;=0, 1.8, TRUE, 1.3))</f>
        <v>3</v>
      </c>
      <c r="O726" s="2" t="s">
        <v>2053</v>
      </c>
      <c r="P726" s="10">
        <v>0.84</v>
      </c>
      <c r="Q726" s="10" t="str">
        <f>_xlfn.IFS(Table1[[#This Row],[Rating]]&gt;=4, "Top Performer", Table1[[#This Row],[Rating]]&gt;=3, "Average", TRUE, "Needs Imporovement")</f>
        <v>Average</v>
      </c>
    </row>
    <row r="727" spans="1:17" x14ac:dyDescent="0.3">
      <c r="A727" s="2" t="s">
        <v>1493</v>
      </c>
      <c r="B727" s="2" t="s">
        <v>1494</v>
      </c>
      <c r="C727" s="2" t="s">
        <v>68</v>
      </c>
      <c r="D727" s="2">
        <v>40</v>
      </c>
      <c r="E727" s="2" t="str">
        <f>_xlfn.IFS(Table1[[#This Row],[Age]]&lt;30, "18-29", D727&lt;=45,"30-45", D727&lt;=55, "46-55", TRUE, "55+")</f>
        <v>30-45</v>
      </c>
      <c r="F727" s="2" t="s">
        <v>156</v>
      </c>
      <c r="G727" s="2" t="s">
        <v>45</v>
      </c>
      <c r="H727" s="2" t="s">
        <v>17</v>
      </c>
      <c r="I727" s="5">
        <v>7</v>
      </c>
      <c r="J727" s="5" t="str">
        <f>_xlfn.IFS(Table1[[#This Row],[Experience(Years)]]&lt;5, "Junior", I727&lt;=12, "Mid-Level", I727&lt;=20, "Senior", I727&lt;=30, "Super Senior", TRUE, "Expert")</f>
        <v>Mid-Level</v>
      </c>
      <c r="K727" s="7">
        <v>40</v>
      </c>
      <c r="L727" s="7">
        <f>Table1[[#This Row],[Hourly Rate]]*1000</f>
        <v>40000</v>
      </c>
      <c r="M727" s="7" t="str">
        <f t="shared" si="11"/>
        <v>Standard</v>
      </c>
      <c r="N727" s="2">
        <f>IF(ISNUMBER(#REF!),#REF!, _xlfn.IFS( I727&gt;=30, 5, I727&gt;=25, 4.8, I727&gt;=15, 4, I727&gt;=10, 3.8, I727&gt;=5, 3, I727&gt;=2, 2.5, I727&gt;=0, 1.8, TRUE, 1.3))</f>
        <v>3</v>
      </c>
      <c r="O727" s="2" t="str">
        <f>IF(AND( Table1[[#This Row],[Rating]]&gt;=3.5, Table1[[#This Row],[Experience(Years)]]&gt;=15), "Active", "Inactive")</f>
        <v>Inactive</v>
      </c>
      <c r="P727" s="10">
        <v>0.79</v>
      </c>
      <c r="Q727" s="10" t="str">
        <f>_xlfn.IFS(Table1[[#This Row],[Rating]]&gt;=4, "Top Performer", Table1[[#This Row],[Rating]]&gt;=3, "Average", TRUE, "Needs Imporovement")</f>
        <v>Average</v>
      </c>
    </row>
    <row r="728" spans="1:17" x14ac:dyDescent="0.3">
      <c r="A728" s="2" t="s">
        <v>1495</v>
      </c>
      <c r="B728" s="2" t="s">
        <v>1496</v>
      </c>
      <c r="C728" s="2" t="s">
        <v>68</v>
      </c>
      <c r="D728" s="2">
        <v>60</v>
      </c>
      <c r="E728" s="2" t="str">
        <f>_xlfn.IFS(Table1[[#This Row],[Age]]&lt;30, "18-29", D728&lt;=45,"30-45", D728&lt;=55, "46-55", TRUE, "55+")</f>
        <v>55+</v>
      </c>
      <c r="F728" s="2" t="s">
        <v>57</v>
      </c>
      <c r="G728" s="2" t="s">
        <v>58</v>
      </c>
      <c r="H728" s="2" t="s">
        <v>29</v>
      </c>
      <c r="I728" s="5">
        <v>24</v>
      </c>
      <c r="J728" s="5" t="str">
        <f>_xlfn.IFS(Table1[[#This Row],[Experience(Years)]]&lt;5, "Junior", I728&lt;=12, "Mid-Level", I728&lt;=20, "Senior", I728&lt;=30, "Super Senior", TRUE, "Expert")</f>
        <v>Super Senior</v>
      </c>
      <c r="K728" s="7">
        <v>40</v>
      </c>
      <c r="L728" s="7">
        <f>Table1[[#This Row],[Hourly Rate]]*1000</f>
        <v>40000</v>
      </c>
      <c r="M728" s="7" t="str">
        <f t="shared" si="11"/>
        <v>Standard</v>
      </c>
      <c r="N728" s="2">
        <f>IF(ISNUMBER(#REF!),#REF!, _xlfn.IFS( I728&gt;=30, 5, I728&gt;=25, 4.8, I728&gt;=15, 4, I728&gt;=10, 3.8, I728&gt;=5, 3, I728&gt;=2, 2.5, I728&gt;=0, 1.8, TRUE, 1.3))</f>
        <v>4</v>
      </c>
      <c r="O728" s="2" t="s">
        <v>2052</v>
      </c>
      <c r="P728" s="10">
        <v>0.69</v>
      </c>
      <c r="Q728" s="10" t="str">
        <f>_xlfn.IFS(Table1[[#This Row],[Rating]]&gt;=4, "Top Performer", Table1[[#This Row],[Rating]]&gt;=3, "Average", TRUE, "Needs Imporovement")</f>
        <v>Top Performer</v>
      </c>
    </row>
    <row r="729" spans="1:17" x14ac:dyDescent="0.3">
      <c r="A729" s="2" t="s">
        <v>1497</v>
      </c>
      <c r="B729" s="2" t="s">
        <v>1498</v>
      </c>
      <c r="C729" s="2" t="s">
        <v>68</v>
      </c>
      <c r="D729" s="2">
        <v>60</v>
      </c>
      <c r="E729" s="2" t="str">
        <f>_xlfn.IFS(Table1[[#This Row],[Age]]&lt;30, "18-29", D729&lt;=45,"30-45", D729&lt;=55, "46-55", TRUE, "55+")</f>
        <v>55+</v>
      </c>
      <c r="F729" s="2" t="s">
        <v>103</v>
      </c>
      <c r="G729" s="2" t="s">
        <v>104</v>
      </c>
      <c r="H729" s="2" t="s">
        <v>46</v>
      </c>
      <c r="I729" s="5">
        <v>0</v>
      </c>
      <c r="J729" s="5" t="str">
        <f>_xlfn.IFS(Table1[[#This Row],[Experience(Years)]]&lt;5, "Junior", I729&lt;=12, "Mid-Level", I729&lt;=20, "Senior", I729&lt;=30, "Super Senior", TRUE, "Expert")</f>
        <v>Junior</v>
      </c>
      <c r="K729" s="7">
        <v>40</v>
      </c>
      <c r="L729" s="7">
        <f>Table1[[#This Row],[Hourly Rate]]*1000</f>
        <v>40000</v>
      </c>
      <c r="M729" s="7" t="str">
        <f t="shared" si="11"/>
        <v>Standard</v>
      </c>
      <c r="N729" s="2">
        <f>IF(ISNUMBER(#REF!),#REF!, _xlfn.IFS( I729&gt;=30, 5, I729&gt;=25, 4.8, I729&gt;=15, 4, I729&gt;=10, 3.8, I729&gt;=5, 3, I729&gt;=2, 2.5, I729&gt;=0, 1.8, TRUE, 1.3))</f>
        <v>1.8</v>
      </c>
      <c r="O729" s="2" t="s">
        <v>2053</v>
      </c>
      <c r="P729" s="10">
        <v>0.68</v>
      </c>
      <c r="Q729" s="10" t="str">
        <f>_xlfn.IFS(Table1[[#This Row],[Rating]]&gt;=4, "Top Performer", Table1[[#This Row],[Rating]]&gt;=3, "Average", TRUE, "Needs Imporovement")</f>
        <v>Needs Imporovement</v>
      </c>
    </row>
    <row r="730" spans="1:17" x14ac:dyDescent="0.3">
      <c r="A730" s="2" t="s">
        <v>1499</v>
      </c>
      <c r="B730" s="2" t="s">
        <v>1500</v>
      </c>
      <c r="C730" s="2" t="s">
        <v>49</v>
      </c>
      <c r="D730" s="2">
        <v>53</v>
      </c>
      <c r="E730" s="2" t="str">
        <f>_xlfn.IFS(Table1[[#This Row],[Age]]&lt;30, "18-29", D730&lt;=45,"30-45", D730&lt;=55, "46-55", TRUE, "55+")</f>
        <v>46-55</v>
      </c>
      <c r="F730" s="2" t="s">
        <v>81</v>
      </c>
      <c r="G730" s="2" t="s">
        <v>82</v>
      </c>
      <c r="H730" s="2" t="s">
        <v>46</v>
      </c>
      <c r="I730" s="5">
        <v>21</v>
      </c>
      <c r="J730" s="5" t="str">
        <f>_xlfn.IFS(Table1[[#This Row],[Experience(Years)]]&lt;5, "Junior", I730&lt;=12, "Mid-Level", I730&lt;=20, "Senior", I730&lt;=30, "Super Senior", TRUE, "Expert")</f>
        <v>Super Senior</v>
      </c>
      <c r="K730" s="7">
        <v>30</v>
      </c>
      <c r="L730" s="7">
        <f>Table1[[#This Row],[Hourly Rate]]*1000</f>
        <v>30000</v>
      </c>
      <c r="M730" s="7" t="str">
        <f t="shared" si="11"/>
        <v>Budget</v>
      </c>
      <c r="N730" s="2">
        <f>IF(ISNUMBER(#REF!),#REF!, _xlfn.IFS( I730&gt;=30, 5, I730&gt;=25, 4.8, I730&gt;=15, 4, I730&gt;=10, 3.8, I730&gt;=5, 3, I730&gt;=2, 2.5, I730&gt;=0, 1.8, TRUE, 1.3))</f>
        <v>4</v>
      </c>
      <c r="O730" s="2" t="s">
        <v>2053</v>
      </c>
      <c r="P730" s="10">
        <v>0.73</v>
      </c>
      <c r="Q730" s="10" t="str">
        <f>_xlfn.IFS(Table1[[#This Row],[Rating]]&gt;=4, "Top Performer", Table1[[#This Row],[Rating]]&gt;=3, "Average", TRUE, "Needs Imporovement")</f>
        <v>Top Performer</v>
      </c>
    </row>
    <row r="731" spans="1:17" x14ac:dyDescent="0.3">
      <c r="A731" s="2" t="s">
        <v>1501</v>
      </c>
      <c r="B731" s="2" t="s">
        <v>1502</v>
      </c>
      <c r="C731" s="2" t="s">
        <v>49</v>
      </c>
      <c r="D731" s="2">
        <v>20</v>
      </c>
      <c r="E731" s="2" t="str">
        <f>_xlfn.IFS(Table1[[#This Row],[Age]]&lt;30, "18-29", D731&lt;=45,"30-45", D731&lt;=55, "46-55", TRUE, "55+")</f>
        <v>18-29</v>
      </c>
      <c r="F731" s="2" t="s">
        <v>145</v>
      </c>
      <c r="G731" s="2" t="s">
        <v>45</v>
      </c>
      <c r="H731" s="2" t="s">
        <v>4</v>
      </c>
      <c r="I731" s="5">
        <v>0</v>
      </c>
      <c r="J731" s="5" t="str">
        <f>_xlfn.IFS(Table1[[#This Row],[Experience(Years)]]&lt;5, "Junior", I731&lt;=12, "Mid-Level", I731&lt;=20, "Senior", I731&lt;=30, "Super Senior", TRUE, "Expert")</f>
        <v>Junior</v>
      </c>
      <c r="K731" s="7">
        <v>75</v>
      </c>
      <c r="L731" s="7">
        <f>Table1[[#This Row],[Hourly Rate]]*1000</f>
        <v>75000</v>
      </c>
      <c r="M731" s="7" t="str">
        <f t="shared" si="11"/>
        <v>Standard</v>
      </c>
      <c r="N731" s="2">
        <f>IF(ISNUMBER(#REF!),#REF!, _xlfn.IFS( I731&gt;=30, 5, I731&gt;=25, 4.8, I731&gt;=15, 4, I731&gt;=10, 3.8, I731&gt;=5, 3, I731&gt;=2, 2.5, I731&gt;=0, 1.8, TRUE, 1.3))</f>
        <v>1.8</v>
      </c>
      <c r="O731" s="2" t="s">
        <v>2053</v>
      </c>
      <c r="P731" s="10">
        <v>0.74</v>
      </c>
      <c r="Q731" s="10" t="str">
        <f>_xlfn.IFS(Table1[[#This Row],[Rating]]&gt;=4, "Top Performer", Table1[[#This Row],[Rating]]&gt;=3, "Average", TRUE, "Needs Imporovement")</f>
        <v>Needs Imporovement</v>
      </c>
    </row>
    <row r="732" spans="1:17" x14ac:dyDescent="0.3">
      <c r="A732" s="2" t="s">
        <v>1503</v>
      </c>
      <c r="B732" s="2" t="s">
        <v>1504</v>
      </c>
      <c r="C732" s="2" t="s">
        <v>68</v>
      </c>
      <c r="D732" s="2">
        <v>42</v>
      </c>
      <c r="E732" s="2" t="str">
        <f>_xlfn.IFS(Table1[[#This Row],[Age]]&lt;30, "18-29", D732&lt;=45,"30-45", D732&lt;=55, "46-55", TRUE, "55+")</f>
        <v>30-45</v>
      </c>
      <c r="F732" s="2" t="s">
        <v>92</v>
      </c>
      <c r="G732" s="2" t="s">
        <v>93</v>
      </c>
      <c r="H732" s="2" t="s">
        <v>17</v>
      </c>
      <c r="I732" s="5">
        <v>7</v>
      </c>
      <c r="J732" s="5" t="str">
        <f>_xlfn.IFS(Table1[[#This Row],[Experience(Years)]]&lt;5, "Junior", I732&lt;=12, "Mid-Level", I732&lt;=20, "Senior", I732&lt;=30, "Super Senior", TRUE, "Expert")</f>
        <v>Mid-Level</v>
      </c>
      <c r="K732" s="7">
        <v>20</v>
      </c>
      <c r="L732" s="7">
        <f>Table1[[#This Row],[Hourly Rate]]*1000</f>
        <v>20000</v>
      </c>
      <c r="M732" s="7" t="str">
        <f t="shared" si="11"/>
        <v>Budget</v>
      </c>
      <c r="N732" s="2">
        <f>IF(ISNUMBER(#REF!),#REF!, _xlfn.IFS( I732&gt;=30, 5, I732&gt;=25, 4.8, I732&gt;=15, 4, I732&gt;=10, 3.8, I732&gt;=5, 3, I732&gt;=2, 2.5, I732&gt;=0, 1.8, TRUE, 1.3))</f>
        <v>3</v>
      </c>
      <c r="O732" s="2" t="s">
        <v>2052</v>
      </c>
      <c r="P732" s="10">
        <v>1</v>
      </c>
      <c r="Q732" s="10" t="str">
        <f>_xlfn.IFS(Table1[[#This Row],[Rating]]&gt;=4, "Top Performer", Table1[[#This Row],[Rating]]&gt;=3, "Average", TRUE, "Needs Imporovement")</f>
        <v>Average</v>
      </c>
    </row>
    <row r="733" spans="1:17" x14ac:dyDescent="0.3">
      <c r="A733" s="2" t="s">
        <v>1505</v>
      </c>
      <c r="B733" s="2" t="s">
        <v>1506</v>
      </c>
      <c r="C733" s="2" t="s">
        <v>68</v>
      </c>
      <c r="D733" s="2">
        <v>21</v>
      </c>
      <c r="E733" s="2" t="str">
        <f>_xlfn.IFS(Table1[[#This Row],[Age]]&lt;30, "18-29", D733&lt;=45,"30-45", D733&lt;=55, "46-55", TRUE, "55+")</f>
        <v>18-29</v>
      </c>
      <c r="F733" s="2" t="s">
        <v>41</v>
      </c>
      <c r="G733" s="2" t="s">
        <v>8</v>
      </c>
      <c r="H733" s="2" t="s">
        <v>9</v>
      </c>
      <c r="I733" s="5">
        <v>3</v>
      </c>
      <c r="J733" s="5" t="str">
        <f>_xlfn.IFS(Table1[[#This Row],[Experience(Years)]]&lt;5, "Junior", I733&lt;=12, "Mid-Level", I733&lt;=20, "Senior", I733&lt;=30, "Super Senior", TRUE, "Expert")</f>
        <v>Junior</v>
      </c>
      <c r="K733" s="7">
        <v>40</v>
      </c>
      <c r="L733" s="7">
        <f>Table1[[#This Row],[Hourly Rate]]*1000</f>
        <v>40000</v>
      </c>
      <c r="M733" s="7" t="str">
        <f t="shared" si="11"/>
        <v>Standard</v>
      </c>
      <c r="N733" s="2">
        <f>IF(ISNUMBER(#REF!),#REF!, _xlfn.IFS( I733&gt;=30, 5, I733&gt;=25, 4.8, I733&gt;=15, 4, I733&gt;=10, 3.8, I733&gt;=5, 3, I733&gt;=2, 2.5, I733&gt;=0, 1.8, TRUE, 1.3))</f>
        <v>2.5</v>
      </c>
      <c r="O733" s="2" t="s">
        <v>2052</v>
      </c>
      <c r="P733" s="10">
        <v>0.87</v>
      </c>
      <c r="Q733" s="10" t="str">
        <f>_xlfn.IFS(Table1[[#This Row],[Rating]]&gt;=4, "Top Performer", Table1[[#This Row],[Rating]]&gt;=3, "Average", TRUE, "Needs Imporovement")</f>
        <v>Needs Imporovement</v>
      </c>
    </row>
    <row r="734" spans="1:17" x14ac:dyDescent="0.3">
      <c r="A734" s="2" t="s">
        <v>1507</v>
      </c>
      <c r="B734" s="2" t="s">
        <v>1508</v>
      </c>
      <c r="C734" s="2" t="s">
        <v>68</v>
      </c>
      <c r="D734" s="2">
        <v>39</v>
      </c>
      <c r="E734" s="2" t="str">
        <f>_xlfn.IFS(Table1[[#This Row],[Age]]&lt;30, "18-29", D734&lt;=45,"30-45", D734&lt;=55, "46-55", TRUE, "55+")</f>
        <v>30-45</v>
      </c>
      <c r="F734" s="2" t="s">
        <v>12</v>
      </c>
      <c r="G734" s="2" t="s">
        <v>13</v>
      </c>
      <c r="H734" s="2" t="s">
        <v>17</v>
      </c>
      <c r="I734" s="5">
        <v>21</v>
      </c>
      <c r="J734" s="5" t="str">
        <f>_xlfn.IFS(Table1[[#This Row],[Experience(Years)]]&lt;5, "Junior", I734&lt;=12, "Mid-Level", I734&lt;=20, "Senior", I734&lt;=30, "Super Senior", TRUE, "Expert")</f>
        <v>Super Senior</v>
      </c>
      <c r="K734" s="7">
        <v>100</v>
      </c>
      <c r="L734" s="7">
        <f>Table1[[#This Row],[Hourly Rate]]*1000</f>
        <v>100000</v>
      </c>
      <c r="M734" s="7" t="str">
        <f t="shared" si="11"/>
        <v>Premium</v>
      </c>
      <c r="N734" s="2">
        <f>IF(ISNUMBER(#REF!),#REF!, _xlfn.IFS( I734&gt;=30, 5, I734&gt;=25, 4.8, I734&gt;=15, 4, I734&gt;=10, 3.8, I734&gt;=5, 3, I734&gt;=2, 2.5, I734&gt;=0, 1.8, TRUE, 1.3))</f>
        <v>4</v>
      </c>
      <c r="O734" s="2" t="s">
        <v>2052</v>
      </c>
      <c r="P734" s="10">
        <v>0.79</v>
      </c>
      <c r="Q734" s="10" t="str">
        <f>_xlfn.IFS(Table1[[#This Row],[Rating]]&gt;=4, "Top Performer", Table1[[#This Row],[Rating]]&gt;=3, "Average", TRUE, "Needs Imporovement")</f>
        <v>Top Performer</v>
      </c>
    </row>
    <row r="735" spans="1:17" x14ac:dyDescent="0.3">
      <c r="A735" s="2" t="s">
        <v>1509</v>
      </c>
      <c r="B735" s="2" t="s">
        <v>1510</v>
      </c>
      <c r="C735" s="2" t="s">
        <v>68</v>
      </c>
      <c r="D735" s="2">
        <v>32</v>
      </c>
      <c r="E735" s="2" t="str">
        <f>_xlfn.IFS(Table1[[#This Row],[Age]]&lt;30, "18-29", D735&lt;=45,"30-45", D735&lt;=55, "46-55", TRUE, "55+")</f>
        <v>30-45</v>
      </c>
      <c r="F735" s="2" t="s">
        <v>64</v>
      </c>
      <c r="G735" s="2" t="s">
        <v>65</v>
      </c>
      <c r="H735" s="2" t="s">
        <v>4</v>
      </c>
      <c r="I735" s="5">
        <v>8</v>
      </c>
      <c r="J735" s="5" t="str">
        <f>_xlfn.IFS(Table1[[#This Row],[Experience(Years)]]&lt;5, "Junior", I735&lt;=12, "Mid-Level", I735&lt;=20, "Senior", I735&lt;=30, "Super Senior", TRUE, "Expert")</f>
        <v>Mid-Level</v>
      </c>
      <c r="K735" s="7">
        <v>30</v>
      </c>
      <c r="L735" s="7">
        <f>Table1[[#This Row],[Hourly Rate]]*1000</f>
        <v>30000</v>
      </c>
      <c r="M735" s="7" t="str">
        <f t="shared" si="11"/>
        <v>Budget</v>
      </c>
      <c r="N735" s="2">
        <f>IF(ISNUMBER(#REF!),#REF!, _xlfn.IFS( I735&gt;=30, 5, I735&gt;=25, 4.8, I735&gt;=15, 4, I735&gt;=10, 3.8, I735&gt;=5, 3, I735&gt;=2, 2.5, I735&gt;=0, 1.8, TRUE, 1.3))</f>
        <v>3</v>
      </c>
      <c r="O735" s="2" t="s">
        <v>2052</v>
      </c>
      <c r="P735" s="10">
        <v>0.68</v>
      </c>
      <c r="Q735" s="10" t="str">
        <f>_xlfn.IFS(Table1[[#This Row],[Rating]]&gt;=4, "Top Performer", Table1[[#This Row],[Rating]]&gt;=3, "Average", TRUE, "Needs Imporovement")</f>
        <v>Average</v>
      </c>
    </row>
    <row r="736" spans="1:17" x14ac:dyDescent="0.3">
      <c r="A736" s="2" t="s">
        <v>1511</v>
      </c>
      <c r="B736" s="2" t="s">
        <v>1512</v>
      </c>
      <c r="C736" s="2" t="s">
        <v>68</v>
      </c>
      <c r="D736" s="2">
        <v>35</v>
      </c>
      <c r="E736" s="2" t="str">
        <f>_xlfn.IFS(Table1[[#This Row],[Age]]&lt;30, "18-29", D736&lt;=45,"30-45", D736&lt;=55, "46-55", TRUE, "55+")</f>
        <v>30-45</v>
      </c>
      <c r="F736" s="2" t="s">
        <v>12</v>
      </c>
      <c r="G736" s="2" t="s">
        <v>13</v>
      </c>
      <c r="H736" s="2" t="s">
        <v>29</v>
      </c>
      <c r="I736" s="5">
        <v>15</v>
      </c>
      <c r="J736" s="5" t="str">
        <f>_xlfn.IFS(Table1[[#This Row],[Experience(Years)]]&lt;5, "Junior", I736&lt;=12, "Mid-Level", I736&lt;=20, "Senior", I736&lt;=30, "Super Senior", TRUE, "Expert")</f>
        <v>Senior</v>
      </c>
      <c r="K736" s="7">
        <v>100</v>
      </c>
      <c r="L736" s="7">
        <f>Table1[[#This Row],[Hourly Rate]]*1000</f>
        <v>100000</v>
      </c>
      <c r="M736" s="7" t="str">
        <f t="shared" si="11"/>
        <v>Premium</v>
      </c>
      <c r="N736" s="2">
        <f>IF(ISNUMBER(#REF!),#REF!, _xlfn.IFS( I736&gt;=30, 5, I736&gt;=25, 4.8, I736&gt;=15, 4, I736&gt;=10, 3.8, I736&gt;=5, 3, I736&gt;=2, 2.5, I736&gt;=0, 1.8, TRUE, 1.3))</f>
        <v>4</v>
      </c>
      <c r="O736" s="2" t="s">
        <v>2052</v>
      </c>
      <c r="P736" s="10">
        <v>0.84</v>
      </c>
      <c r="Q736" s="10" t="str">
        <f>_xlfn.IFS(Table1[[#This Row],[Rating]]&gt;=4, "Top Performer", Table1[[#This Row],[Rating]]&gt;=3, "Average", TRUE, "Needs Imporovement")</f>
        <v>Top Performer</v>
      </c>
    </row>
    <row r="737" spans="1:17" x14ac:dyDescent="0.3">
      <c r="A737" s="2" t="s">
        <v>1513</v>
      </c>
      <c r="B737" s="2" t="s">
        <v>1514</v>
      </c>
      <c r="C737" s="2" t="s">
        <v>49</v>
      </c>
      <c r="D737" s="2">
        <v>35</v>
      </c>
      <c r="E737" s="2" t="str">
        <f>_xlfn.IFS(Table1[[#This Row],[Age]]&lt;30, "18-29", D737&lt;=45,"30-45", D737&lt;=55, "46-55", TRUE, "55+")</f>
        <v>30-45</v>
      </c>
      <c r="F737" s="2" t="s">
        <v>103</v>
      </c>
      <c r="G737" s="2" t="s">
        <v>104</v>
      </c>
      <c r="H737" s="2" t="s">
        <v>46</v>
      </c>
      <c r="I737" s="5">
        <v>17</v>
      </c>
      <c r="J737" s="5" t="str">
        <f>_xlfn.IFS(Table1[[#This Row],[Experience(Years)]]&lt;5, "Junior", I737&lt;=12, "Mid-Level", I737&lt;=20, "Senior", I737&lt;=30, "Super Senior", TRUE, "Expert")</f>
        <v>Senior</v>
      </c>
      <c r="K737" s="7">
        <v>50</v>
      </c>
      <c r="L737" s="7">
        <f>Table1[[#This Row],[Hourly Rate]]*1000</f>
        <v>50000</v>
      </c>
      <c r="M737" s="7" t="str">
        <f t="shared" si="11"/>
        <v>Standard</v>
      </c>
      <c r="N737" s="2">
        <f>IF(ISNUMBER(#REF!),#REF!, _xlfn.IFS( I737&gt;=30, 5, I737&gt;=25, 4.8, I737&gt;=15, 4, I737&gt;=10, 3.8, I737&gt;=5, 3, I737&gt;=2, 2.5, I737&gt;=0, 1.8, TRUE, 1.3))</f>
        <v>4</v>
      </c>
      <c r="O737" s="2" t="s">
        <v>2052</v>
      </c>
      <c r="P737" s="10">
        <v>0.71</v>
      </c>
      <c r="Q737" s="10" t="str">
        <f>_xlfn.IFS(Table1[[#This Row],[Rating]]&gt;=4, "Top Performer", Table1[[#This Row],[Rating]]&gt;=3, "Average", TRUE, "Needs Imporovement")</f>
        <v>Top Performer</v>
      </c>
    </row>
    <row r="738" spans="1:17" x14ac:dyDescent="0.3">
      <c r="A738" s="2" t="s">
        <v>1515</v>
      </c>
      <c r="B738" s="2" t="s">
        <v>1516</v>
      </c>
      <c r="C738" s="2" t="s">
        <v>49</v>
      </c>
      <c r="D738" s="2">
        <v>23</v>
      </c>
      <c r="E738" s="2" t="str">
        <f>_xlfn.IFS(Table1[[#This Row],[Age]]&lt;30, "18-29", D738&lt;=45,"30-45", D738&lt;=55, "46-55", TRUE, "55+")</f>
        <v>18-29</v>
      </c>
      <c r="F738" s="2" t="s">
        <v>44</v>
      </c>
      <c r="G738" s="2" t="s">
        <v>45</v>
      </c>
      <c r="H738" s="2" t="s">
        <v>46</v>
      </c>
      <c r="I738" s="5">
        <v>0</v>
      </c>
      <c r="J738" s="5" t="str">
        <f>_xlfn.IFS(Table1[[#This Row],[Experience(Years)]]&lt;5, "Junior", I738&lt;=12, "Mid-Level", I738&lt;=20, "Senior", I738&lt;=30, "Super Senior", TRUE, "Expert")</f>
        <v>Junior</v>
      </c>
      <c r="K738" s="7">
        <v>75</v>
      </c>
      <c r="L738" s="7">
        <f>Table1[[#This Row],[Hourly Rate]]*1000</f>
        <v>75000</v>
      </c>
      <c r="M738" s="7" t="str">
        <f t="shared" si="11"/>
        <v>Standard</v>
      </c>
      <c r="N738" s="2">
        <f>IF(ISNUMBER(#REF!),#REF!, _xlfn.IFS( I738&gt;=30, 5, I738&gt;=25, 4.8, I738&gt;=15, 4, I738&gt;=10, 3.8, I738&gt;=5, 3, I738&gt;=2, 2.5, I738&gt;=0, 1.8, TRUE, 1.3))</f>
        <v>1.8</v>
      </c>
      <c r="O738" s="2" t="s">
        <v>2052</v>
      </c>
      <c r="P738" s="10">
        <v>0.92</v>
      </c>
      <c r="Q738" s="10" t="str">
        <f>_xlfn.IFS(Table1[[#This Row],[Rating]]&gt;=4, "Top Performer", Table1[[#This Row],[Rating]]&gt;=3, "Average", TRUE, "Needs Imporovement")</f>
        <v>Needs Imporovement</v>
      </c>
    </row>
    <row r="739" spans="1:17" x14ac:dyDescent="0.3">
      <c r="A739" s="2" t="s">
        <v>1517</v>
      </c>
      <c r="B739" s="2" t="s">
        <v>1518</v>
      </c>
      <c r="C739" s="2" t="s">
        <v>68</v>
      </c>
      <c r="D739" s="2">
        <v>26</v>
      </c>
      <c r="E739" s="2" t="str">
        <f>_xlfn.IFS(Table1[[#This Row],[Age]]&lt;30, "18-29", D739&lt;=45,"30-45", D739&lt;=55, "46-55", TRUE, "55+")</f>
        <v>18-29</v>
      </c>
      <c r="F739" s="2" t="s">
        <v>22</v>
      </c>
      <c r="G739" s="2" t="s">
        <v>23</v>
      </c>
      <c r="H739" s="2" t="s">
        <v>24</v>
      </c>
      <c r="I739" s="5">
        <v>6</v>
      </c>
      <c r="J739" s="5" t="str">
        <f>_xlfn.IFS(Table1[[#This Row],[Experience(Years)]]&lt;5, "Junior", I739&lt;=12, "Mid-Level", I739&lt;=20, "Senior", I739&lt;=30, "Super Senior", TRUE, "Expert")</f>
        <v>Mid-Level</v>
      </c>
      <c r="K739" s="7">
        <v>100</v>
      </c>
      <c r="L739" s="7">
        <f>Table1[[#This Row],[Hourly Rate]]*1000</f>
        <v>100000</v>
      </c>
      <c r="M739" s="7" t="str">
        <f t="shared" si="11"/>
        <v>Premium</v>
      </c>
      <c r="N739" s="2">
        <f>IF(ISNUMBER(#REF!),#REF!, _xlfn.IFS( I739&gt;=30, 5, I739&gt;=25, 4.8, I739&gt;=15, 4, I739&gt;=10, 3.8, I739&gt;=5, 3, I739&gt;=2, 2.5, I739&gt;=0, 1.8, TRUE, 1.3))</f>
        <v>3</v>
      </c>
      <c r="O739" s="2" t="s">
        <v>2052</v>
      </c>
      <c r="P739" s="10">
        <v>0.69</v>
      </c>
      <c r="Q739" s="10" t="str">
        <f>_xlfn.IFS(Table1[[#This Row],[Rating]]&gt;=4, "Top Performer", Table1[[#This Row],[Rating]]&gt;=3, "Average", TRUE, "Needs Imporovement")</f>
        <v>Average</v>
      </c>
    </row>
    <row r="740" spans="1:17" x14ac:dyDescent="0.3">
      <c r="A740" s="2" t="s">
        <v>1519</v>
      </c>
      <c r="B740" s="2" t="s">
        <v>1520</v>
      </c>
      <c r="C740" s="2" t="s">
        <v>49</v>
      </c>
      <c r="D740" s="2">
        <v>34</v>
      </c>
      <c r="E740" s="2" t="str">
        <f>_xlfn.IFS(Table1[[#This Row],[Age]]&lt;30, "18-29", D740&lt;=45,"30-45", D740&lt;=55, "46-55", TRUE, "55+")</f>
        <v>30-45</v>
      </c>
      <c r="F740" s="2" t="s">
        <v>96</v>
      </c>
      <c r="G740" s="2" t="s">
        <v>8</v>
      </c>
      <c r="H740" s="2" t="s">
        <v>83</v>
      </c>
      <c r="I740" s="5">
        <v>3</v>
      </c>
      <c r="J740" s="5" t="str">
        <f>_xlfn.IFS(Table1[[#This Row],[Experience(Years)]]&lt;5, "Junior", I740&lt;=12, "Mid-Level", I740&lt;=20, "Senior", I740&lt;=30, "Super Senior", TRUE, "Expert")</f>
        <v>Junior</v>
      </c>
      <c r="K740" s="7">
        <v>30</v>
      </c>
      <c r="L740" s="7">
        <f>Table1[[#This Row],[Hourly Rate]]*1000</f>
        <v>30000</v>
      </c>
      <c r="M740" s="7" t="str">
        <f t="shared" si="11"/>
        <v>Budget</v>
      </c>
      <c r="N740" s="2">
        <f>IF(ISNUMBER(#REF!),#REF!, _xlfn.IFS( I740&gt;=30, 5, I740&gt;=25, 4.8, I740&gt;=15, 4, I740&gt;=10, 3.8, I740&gt;=5, 3, I740&gt;=2, 2.5, I740&gt;=0, 1.8, TRUE, 1.3))</f>
        <v>2.5</v>
      </c>
      <c r="O740" s="2" t="s">
        <v>2053</v>
      </c>
      <c r="P740" s="10">
        <v>0.71</v>
      </c>
      <c r="Q740" s="10" t="str">
        <f>_xlfn.IFS(Table1[[#This Row],[Rating]]&gt;=4, "Top Performer", Table1[[#This Row],[Rating]]&gt;=3, "Average", TRUE, "Needs Imporovement")</f>
        <v>Needs Imporovement</v>
      </c>
    </row>
    <row r="741" spans="1:17" x14ac:dyDescent="0.3">
      <c r="A741" s="2" t="s">
        <v>1521</v>
      </c>
      <c r="B741" s="2" t="s">
        <v>1522</v>
      </c>
      <c r="C741" s="2" t="s">
        <v>49</v>
      </c>
      <c r="D741" s="2">
        <v>34</v>
      </c>
      <c r="E741" s="2" t="str">
        <f>_xlfn.IFS(Table1[[#This Row],[Age]]&lt;30, "18-29", D741&lt;=45,"30-45", D741&lt;=55, "46-55", TRUE, "55+")</f>
        <v>30-45</v>
      </c>
      <c r="F741" s="2" t="s">
        <v>12</v>
      </c>
      <c r="G741" s="2" t="s">
        <v>13</v>
      </c>
      <c r="H741" s="2" t="s">
        <v>4</v>
      </c>
      <c r="I741" s="5">
        <v>3</v>
      </c>
      <c r="J741" s="5" t="str">
        <f>_xlfn.IFS(Table1[[#This Row],[Experience(Years)]]&lt;5, "Junior", I741&lt;=12, "Mid-Level", I741&lt;=20, "Senior", I741&lt;=30, "Super Senior", TRUE, "Expert")</f>
        <v>Junior</v>
      </c>
      <c r="K741" s="7">
        <v>20</v>
      </c>
      <c r="L741" s="7">
        <f>Table1[[#This Row],[Hourly Rate]]*1000</f>
        <v>20000</v>
      </c>
      <c r="M741" s="7" t="str">
        <f t="shared" si="11"/>
        <v>Budget</v>
      </c>
      <c r="N741" s="2">
        <f>IF(ISNUMBER(#REF!),#REF!, _xlfn.IFS( I741&gt;=30, 5, I741&gt;=25, 4.8, I741&gt;=15, 4, I741&gt;=10, 3.8, I741&gt;=5, 3, I741&gt;=2, 2.5, I741&gt;=0, 1.8, TRUE, 1.3))</f>
        <v>2.5</v>
      </c>
      <c r="O741" s="2" t="s">
        <v>2052</v>
      </c>
      <c r="P741" s="10">
        <v>0.77</v>
      </c>
      <c r="Q741" s="10" t="str">
        <f>_xlfn.IFS(Table1[[#This Row],[Rating]]&gt;=4, "Top Performer", Table1[[#This Row],[Rating]]&gt;=3, "Average", TRUE, "Needs Imporovement")</f>
        <v>Needs Imporovement</v>
      </c>
    </row>
    <row r="742" spans="1:17" x14ac:dyDescent="0.3">
      <c r="A742" s="2" t="s">
        <v>1523</v>
      </c>
      <c r="B742" s="2" t="s">
        <v>1524</v>
      </c>
      <c r="C742" s="2" t="s">
        <v>68</v>
      </c>
      <c r="D742" s="2">
        <v>57</v>
      </c>
      <c r="E742" s="2" t="str">
        <f>_xlfn.IFS(Table1[[#This Row],[Age]]&lt;30, "18-29", D742&lt;=45,"30-45", D742&lt;=55, "46-55", TRUE, "55+")</f>
        <v>55+</v>
      </c>
      <c r="F742" s="2" t="s">
        <v>2</v>
      </c>
      <c r="G742" s="2" t="s">
        <v>3</v>
      </c>
      <c r="H742" s="2" t="s">
        <v>17</v>
      </c>
      <c r="I742" s="5">
        <v>31</v>
      </c>
      <c r="J742" s="5" t="str">
        <f>_xlfn.IFS(Table1[[#This Row],[Experience(Years)]]&lt;5, "Junior", I742&lt;=12, "Mid-Level", I742&lt;=20, "Senior", I742&lt;=30, "Super Senior", TRUE, "Expert")</f>
        <v>Expert</v>
      </c>
      <c r="K742" s="7">
        <v>50</v>
      </c>
      <c r="L742" s="7">
        <f>Table1[[#This Row],[Hourly Rate]]*1000</f>
        <v>50000</v>
      </c>
      <c r="M742" s="7" t="str">
        <f t="shared" si="11"/>
        <v>Standard</v>
      </c>
      <c r="N742" s="2">
        <f>IF(ISNUMBER(#REF!),#REF!, _xlfn.IFS( I742&gt;=30, 5, I742&gt;=25, 4.8, I742&gt;=15, 4, I742&gt;=10, 3.8, I742&gt;=5, 3, I742&gt;=2, 2.5, I742&gt;=0, 1.8, TRUE, 1.3))</f>
        <v>5</v>
      </c>
      <c r="O742" s="2" t="s">
        <v>2053</v>
      </c>
      <c r="P742" s="10">
        <v>0.87</v>
      </c>
      <c r="Q742" s="10" t="str">
        <f>_xlfn.IFS(Table1[[#This Row],[Rating]]&gt;=4, "Top Performer", Table1[[#This Row],[Rating]]&gt;=3, "Average", TRUE, "Needs Imporovement")</f>
        <v>Top Performer</v>
      </c>
    </row>
    <row r="743" spans="1:17" x14ac:dyDescent="0.3">
      <c r="A743" s="2" t="s">
        <v>1525</v>
      </c>
      <c r="B743" s="2" t="s">
        <v>1526</v>
      </c>
      <c r="C743" s="2" t="s">
        <v>68</v>
      </c>
      <c r="D743" s="2">
        <v>46</v>
      </c>
      <c r="E743" s="2" t="str">
        <f>_xlfn.IFS(Table1[[#This Row],[Age]]&lt;30, "18-29", D743&lt;=45,"30-45", D743&lt;=55, "46-55", TRUE, "55+")</f>
        <v>46-55</v>
      </c>
      <c r="F743" s="2" t="s">
        <v>96</v>
      </c>
      <c r="G743" s="2" t="s">
        <v>8</v>
      </c>
      <c r="H743" s="2" t="s">
        <v>17</v>
      </c>
      <c r="I743" s="5">
        <v>5</v>
      </c>
      <c r="J743" s="5" t="str">
        <f>_xlfn.IFS(Table1[[#This Row],[Experience(Years)]]&lt;5, "Junior", I743&lt;=12, "Mid-Level", I743&lt;=20, "Senior", I743&lt;=30, "Super Senior", TRUE, "Expert")</f>
        <v>Mid-Level</v>
      </c>
      <c r="K743" s="7">
        <v>30</v>
      </c>
      <c r="L743" s="7">
        <f>Table1[[#This Row],[Hourly Rate]]*1000</f>
        <v>30000</v>
      </c>
      <c r="M743" s="7" t="str">
        <f t="shared" si="11"/>
        <v>Budget</v>
      </c>
      <c r="N743" s="2">
        <f>IF(ISNUMBER(#REF!),#REF!, _xlfn.IFS( I743&gt;=30, 5, I743&gt;=25, 4.8, I743&gt;=15, 4, I743&gt;=10, 3.8, I743&gt;=5, 3, I743&gt;=2, 2.5, I743&gt;=0, 1.8, TRUE, 1.3))</f>
        <v>3</v>
      </c>
      <c r="O743" s="2" t="s">
        <v>2052</v>
      </c>
      <c r="P743" s="10">
        <v>0.76</v>
      </c>
      <c r="Q743" s="10" t="str">
        <f>_xlfn.IFS(Table1[[#This Row],[Rating]]&gt;=4, "Top Performer", Table1[[#This Row],[Rating]]&gt;=3, "Average", TRUE, "Needs Imporovement")</f>
        <v>Average</v>
      </c>
    </row>
    <row r="744" spans="1:17" x14ac:dyDescent="0.3">
      <c r="A744" s="2" t="s">
        <v>1527</v>
      </c>
      <c r="B744" s="2" t="s">
        <v>1528</v>
      </c>
      <c r="C744" s="2" t="s">
        <v>68</v>
      </c>
      <c r="D744" s="2">
        <v>55</v>
      </c>
      <c r="E744" s="2" t="str">
        <f>_xlfn.IFS(Table1[[#This Row],[Age]]&lt;30, "18-29", D744&lt;=45,"30-45", D744&lt;=55, "46-55", TRUE, "55+")</f>
        <v>46-55</v>
      </c>
      <c r="F744" s="2" t="s">
        <v>64</v>
      </c>
      <c r="G744" s="2" t="s">
        <v>65</v>
      </c>
      <c r="H744" s="2" t="s">
        <v>24</v>
      </c>
      <c r="I744" s="5">
        <v>37</v>
      </c>
      <c r="J744" s="5" t="str">
        <f>_xlfn.IFS(Table1[[#This Row],[Experience(Years)]]&lt;5, "Junior", I744&lt;=12, "Mid-Level", I744&lt;=20, "Senior", I744&lt;=30, "Super Senior", TRUE, "Expert")</f>
        <v>Expert</v>
      </c>
      <c r="K744" s="7">
        <v>75</v>
      </c>
      <c r="L744" s="7">
        <f>Table1[[#This Row],[Hourly Rate]]*1000</f>
        <v>75000</v>
      </c>
      <c r="M744" s="7" t="str">
        <f t="shared" si="11"/>
        <v>Standard</v>
      </c>
      <c r="N744" s="2">
        <f>IF(ISNUMBER(#REF!),#REF!, _xlfn.IFS( I744&gt;=30, 5, I744&gt;=25, 4.8, I744&gt;=15, 4, I744&gt;=10, 3.8, I744&gt;=5, 3, I744&gt;=2, 2.5, I744&gt;=0, 1.8, TRUE, 1.3))</f>
        <v>5</v>
      </c>
      <c r="O744" s="2" t="s">
        <v>2052</v>
      </c>
      <c r="P744" s="10">
        <v>1</v>
      </c>
      <c r="Q744" s="10" t="str">
        <f>_xlfn.IFS(Table1[[#This Row],[Rating]]&gt;=4, "Top Performer", Table1[[#This Row],[Rating]]&gt;=3, "Average", TRUE, "Needs Imporovement")</f>
        <v>Top Performer</v>
      </c>
    </row>
    <row r="745" spans="1:17" x14ac:dyDescent="0.3">
      <c r="A745" s="2" t="s">
        <v>1529</v>
      </c>
      <c r="B745" s="2" t="s">
        <v>1530</v>
      </c>
      <c r="C745" s="2" t="s">
        <v>49</v>
      </c>
      <c r="D745" s="2">
        <v>32</v>
      </c>
      <c r="E745" s="2" t="str">
        <f>_xlfn.IFS(Table1[[#This Row],[Age]]&lt;30, "18-29", D745&lt;=45,"30-45", D745&lt;=55, "46-55", TRUE, "55+")</f>
        <v>30-45</v>
      </c>
      <c r="F745" s="2" t="s">
        <v>7</v>
      </c>
      <c r="G745" s="2" t="s">
        <v>8</v>
      </c>
      <c r="H745" s="2" t="s">
        <v>61</v>
      </c>
      <c r="I745" s="5">
        <v>10</v>
      </c>
      <c r="J745" s="5" t="str">
        <f>_xlfn.IFS(Table1[[#This Row],[Experience(Years)]]&lt;5, "Junior", I745&lt;=12, "Mid-Level", I745&lt;=20, "Senior", I745&lt;=30, "Super Senior", TRUE, "Expert")</f>
        <v>Mid-Level</v>
      </c>
      <c r="K745" s="7">
        <v>50</v>
      </c>
      <c r="L745" s="7">
        <f>Table1[[#This Row],[Hourly Rate]]*1000</f>
        <v>50000</v>
      </c>
      <c r="M745" s="7" t="str">
        <f t="shared" si="11"/>
        <v>Standard</v>
      </c>
      <c r="N745" s="2">
        <f>IF(ISNUMBER(#REF!),#REF!, _xlfn.IFS( I745&gt;=30, 5, I745&gt;=25, 4.8, I745&gt;=15, 4, I745&gt;=10, 3.8, I745&gt;=5, 3, I745&gt;=2, 2.5, I745&gt;=0, 1.8, TRUE, 1.3))</f>
        <v>3.8</v>
      </c>
      <c r="O745" s="2" t="s">
        <v>2052</v>
      </c>
      <c r="P745" s="10">
        <v>0.65</v>
      </c>
      <c r="Q745" s="10" t="str">
        <f>_xlfn.IFS(Table1[[#This Row],[Rating]]&gt;=4, "Top Performer", Table1[[#This Row],[Rating]]&gt;=3, "Average", TRUE, "Needs Imporovement")</f>
        <v>Average</v>
      </c>
    </row>
    <row r="746" spans="1:17" x14ac:dyDescent="0.3">
      <c r="A746" s="2" t="s">
        <v>1531</v>
      </c>
      <c r="B746" s="2" t="s">
        <v>1532</v>
      </c>
      <c r="C746" s="2" t="s">
        <v>68</v>
      </c>
      <c r="D746" s="2">
        <v>53</v>
      </c>
      <c r="E746" s="2" t="str">
        <f>_xlfn.IFS(Table1[[#This Row],[Age]]&lt;30, "18-29", D746&lt;=45,"30-45", D746&lt;=55, "46-55", TRUE, "55+")</f>
        <v>46-55</v>
      </c>
      <c r="F746" s="2" t="s">
        <v>27</v>
      </c>
      <c r="G746" s="2" t="s">
        <v>28</v>
      </c>
      <c r="H746" s="2" t="s">
        <v>24</v>
      </c>
      <c r="I746" s="5">
        <v>28</v>
      </c>
      <c r="J746" s="5" t="str">
        <f>_xlfn.IFS(Table1[[#This Row],[Experience(Years)]]&lt;5, "Junior", I746&lt;=12, "Mid-Level", I746&lt;=20, "Senior", I746&lt;=30, "Super Senior", TRUE, "Expert")</f>
        <v>Super Senior</v>
      </c>
      <c r="K746" s="7">
        <v>50</v>
      </c>
      <c r="L746" s="7">
        <f>Table1[[#This Row],[Hourly Rate]]*1000</f>
        <v>50000</v>
      </c>
      <c r="M746" s="7" t="str">
        <f t="shared" si="11"/>
        <v>Standard</v>
      </c>
      <c r="N746" s="2">
        <f>IF(ISNUMBER(#REF!),#REF!, _xlfn.IFS( I746&gt;=30, 5, I746&gt;=25, 4.8, I746&gt;=15, 4, I746&gt;=10, 3.8, I746&gt;=5, 3, I746&gt;=2, 2.5, I746&gt;=0, 1.8, TRUE, 1.3))</f>
        <v>4.8</v>
      </c>
      <c r="O746" s="2" t="s">
        <v>2053</v>
      </c>
      <c r="P746" s="10">
        <v>0.82</v>
      </c>
      <c r="Q746" s="10" t="str">
        <f>_xlfn.IFS(Table1[[#This Row],[Rating]]&gt;=4, "Top Performer", Table1[[#This Row],[Rating]]&gt;=3, "Average", TRUE, "Needs Imporovement")</f>
        <v>Top Performer</v>
      </c>
    </row>
    <row r="747" spans="1:17" x14ac:dyDescent="0.3">
      <c r="A747" s="2" t="s">
        <v>1533</v>
      </c>
      <c r="B747" s="2" t="s">
        <v>1534</v>
      </c>
      <c r="C747" s="2" t="s">
        <v>68</v>
      </c>
      <c r="D747" s="2">
        <v>59</v>
      </c>
      <c r="E747" s="2" t="str">
        <f>_xlfn.IFS(Table1[[#This Row],[Age]]&lt;30, "18-29", D747&lt;=45,"30-45", D747&lt;=55, "46-55", TRUE, "55+")</f>
        <v>55+</v>
      </c>
      <c r="F747" s="2" t="s">
        <v>145</v>
      </c>
      <c r="G747" s="2" t="s">
        <v>45</v>
      </c>
      <c r="H747" s="2" t="s">
        <v>24</v>
      </c>
      <c r="I747" s="5">
        <v>0</v>
      </c>
      <c r="J747" s="5" t="str">
        <f>_xlfn.IFS(Table1[[#This Row],[Experience(Years)]]&lt;5, "Junior", I747&lt;=12, "Mid-Level", I747&lt;=20, "Senior", I747&lt;=30, "Super Senior", TRUE, "Expert")</f>
        <v>Junior</v>
      </c>
      <c r="K747" s="7">
        <v>100</v>
      </c>
      <c r="L747" s="7">
        <f>Table1[[#This Row],[Hourly Rate]]*1000</f>
        <v>100000</v>
      </c>
      <c r="M747" s="7" t="str">
        <f t="shared" si="11"/>
        <v>Premium</v>
      </c>
      <c r="N747" s="2">
        <f>IF(ISNUMBER(#REF!),#REF!, _xlfn.IFS( I747&gt;=30, 5, I747&gt;=25, 4.8, I747&gt;=15, 4, I747&gt;=10, 3.8, I747&gt;=5, 3, I747&gt;=2, 2.5, I747&gt;=0, 1.8, TRUE, 1.3))</f>
        <v>1.8</v>
      </c>
      <c r="O747" s="2" t="s">
        <v>2053</v>
      </c>
      <c r="P747" s="10">
        <v>0.87</v>
      </c>
      <c r="Q747" s="10" t="str">
        <f>_xlfn.IFS(Table1[[#This Row],[Rating]]&gt;=4, "Top Performer", Table1[[#This Row],[Rating]]&gt;=3, "Average", TRUE, "Needs Imporovement")</f>
        <v>Needs Imporovement</v>
      </c>
    </row>
    <row r="748" spans="1:17" x14ac:dyDescent="0.3">
      <c r="A748" s="2" t="s">
        <v>1535</v>
      </c>
      <c r="B748" s="2" t="s">
        <v>1536</v>
      </c>
      <c r="C748" s="2" t="s">
        <v>49</v>
      </c>
      <c r="D748" s="2">
        <v>44</v>
      </c>
      <c r="E748" s="2" t="str">
        <f>_xlfn.IFS(Table1[[#This Row],[Age]]&lt;30, "18-29", D748&lt;=45,"30-45", D748&lt;=55, "46-55", TRUE, "55+")</f>
        <v>30-45</v>
      </c>
      <c r="F748" s="2" t="s">
        <v>22</v>
      </c>
      <c r="G748" s="2" t="s">
        <v>23</v>
      </c>
      <c r="H748" s="2" t="s">
        <v>83</v>
      </c>
      <c r="I748" s="5">
        <v>19</v>
      </c>
      <c r="J748" s="5" t="str">
        <f>_xlfn.IFS(Table1[[#This Row],[Experience(Years)]]&lt;5, "Junior", I748&lt;=12, "Mid-Level", I748&lt;=20, "Senior", I748&lt;=30, "Super Senior", TRUE, "Expert")</f>
        <v>Senior</v>
      </c>
      <c r="K748" s="7">
        <v>40</v>
      </c>
      <c r="L748" s="7">
        <f>Table1[[#This Row],[Hourly Rate]]*1000</f>
        <v>40000</v>
      </c>
      <c r="M748" s="7" t="str">
        <f t="shared" si="11"/>
        <v>Standard</v>
      </c>
      <c r="N748" s="2">
        <f>IF(ISNUMBER(#REF!),#REF!, _xlfn.IFS( I748&gt;=30, 5, I748&gt;=25, 4.8, I748&gt;=15, 4, I748&gt;=10, 3.8, I748&gt;=5, 3, I748&gt;=2, 2.5, I748&gt;=0, 1.8, TRUE, 1.3))</f>
        <v>4</v>
      </c>
      <c r="O748" s="2" t="s">
        <v>2052</v>
      </c>
      <c r="P748" s="10">
        <v>1</v>
      </c>
      <c r="Q748" s="10" t="str">
        <f>_xlfn.IFS(Table1[[#This Row],[Rating]]&gt;=4, "Top Performer", Table1[[#This Row],[Rating]]&gt;=3, "Average", TRUE, "Needs Imporovement")</f>
        <v>Top Performer</v>
      </c>
    </row>
    <row r="749" spans="1:17" x14ac:dyDescent="0.3">
      <c r="A749" s="2" t="s">
        <v>1537</v>
      </c>
      <c r="B749" s="2" t="s">
        <v>1538</v>
      </c>
      <c r="C749" s="2" t="s">
        <v>68</v>
      </c>
      <c r="D749" s="2">
        <v>35</v>
      </c>
      <c r="E749" s="2" t="str">
        <f>_xlfn.IFS(Table1[[#This Row],[Age]]&lt;30, "18-29", D749&lt;=45,"30-45", D749&lt;=55, "46-55", TRUE, "55+")</f>
        <v>30-45</v>
      </c>
      <c r="F749" s="2" t="s">
        <v>107</v>
      </c>
      <c r="G749" s="2" t="s">
        <v>108</v>
      </c>
      <c r="H749" s="2" t="s">
        <v>4</v>
      </c>
      <c r="I749" s="5">
        <v>9</v>
      </c>
      <c r="J749" s="5" t="str">
        <f>_xlfn.IFS(Table1[[#This Row],[Experience(Years)]]&lt;5, "Junior", I749&lt;=12, "Mid-Level", I749&lt;=20, "Senior", I749&lt;=30, "Super Senior", TRUE, "Expert")</f>
        <v>Mid-Level</v>
      </c>
      <c r="K749" s="7">
        <v>50</v>
      </c>
      <c r="L749" s="7">
        <f>Table1[[#This Row],[Hourly Rate]]*1000</f>
        <v>50000</v>
      </c>
      <c r="M749" s="7" t="str">
        <f t="shared" si="11"/>
        <v>Standard</v>
      </c>
      <c r="N749" s="2">
        <f>IF(ISNUMBER(#REF!),#REF!, _xlfn.IFS( I749&gt;=30, 5, I749&gt;=25, 4.8, I749&gt;=15, 4, I749&gt;=10, 3.8, I749&gt;=5, 3, I749&gt;=2, 2.5, I749&gt;=0, 1.8, TRUE, 1.3))</f>
        <v>3</v>
      </c>
      <c r="O749" s="2" t="s">
        <v>2052</v>
      </c>
      <c r="P749" s="10">
        <v>0.71</v>
      </c>
      <c r="Q749" s="10" t="str">
        <f>_xlfn.IFS(Table1[[#This Row],[Rating]]&gt;=4, "Top Performer", Table1[[#This Row],[Rating]]&gt;=3, "Average", TRUE, "Needs Imporovement")</f>
        <v>Average</v>
      </c>
    </row>
    <row r="750" spans="1:17" x14ac:dyDescent="0.3">
      <c r="A750" s="2" t="s">
        <v>1539</v>
      </c>
      <c r="B750" s="2" t="s">
        <v>1540</v>
      </c>
      <c r="C750" s="2" t="s">
        <v>49</v>
      </c>
      <c r="D750" s="2">
        <v>42</v>
      </c>
      <c r="E750" s="2" t="str">
        <f>_xlfn.IFS(Table1[[#This Row],[Age]]&lt;30, "18-29", D750&lt;=45,"30-45", D750&lt;=55, "46-55", TRUE, "55+")</f>
        <v>30-45</v>
      </c>
      <c r="F750" s="2" t="s">
        <v>141</v>
      </c>
      <c r="G750" s="2" t="s">
        <v>142</v>
      </c>
      <c r="H750" s="2" t="s">
        <v>83</v>
      </c>
      <c r="I750" s="5">
        <v>5</v>
      </c>
      <c r="J750" s="5" t="str">
        <f>_xlfn.IFS(Table1[[#This Row],[Experience(Years)]]&lt;5, "Junior", I750&lt;=12, "Mid-Level", I750&lt;=20, "Senior", I750&lt;=30, "Super Senior", TRUE, "Expert")</f>
        <v>Mid-Level</v>
      </c>
      <c r="K750" s="7">
        <v>30</v>
      </c>
      <c r="L750" s="7">
        <f>Table1[[#This Row],[Hourly Rate]]*1000</f>
        <v>30000</v>
      </c>
      <c r="M750" s="7" t="str">
        <f t="shared" si="11"/>
        <v>Budget</v>
      </c>
      <c r="N750" s="2">
        <f>IF(ISNUMBER(#REF!),#REF!, _xlfn.IFS( I750&gt;=30, 5, I750&gt;=25, 4.8, I750&gt;=15, 4, I750&gt;=10, 3.8, I750&gt;=5, 3, I750&gt;=2, 2.5, I750&gt;=0, 1.8, TRUE, 1.3))</f>
        <v>3</v>
      </c>
      <c r="O750" s="2" t="s">
        <v>2053</v>
      </c>
      <c r="P750" s="10">
        <v>0.87</v>
      </c>
      <c r="Q750" s="10" t="str">
        <f>_xlfn.IFS(Table1[[#This Row],[Rating]]&gt;=4, "Top Performer", Table1[[#This Row],[Rating]]&gt;=3, "Average", TRUE, "Needs Imporovement")</f>
        <v>Average</v>
      </c>
    </row>
    <row r="751" spans="1:17" x14ac:dyDescent="0.3">
      <c r="A751" s="2" t="s">
        <v>1541</v>
      </c>
      <c r="B751" s="2" t="s">
        <v>1542</v>
      </c>
      <c r="C751" s="2" t="s">
        <v>49</v>
      </c>
      <c r="D751" s="2">
        <v>58</v>
      </c>
      <c r="E751" s="2" t="str">
        <f>_xlfn.IFS(Table1[[#This Row],[Age]]&lt;30, "18-29", D751&lt;=45,"30-45", D751&lt;=55, "46-55", TRUE, "55+")</f>
        <v>55+</v>
      </c>
      <c r="F751" s="2" t="s">
        <v>81</v>
      </c>
      <c r="G751" s="2" t="s">
        <v>82</v>
      </c>
      <c r="H751" s="2" t="s">
        <v>4</v>
      </c>
      <c r="I751" s="5">
        <v>0</v>
      </c>
      <c r="J751" s="5" t="str">
        <f>_xlfn.IFS(Table1[[#This Row],[Experience(Years)]]&lt;5, "Junior", I751&lt;=12, "Mid-Level", I751&lt;=20, "Senior", I751&lt;=30, "Super Senior", TRUE, "Expert")</f>
        <v>Junior</v>
      </c>
      <c r="K751" s="7">
        <v>30</v>
      </c>
      <c r="L751" s="7">
        <f>Table1[[#This Row],[Hourly Rate]]*1000</f>
        <v>30000</v>
      </c>
      <c r="M751" s="7" t="str">
        <f t="shared" si="11"/>
        <v>Budget</v>
      </c>
      <c r="N751" s="2">
        <f>IF(ISNUMBER(#REF!),#REF!, _xlfn.IFS( I751&gt;=30, 5, I751&gt;=25, 4.8, I751&gt;=15, 4, I751&gt;=10, 3.8, I751&gt;=5, 3, I751&gt;=2, 2.5, I751&gt;=0, 1.8, TRUE, 1.3))</f>
        <v>1.8</v>
      </c>
      <c r="O751" s="2" t="s">
        <v>2052</v>
      </c>
      <c r="P751" s="10">
        <v>0.7</v>
      </c>
      <c r="Q751" s="10" t="str">
        <f>_xlfn.IFS(Table1[[#This Row],[Rating]]&gt;=4, "Top Performer", Table1[[#This Row],[Rating]]&gt;=3, "Average", TRUE, "Needs Imporovement")</f>
        <v>Needs Imporovement</v>
      </c>
    </row>
    <row r="752" spans="1:17" x14ac:dyDescent="0.3">
      <c r="A752" s="2" t="s">
        <v>1543</v>
      </c>
      <c r="B752" s="2" t="s">
        <v>1544</v>
      </c>
      <c r="C752" s="2" t="s">
        <v>68</v>
      </c>
      <c r="D752" s="2">
        <v>41</v>
      </c>
      <c r="E752" s="2" t="str">
        <f>_xlfn.IFS(Table1[[#This Row],[Age]]&lt;30, "18-29", D752&lt;=45,"30-45", D752&lt;=55, "46-55", TRUE, "55+")</f>
        <v>30-45</v>
      </c>
      <c r="F752" s="2" t="s">
        <v>22</v>
      </c>
      <c r="G752" s="2" t="s">
        <v>23</v>
      </c>
      <c r="H752" s="2" t="s">
        <v>24</v>
      </c>
      <c r="I752" s="5">
        <v>21</v>
      </c>
      <c r="J752" s="5" t="str">
        <f>_xlfn.IFS(Table1[[#This Row],[Experience(Years)]]&lt;5, "Junior", I752&lt;=12, "Mid-Level", I752&lt;=20, "Senior", I752&lt;=30, "Super Senior", TRUE, "Expert")</f>
        <v>Super Senior</v>
      </c>
      <c r="K752" s="7">
        <v>100</v>
      </c>
      <c r="L752" s="7">
        <f>Table1[[#This Row],[Hourly Rate]]*1000</f>
        <v>100000</v>
      </c>
      <c r="M752" s="7" t="str">
        <f t="shared" si="11"/>
        <v>Premium</v>
      </c>
      <c r="N752" s="2">
        <f>IF(ISNUMBER(#REF!),#REF!, _xlfn.IFS( I752&gt;=30, 5, I752&gt;=25, 4.8, I752&gt;=15, 4, I752&gt;=10, 3.8, I752&gt;=5, 3, I752&gt;=2, 2.5, I752&gt;=0, 1.8, TRUE, 1.3))</f>
        <v>4</v>
      </c>
      <c r="O752" s="2" t="s">
        <v>2053</v>
      </c>
      <c r="P752" s="10">
        <v>0.83</v>
      </c>
      <c r="Q752" s="10" t="str">
        <f>_xlfn.IFS(Table1[[#This Row],[Rating]]&gt;=4, "Top Performer", Table1[[#This Row],[Rating]]&gt;=3, "Average", TRUE, "Needs Imporovement")</f>
        <v>Top Performer</v>
      </c>
    </row>
    <row r="753" spans="1:17" x14ac:dyDescent="0.3">
      <c r="A753" s="2" t="s">
        <v>1545</v>
      </c>
      <c r="B753" s="2" t="s">
        <v>1546</v>
      </c>
      <c r="C753" s="2" t="s">
        <v>49</v>
      </c>
      <c r="D753" s="2">
        <v>22</v>
      </c>
      <c r="E753" s="2" t="str">
        <f>_xlfn.IFS(Table1[[#This Row],[Age]]&lt;30, "18-29", D753&lt;=45,"30-45", D753&lt;=55, "46-55", TRUE, "55+")</f>
        <v>18-29</v>
      </c>
      <c r="F753" s="2" t="s">
        <v>44</v>
      </c>
      <c r="G753" s="2" t="s">
        <v>45</v>
      </c>
      <c r="H753" s="2" t="s">
        <v>17</v>
      </c>
      <c r="I753" s="5">
        <v>0</v>
      </c>
      <c r="J753" s="5" t="str">
        <f>_xlfn.IFS(Table1[[#This Row],[Experience(Years)]]&lt;5, "Junior", I753&lt;=12, "Mid-Level", I753&lt;=20, "Senior", I753&lt;=30, "Super Senior", TRUE, "Expert")</f>
        <v>Junior</v>
      </c>
      <c r="K753" s="7">
        <v>40</v>
      </c>
      <c r="L753" s="7">
        <f>Table1[[#This Row],[Hourly Rate]]*1000</f>
        <v>40000</v>
      </c>
      <c r="M753" s="7" t="str">
        <f t="shared" si="11"/>
        <v>Standard</v>
      </c>
      <c r="N753" s="2">
        <f>IF(ISNUMBER(#REF!),#REF!, _xlfn.IFS( I753&gt;=30, 5, I753&gt;=25, 4.8, I753&gt;=15, 4, I753&gt;=10, 3.8, I753&gt;=5, 3, I753&gt;=2, 2.5, I753&gt;=0, 1.8, TRUE, 1.3))</f>
        <v>1.8</v>
      </c>
      <c r="O753" s="2" t="s">
        <v>2053</v>
      </c>
      <c r="P753" s="10">
        <v>0.74</v>
      </c>
      <c r="Q753" s="10" t="str">
        <f>_xlfn.IFS(Table1[[#This Row],[Rating]]&gt;=4, "Top Performer", Table1[[#This Row],[Rating]]&gt;=3, "Average", TRUE, "Needs Imporovement")</f>
        <v>Needs Imporovement</v>
      </c>
    </row>
    <row r="754" spans="1:17" x14ac:dyDescent="0.3">
      <c r="A754" s="2" t="s">
        <v>1547</v>
      </c>
      <c r="B754" s="2" t="s">
        <v>1548</v>
      </c>
      <c r="C754" s="2" t="s">
        <v>49</v>
      </c>
      <c r="D754" s="2">
        <v>23</v>
      </c>
      <c r="E754" s="2" t="str">
        <f>_xlfn.IFS(Table1[[#This Row],[Age]]&lt;30, "18-29", D754&lt;=45,"30-45", D754&lt;=55, "46-55", TRUE, "55+")</f>
        <v>18-29</v>
      </c>
      <c r="F754" s="2" t="s">
        <v>96</v>
      </c>
      <c r="G754" s="2" t="s">
        <v>8</v>
      </c>
      <c r="H754" s="2" t="s">
        <v>4</v>
      </c>
      <c r="I754" s="5">
        <v>0</v>
      </c>
      <c r="J754" s="5" t="str">
        <f>_xlfn.IFS(Table1[[#This Row],[Experience(Years)]]&lt;5, "Junior", I754&lt;=12, "Mid-Level", I754&lt;=20, "Senior", I754&lt;=30, "Super Senior", TRUE, "Expert")</f>
        <v>Junior</v>
      </c>
      <c r="K754" s="7">
        <v>30</v>
      </c>
      <c r="L754" s="7">
        <f>Table1[[#This Row],[Hourly Rate]]*1000</f>
        <v>30000</v>
      </c>
      <c r="M754" s="7" t="str">
        <f t="shared" si="11"/>
        <v>Budget</v>
      </c>
      <c r="N754" s="2">
        <f>IF(ISNUMBER(#REF!),#REF!, _xlfn.IFS( I754&gt;=30, 5, I754&gt;=25, 4.8, I754&gt;=15, 4, I754&gt;=10, 3.8, I754&gt;=5, 3, I754&gt;=2, 2.5, I754&gt;=0, 1.8, TRUE, 1.3))</f>
        <v>1.8</v>
      </c>
      <c r="O754" s="2" t="s">
        <v>2053</v>
      </c>
      <c r="P754" s="10">
        <v>0.86</v>
      </c>
      <c r="Q754" s="10" t="str">
        <f>_xlfn.IFS(Table1[[#This Row],[Rating]]&gt;=4, "Top Performer", Table1[[#This Row],[Rating]]&gt;=3, "Average", TRUE, "Needs Imporovement")</f>
        <v>Needs Imporovement</v>
      </c>
    </row>
    <row r="755" spans="1:17" x14ac:dyDescent="0.3">
      <c r="A755" s="2" t="s">
        <v>1549</v>
      </c>
      <c r="B755" s="2" t="s">
        <v>1550</v>
      </c>
      <c r="C755" s="2" t="s">
        <v>68</v>
      </c>
      <c r="D755" s="2">
        <v>51</v>
      </c>
      <c r="E755" s="2" t="str">
        <f>_xlfn.IFS(Table1[[#This Row],[Age]]&lt;30, "18-29", D755&lt;=45,"30-45", D755&lt;=55, "46-55", TRUE, "55+")</f>
        <v>46-55</v>
      </c>
      <c r="F755" s="2" t="s">
        <v>141</v>
      </c>
      <c r="G755" s="2" t="s">
        <v>142</v>
      </c>
      <c r="H755" s="2" t="s">
        <v>4</v>
      </c>
      <c r="I755" s="5">
        <v>17</v>
      </c>
      <c r="J755" s="5" t="str">
        <f>_xlfn.IFS(Table1[[#This Row],[Experience(Years)]]&lt;5, "Junior", I755&lt;=12, "Mid-Level", I755&lt;=20, "Senior", I755&lt;=30, "Super Senior", TRUE, "Expert")</f>
        <v>Senior</v>
      </c>
      <c r="K755" s="7">
        <v>40</v>
      </c>
      <c r="L755" s="7">
        <f>Table1[[#This Row],[Hourly Rate]]*1000</f>
        <v>40000</v>
      </c>
      <c r="M755" s="7" t="str">
        <f t="shared" si="11"/>
        <v>Standard</v>
      </c>
      <c r="N755" s="2">
        <f>IF(ISNUMBER(#REF!),#REF!, _xlfn.IFS( I755&gt;=30, 5, I755&gt;=25, 4.8, I755&gt;=15, 4, I755&gt;=10, 3.8, I755&gt;=5, 3, I755&gt;=2, 2.5, I755&gt;=0, 1.8, TRUE, 1.3))</f>
        <v>4</v>
      </c>
      <c r="O755" s="2" t="s">
        <v>2053</v>
      </c>
      <c r="P755" s="10">
        <v>0.72</v>
      </c>
      <c r="Q755" s="10" t="str">
        <f>_xlfn.IFS(Table1[[#This Row],[Rating]]&gt;=4, "Top Performer", Table1[[#This Row],[Rating]]&gt;=3, "Average", TRUE, "Needs Imporovement")</f>
        <v>Top Performer</v>
      </c>
    </row>
    <row r="756" spans="1:17" x14ac:dyDescent="0.3">
      <c r="A756" s="2" t="s">
        <v>1551</v>
      </c>
      <c r="B756" s="2" t="s">
        <v>1552</v>
      </c>
      <c r="C756" s="2" t="s">
        <v>49</v>
      </c>
      <c r="D756" s="2">
        <v>42</v>
      </c>
      <c r="E756" s="2" t="str">
        <f>_xlfn.IFS(Table1[[#This Row],[Age]]&lt;30, "18-29", D756&lt;=45,"30-45", D756&lt;=55, "46-55", TRUE, "55+")</f>
        <v>30-45</v>
      </c>
      <c r="F756" s="2" t="s">
        <v>103</v>
      </c>
      <c r="G756" s="2" t="s">
        <v>104</v>
      </c>
      <c r="H756" s="2" t="s">
        <v>24</v>
      </c>
      <c r="I756" s="5">
        <v>21</v>
      </c>
      <c r="J756" s="5" t="str">
        <f>_xlfn.IFS(Table1[[#This Row],[Experience(Years)]]&lt;5, "Junior", I756&lt;=12, "Mid-Level", I756&lt;=20, "Senior", I756&lt;=30, "Super Senior", TRUE, "Expert")</f>
        <v>Super Senior</v>
      </c>
      <c r="K756" s="7">
        <v>60</v>
      </c>
      <c r="L756" s="7">
        <f>Table1[[#This Row],[Hourly Rate]]*1000</f>
        <v>60000</v>
      </c>
      <c r="M756" s="7" t="str">
        <f t="shared" si="11"/>
        <v>Standard</v>
      </c>
      <c r="N756" s="2">
        <f>IF(ISNUMBER(#REF!),#REF!, _xlfn.IFS( I756&gt;=30, 5, I756&gt;=25, 4.8, I756&gt;=15, 4, I756&gt;=10, 3.8, I756&gt;=5, 3, I756&gt;=2, 2.5, I756&gt;=0, 1.8, TRUE, 1.3))</f>
        <v>4</v>
      </c>
      <c r="O756" s="2" t="s">
        <v>2053</v>
      </c>
      <c r="P756" s="10">
        <v>0.73</v>
      </c>
      <c r="Q756" s="10" t="str">
        <f>_xlfn.IFS(Table1[[#This Row],[Rating]]&gt;=4, "Top Performer", Table1[[#This Row],[Rating]]&gt;=3, "Average", TRUE, "Needs Imporovement")</f>
        <v>Top Performer</v>
      </c>
    </row>
    <row r="757" spans="1:17" x14ac:dyDescent="0.3">
      <c r="A757" s="2" t="s">
        <v>1553</v>
      </c>
      <c r="B757" s="2" t="s">
        <v>1554</v>
      </c>
      <c r="C757" s="2" t="s">
        <v>68</v>
      </c>
      <c r="D757" s="2">
        <v>26</v>
      </c>
      <c r="E757" s="2" t="str">
        <f>_xlfn.IFS(Table1[[#This Row],[Age]]&lt;30, "18-29", D757&lt;=45,"30-45", D757&lt;=55, "46-55", TRUE, "55+")</f>
        <v>18-29</v>
      </c>
      <c r="F757" s="2" t="s">
        <v>57</v>
      </c>
      <c r="G757" s="2" t="s">
        <v>58</v>
      </c>
      <c r="H757" s="2" t="s">
        <v>29</v>
      </c>
      <c r="I757" s="5">
        <v>7</v>
      </c>
      <c r="J757" s="5" t="str">
        <f>_xlfn.IFS(Table1[[#This Row],[Experience(Years)]]&lt;5, "Junior", I757&lt;=12, "Mid-Level", I757&lt;=20, "Senior", I757&lt;=30, "Super Senior", TRUE, "Expert")</f>
        <v>Mid-Level</v>
      </c>
      <c r="K757" s="7">
        <v>75</v>
      </c>
      <c r="L757" s="7">
        <f>Table1[[#This Row],[Hourly Rate]]*1000</f>
        <v>75000</v>
      </c>
      <c r="M757" s="7" t="str">
        <f t="shared" si="11"/>
        <v>Standard</v>
      </c>
      <c r="N757" s="2">
        <f>IF(ISNUMBER(#REF!),#REF!, _xlfn.IFS( I757&gt;=30, 5, I757&gt;=25, 4.8, I757&gt;=15, 4, I757&gt;=10, 3.8, I757&gt;=5, 3, I757&gt;=2, 2.5, I757&gt;=0, 1.8, TRUE, 1.3))</f>
        <v>3</v>
      </c>
      <c r="O757" s="2" t="s">
        <v>2052</v>
      </c>
      <c r="P757" s="10">
        <v>0.78</v>
      </c>
      <c r="Q757" s="10" t="str">
        <f>_xlfn.IFS(Table1[[#This Row],[Rating]]&gt;=4, "Top Performer", Table1[[#This Row],[Rating]]&gt;=3, "Average", TRUE, "Needs Imporovement")</f>
        <v>Average</v>
      </c>
    </row>
    <row r="758" spans="1:17" x14ac:dyDescent="0.3">
      <c r="A758" s="2" t="s">
        <v>1555</v>
      </c>
      <c r="B758" s="2" t="s">
        <v>1556</v>
      </c>
      <c r="C758" s="2" t="s">
        <v>49</v>
      </c>
      <c r="D758" s="2">
        <v>49</v>
      </c>
      <c r="E758" s="2" t="str">
        <f>_xlfn.IFS(Table1[[#This Row],[Age]]&lt;30, "18-29", D758&lt;=45,"30-45", D758&lt;=55, "46-55", TRUE, "55+")</f>
        <v>46-55</v>
      </c>
      <c r="F758" s="2" t="s">
        <v>27</v>
      </c>
      <c r="G758" s="2" t="s">
        <v>28</v>
      </c>
      <c r="H758" s="2" t="s">
        <v>24</v>
      </c>
      <c r="I758" s="5">
        <v>22</v>
      </c>
      <c r="J758" s="5" t="str">
        <f>_xlfn.IFS(Table1[[#This Row],[Experience(Years)]]&lt;5, "Junior", I758&lt;=12, "Mid-Level", I758&lt;=20, "Senior", I758&lt;=30, "Super Senior", TRUE, "Expert")</f>
        <v>Super Senior</v>
      </c>
      <c r="K758" s="7">
        <v>75</v>
      </c>
      <c r="L758" s="7">
        <f>Table1[[#This Row],[Hourly Rate]]*1000</f>
        <v>75000</v>
      </c>
      <c r="M758" s="7" t="str">
        <f t="shared" si="11"/>
        <v>Standard</v>
      </c>
      <c r="N758" s="2">
        <f>IF(ISNUMBER(#REF!),#REF!, _xlfn.IFS( I758&gt;=30, 5, I758&gt;=25, 4.8, I758&gt;=15, 4, I758&gt;=10, 3.8, I758&gt;=5, 3, I758&gt;=2, 2.5, I758&gt;=0, 1.8, TRUE, 1.3))</f>
        <v>4</v>
      </c>
      <c r="O758" s="2" t="s">
        <v>2053</v>
      </c>
      <c r="P758" s="10">
        <v>0.85</v>
      </c>
      <c r="Q758" s="10" t="str">
        <f>_xlfn.IFS(Table1[[#This Row],[Rating]]&gt;=4, "Top Performer", Table1[[#This Row],[Rating]]&gt;=3, "Average", TRUE, "Needs Imporovement")</f>
        <v>Top Performer</v>
      </c>
    </row>
    <row r="759" spans="1:17" x14ac:dyDescent="0.3">
      <c r="A759" s="2" t="s">
        <v>1557</v>
      </c>
      <c r="B759" s="2" t="s">
        <v>1558</v>
      </c>
      <c r="C759" s="2" t="s">
        <v>49</v>
      </c>
      <c r="D759" s="2">
        <v>37</v>
      </c>
      <c r="E759" s="2" t="str">
        <f>_xlfn.IFS(Table1[[#This Row],[Age]]&lt;30, "18-29", D759&lt;=45,"30-45", D759&lt;=55, "46-55", TRUE, "55+")</f>
        <v>30-45</v>
      </c>
      <c r="F759" s="2" t="s">
        <v>2</v>
      </c>
      <c r="G759" s="2" t="s">
        <v>3</v>
      </c>
      <c r="H759" s="2" t="s">
        <v>61</v>
      </c>
      <c r="I759" s="5">
        <v>11</v>
      </c>
      <c r="J759" s="5" t="str">
        <f>_xlfn.IFS(Table1[[#This Row],[Experience(Years)]]&lt;5, "Junior", I759&lt;=12, "Mid-Level", I759&lt;=20, "Senior", I759&lt;=30, "Super Senior", TRUE, "Expert")</f>
        <v>Mid-Level</v>
      </c>
      <c r="K759" s="7">
        <v>75</v>
      </c>
      <c r="L759" s="7">
        <f>Table1[[#This Row],[Hourly Rate]]*1000</f>
        <v>75000</v>
      </c>
      <c r="M759" s="7" t="str">
        <f t="shared" si="11"/>
        <v>Standard</v>
      </c>
      <c r="N759" s="2">
        <f>IF(ISNUMBER(#REF!),#REF!, _xlfn.IFS( I759&gt;=30, 5, I759&gt;=25, 4.8, I759&gt;=15, 4, I759&gt;=10, 3.8, I759&gt;=5, 3, I759&gt;=2, 2.5, I759&gt;=0, 1.8, TRUE, 1.3))</f>
        <v>3.8</v>
      </c>
      <c r="O759" s="2" t="s">
        <v>2052</v>
      </c>
      <c r="P759" s="10">
        <v>0.75</v>
      </c>
      <c r="Q759" s="10" t="str">
        <f>_xlfn.IFS(Table1[[#This Row],[Rating]]&gt;=4, "Top Performer", Table1[[#This Row],[Rating]]&gt;=3, "Average", TRUE, "Needs Imporovement")</f>
        <v>Average</v>
      </c>
    </row>
    <row r="760" spans="1:17" x14ac:dyDescent="0.3">
      <c r="A760" s="2" t="s">
        <v>1559</v>
      </c>
      <c r="B760" s="2" t="s">
        <v>1560</v>
      </c>
      <c r="C760" s="2" t="s">
        <v>68</v>
      </c>
      <c r="D760" s="2">
        <v>31</v>
      </c>
      <c r="E760" s="2" t="str">
        <f>_xlfn.IFS(Table1[[#This Row],[Age]]&lt;30, "18-29", D760&lt;=45,"30-45", D760&lt;=55, "46-55", TRUE, "55+")</f>
        <v>30-45</v>
      </c>
      <c r="F760" s="2" t="s">
        <v>7</v>
      </c>
      <c r="G760" s="2" t="s">
        <v>8</v>
      </c>
      <c r="H760" s="2" t="s">
        <v>24</v>
      </c>
      <c r="I760" s="5">
        <v>1</v>
      </c>
      <c r="J760" s="5" t="str">
        <f>_xlfn.IFS(Table1[[#This Row],[Experience(Years)]]&lt;5, "Junior", I760&lt;=12, "Mid-Level", I760&lt;=20, "Senior", I760&lt;=30, "Super Senior", TRUE, "Expert")</f>
        <v>Junior</v>
      </c>
      <c r="K760" s="7">
        <v>40</v>
      </c>
      <c r="L760" s="7">
        <f>Table1[[#This Row],[Hourly Rate]]*1000</f>
        <v>40000</v>
      </c>
      <c r="M760" s="7" t="str">
        <f t="shared" si="11"/>
        <v>Standard</v>
      </c>
      <c r="N760" s="2">
        <f>IF(ISNUMBER(#REF!),#REF!, _xlfn.IFS( I760&gt;=30, 5, I760&gt;=25, 4.8, I760&gt;=15, 4, I760&gt;=10, 3.8, I760&gt;=5, 3, I760&gt;=2, 2.5, I760&gt;=0, 1.8, TRUE, 1.3))</f>
        <v>1.8</v>
      </c>
      <c r="O760" s="2" t="s">
        <v>2052</v>
      </c>
      <c r="P760" s="10">
        <v>0.96</v>
      </c>
      <c r="Q760" s="10" t="str">
        <f>_xlfn.IFS(Table1[[#This Row],[Rating]]&gt;=4, "Top Performer", Table1[[#This Row],[Rating]]&gt;=3, "Average", TRUE, "Needs Imporovement")</f>
        <v>Needs Imporovement</v>
      </c>
    </row>
    <row r="761" spans="1:17" x14ac:dyDescent="0.3">
      <c r="A761" s="2" t="s">
        <v>1561</v>
      </c>
      <c r="B761" s="2" t="s">
        <v>1562</v>
      </c>
      <c r="C761" s="2" t="s">
        <v>68</v>
      </c>
      <c r="D761" s="2">
        <v>51</v>
      </c>
      <c r="E761" s="2" t="str">
        <f>_xlfn.IFS(Table1[[#This Row],[Age]]&lt;30, "18-29", D761&lt;=45,"30-45", D761&lt;=55, "46-55", TRUE, "55+")</f>
        <v>46-55</v>
      </c>
      <c r="F761" s="2" t="s">
        <v>81</v>
      </c>
      <c r="G761" s="2" t="s">
        <v>82</v>
      </c>
      <c r="H761" s="2" t="s">
        <v>9</v>
      </c>
      <c r="I761" s="5">
        <v>5</v>
      </c>
      <c r="J761" s="5" t="str">
        <f>_xlfn.IFS(Table1[[#This Row],[Experience(Years)]]&lt;5, "Junior", I761&lt;=12, "Mid-Level", I761&lt;=20, "Senior", I761&lt;=30, "Super Senior", TRUE, "Expert")</f>
        <v>Mid-Level</v>
      </c>
      <c r="K761" s="7">
        <v>40</v>
      </c>
      <c r="L761" s="7">
        <f>Table1[[#This Row],[Hourly Rate]]*1000</f>
        <v>40000</v>
      </c>
      <c r="M761" s="7" t="str">
        <f t="shared" si="11"/>
        <v>Standard</v>
      </c>
      <c r="N761" s="2">
        <f>IF(ISNUMBER(#REF!),#REF!, _xlfn.IFS( I761&gt;=30, 5, I761&gt;=25, 4.8, I761&gt;=15, 4, I761&gt;=10, 3.8, I761&gt;=5, 3, I761&gt;=2, 2.5, I761&gt;=0, 1.8, TRUE, 1.3))</f>
        <v>3</v>
      </c>
      <c r="O761" s="2" t="s">
        <v>2053</v>
      </c>
      <c r="P761" s="10">
        <v>0.61</v>
      </c>
      <c r="Q761" s="10" t="str">
        <f>_xlfn.IFS(Table1[[#This Row],[Rating]]&gt;=4, "Top Performer", Table1[[#This Row],[Rating]]&gt;=3, "Average", TRUE, "Needs Imporovement")</f>
        <v>Average</v>
      </c>
    </row>
    <row r="762" spans="1:17" x14ac:dyDescent="0.3">
      <c r="A762" s="2" t="s">
        <v>1563</v>
      </c>
      <c r="B762" s="2" t="s">
        <v>1564</v>
      </c>
      <c r="C762" s="2" t="s">
        <v>68</v>
      </c>
      <c r="D762" s="2">
        <v>60</v>
      </c>
      <c r="E762" s="2" t="str">
        <f>_xlfn.IFS(Table1[[#This Row],[Age]]&lt;30, "18-29", D762&lt;=45,"30-45", D762&lt;=55, "46-55", TRUE, "55+")</f>
        <v>55+</v>
      </c>
      <c r="F762" s="2" t="s">
        <v>141</v>
      </c>
      <c r="G762" s="2" t="s">
        <v>142</v>
      </c>
      <c r="H762" s="2" t="s">
        <v>61</v>
      </c>
      <c r="I762" s="5">
        <v>40</v>
      </c>
      <c r="J762" s="5" t="str">
        <f>_xlfn.IFS(Table1[[#This Row],[Experience(Years)]]&lt;5, "Junior", I762&lt;=12, "Mid-Level", I762&lt;=20, "Senior", I762&lt;=30, "Super Senior", TRUE, "Expert")</f>
        <v>Expert</v>
      </c>
      <c r="K762" s="7">
        <v>50</v>
      </c>
      <c r="L762" s="7">
        <f>Table1[[#This Row],[Hourly Rate]]*1000</f>
        <v>50000</v>
      </c>
      <c r="M762" s="7" t="str">
        <f t="shared" si="11"/>
        <v>Standard</v>
      </c>
      <c r="N762" s="2">
        <f>IF(ISNUMBER(#REF!),#REF!, _xlfn.IFS( I762&gt;=30, 5, I762&gt;=25, 4.8, I762&gt;=15, 4, I762&gt;=10, 3.8, I762&gt;=5, 3, I762&gt;=2, 2.5, I762&gt;=0, 1.8, TRUE, 1.3))</f>
        <v>5</v>
      </c>
      <c r="O762" s="2" t="s">
        <v>2053</v>
      </c>
      <c r="P762" s="10">
        <v>1</v>
      </c>
      <c r="Q762" s="10" t="str">
        <f>_xlfn.IFS(Table1[[#This Row],[Rating]]&gt;=4, "Top Performer", Table1[[#This Row],[Rating]]&gt;=3, "Average", TRUE, "Needs Imporovement")</f>
        <v>Top Performer</v>
      </c>
    </row>
    <row r="763" spans="1:17" x14ac:dyDescent="0.3">
      <c r="A763" s="2" t="s">
        <v>1565</v>
      </c>
      <c r="B763" s="2" t="s">
        <v>1566</v>
      </c>
      <c r="C763" s="2" t="s">
        <v>68</v>
      </c>
      <c r="D763" s="2">
        <v>51</v>
      </c>
      <c r="E763" s="2" t="str">
        <f>_xlfn.IFS(Table1[[#This Row],[Age]]&lt;30, "18-29", D763&lt;=45,"30-45", D763&lt;=55, "46-55", TRUE, "55+")</f>
        <v>46-55</v>
      </c>
      <c r="F763" s="2" t="s">
        <v>96</v>
      </c>
      <c r="G763" s="2" t="s">
        <v>8</v>
      </c>
      <c r="H763" s="2" t="s">
        <v>4</v>
      </c>
      <c r="I763" s="5">
        <v>19</v>
      </c>
      <c r="J763" s="5" t="str">
        <f>_xlfn.IFS(Table1[[#This Row],[Experience(Years)]]&lt;5, "Junior", I763&lt;=12, "Mid-Level", I763&lt;=20, "Senior", I763&lt;=30, "Super Senior", TRUE, "Expert")</f>
        <v>Senior</v>
      </c>
      <c r="K763" s="7">
        <v>50</v>
      </c>
      <c r="L763" s="7">
        <f>Table1[[#This Row],[Hourly Rate]]*1000</f>
        <v>50000</v>
      </c>
      <c r="M763" s="7" t="str">
        <f t="shared" si="11"/>
        <v>Standard</v>
      </c>
      <c r="N763" s="2">
        <f>IF(ISNUMBER(#REF!),#REF!, _xlfn.IFS( I763&gt;=30, 5, I763&gt;=25, 4.8, I763&gt;=15, 4, I763&gt;=10, 3.8, I763&gt;=5, 3, I763&gt;=2, 2.5, I763&gt;=0, 1.8, TRUE, 1.3))</f>
        <v>4</v>
      </c>
      <c r="O763" s="2" t="s">
        <v>2053</v>
      </c>
      <c r="P763" s="10">
        <v>0.82</v>
      </c>
      <c r="Q763" s="10" t="str">
        <f>_xlfn.IFS(Table1[[#This Row],[Rating]]&gt;=4, "Top Performer", Table1[[#This Row],[Rating]]&gt;=3, "Average", TRUE, "Needs Imporovement")</f>
        <v>Top Performer</v>
      </c>
    </row>
    <row r="764" spans="1:17" x14ac:dyDescent="0.3">
      <c r="A764" s="2" t="s">
        <v>1567</v>
      </c>
      <c r="B764" s="2" t="s">
        <v>1568</v>
      </c>
      <c r="C764" s="2" t="s">
        <v>68</v>
      </c>
      <c r="D764" s="2">
        <v>37</v>
      </c>
      <c r="E764" s="2" t="str">
        <f>_xlfn.IFS(Table1[[#This Row],[Age]]&lt;30, "18-29", D764&lt;=45,"30-45", D764&lt;=55, "46-55", TRUE, "55+")</f>
        <v>30-45</v>
      </c>
      <c r="F764" s="2" t="s">
        <v>12</v>
      </c>
      <c r="G764" s="2" t="s">
        <v>13</v>
      </c>
      <c r="H764" s="2" t="s">
        <v>14</v>
      </c>
      <c r="I764" s="5">
        <v>12</v>
      </c>
      <c r="J764" s="5" t="str">
        <f>_xlfn.IFS(Table1[[#This Row],[Experience(Years)]]&lt;5, "Junior", I764&lt;=12, "Mid-Level", I764&lt;=20, "Senior", I764&lt;=30, "Super Senior", TRUE, "Expert")</f>
        <v>Mid-Level</v>
      </c>
      <c r="K764" s="7">
        <v>40</v>
      </c>
      <c r="L764" s="7">
        <f>Table1[[#This Row],[Hourly Rate]]*1000</f>
        <v>40000</v>
      </c>
      <c r="M764" s="7" t="str">
        <f t="shared" si="11"/>
        <v>Standard</v>
      </c>
      <c r="N764" s="2">
        <f>IF(ISNUMBER(#REF!),#REF!, _xlfn.IFS( I764&gt;=30, 5, I764&gt;=25, 4.8, I764&gt;=15, 4, I764&gt;=10, 3.8, I764&gt;=5, 3, I764&gt;=2, 2.5, I764&gt;=0, 1.8, TRUE, 1.3))</f>
        <v>3.8</v>
      </c>
      <c r="O764" s="2" t="s">
        <v>2053</v>
      </c>
      <c r="P764" s="10">
        <v>0.8</v>
      </c>
      <c r="Q764" s="10" t="str">
        <f>_xlfn.IFS(Table1[[#This Row],[Rating]]&gt;=4, "Top Performer", Table1[[#This Row],[Rating]]&gt;=3, "Average", TRUE, "Needs Imporovement")</f>
        <v>Average</v>
      </c>
    </row>
    <row r="765" spans="1:17" x14ac:dyDescent="0.3">
      <c r="A765" s="2" t="s">
        <v>1569</v>
      </c>
      <c r="B765" s="2" t="s">
        <v>1570</v>
      </c>
      <c r="C765" s="2" t="s">
        <v>68</v>
      </c>
      <c r="D765" s="2">
        <v>52</v>
      </c>
      <c r="E765" s="2" t="str">
        <f>_xlfn.IFS(Table1[[#This Row],[Age]]&lt;30, "18-29", D765&lt;=45,"30-45", D765&lt;=55, "46-55", TRUE, "55+")</f>
        <v>46-55</v>
      </c>
      <c r="F765" s="2" t="s">
        <v>64</v>
      </c>
      <c r="G765" s="2" t="s">
        <v>65</v>
      </c>
      <c r="H765" s="2" t="s">
        <v>4</v>
      </c>
      <c r="I765" s="5">
        <v>7</v>
      </c>
      <c r="J765" s="5" t="str">
        <f>_xlfn.IFS(Table1[[#This Row],[Experience(Years)]]&lt;5, "Junior", I765&lt;=12, "Mid-Level", I765&lt;=20, "Senior", I765&lt;=30, "Super Senior", TRUE, "Expert")</f>
        <v>Mid-Level</v>
      </c>
      <c r="K765" s="7">
        <v>40</v>
      </c>
      <c r="L765" s="7">
        <f>Table1[[#This Row],[Hourly Rate]]*1000</f>
        <v>40000</v>
      </c>
      <c r="M765" s="7" t="str">
        <f t="shared" si="11"/>
        <v>Standard</v>
      </c>
      <c r="N765" s="2">
        <f>IF(ISNUMBER(#REF!),#REF!, _xlfn.IFS( I765&gt;=30, 5, I765&gt;=25, 4.8, I765&gt;=15, 4, I765&gt;=10, 3.8, I765&gt;=5, 3, I765&gt;=2, 2.5, I765&gt;=0, 1.8, TRUE, 1.3))</f>
        <v>3</v>
      </c>
      <c r="O765" s="2" t="str">
        <f>IF(AND( Table1[[#This Row],[Rating]]&gt;=3.5, Table1[[#This Row],[Experience(Years)]]&gt;=15), "Active", "Inactive")</f>
        <v>Inactive</v>
      </c>
      <c r="P765" s="10">
        <v>0.96</v>
      </c>
      <c r="Q765" s="10" t="str">
        <f>_xlfn.IFS(Table1[[#This Row],[Rating]]&gt;=4, "Top Performer", Table1[[#This Row],[Rating]]&gt;=3, "Average", TRUE, "Needs Imporovement")</f>
        <v>Average</v>
      </c>
    </row>
    <row r="766" spans="1:17" x14ac:dyDescent="0.3">
      <c r="A766" s="2" t="s">
        <v>1571</v>
      </c>
      <c r="B766" s="2" t="s">
        <v>1572</v>
      </c>
      <c r="C766" s="2" t="s">
        <v>68</v>
      </c>
      <c r="D766" s="2">
        <v>27</v>
      </c>
      <c r="E766" s="2" t="str">
        <f>_xlfn.IFS(Table1[[#This Row],[Age]]&lt;30, "18-29", D766&lt;=45,"30-45", D766&lt;=55, "46-55", TRUE, "55+")</f>
        <v>18-29</v>
      </c>
      <c r="F766" s="2" t="s">
        <v>27</v>
      </c>
      <c r="G766" s="2" t="s">
        <v>28</v>
      </c>
      <c r="H766" s="2" t="s">
        <v>4</v>
      </c>
      <c r="I766" s="5">
        <v>4</v>
      </c>
      <c r="J766" s="5" t="str">
        <f>_xlfn.IFS(Table1[[#This Row],[Experience(Years)]]&lt;5, "Junior", I766&lt;=12, "Mid-Level", I766&lt;=20, "Senior", I766&lt;=30, "Super Senior", TRUE, "Expert")</f>
        <v>Junior</v>
      </c>
      <c r="K766" s="7">
        <v>20</v>
      </c>
      <c r="L766" s="7">
        <f>Table1[[#This Row],[Hourly Rate]]*1000</f>
        <v>20000</v>
      </c>
      <c r="M766" s="7" t="str">
        <f t="shared" si="11"/>
        <v>Budget</v>
      </c>
      <c r="N766" s="2">
        <f>IF(ISNUMBER(#REF!),#REF!, _xlfn.IFS( I766&gt;=30, 5, I766&gt;=25, 4.8, I766&gt;=15, 4, I766&gt;=10, 3.8, I766&gt;=5, 3, I766&gt;=2, 2.5, I766&gt;=0, 1.8, TRUE, 1.3))</f>
        <v>2.5</v>
      </c>
      <c r="O766" s="2" t="s">
        <v>2052</v>
      </c>
      <c r="P766" s="10">
        <v>0.63</v>
      </c>
      <c r="Q766" s="10" t="str">
        <f>_xlfn.IFS(Table1[[#This Row],[Rating]]&gt;=4, "Top Performer", Table1[[#This Row],[Rating]]&gt;=3, "Average", TRUE, "Needs Imporovement")</f>
        <v>Needs Imporovement</v>
      </c>
    </row>
    <row r="767" spans="1:17" x14ac:dyDescent="0.3">
      <c r="A767" s="2" t="s">
        <v>1573</v>
      </c>
      <c r="B767" s="2" t="s">
        <v>1574</v>
      </c>
      <c r="C767" s="2" t="s">
        <v>68</v>
      </c>
      <c r="D767" s="2">
        <v>48</v>
      </c>
      <c r="E767" s="2" t="str">
        <f>_xlfn.IFS(Table1[[#This Row],[Age]]&lt;30, "18-29", D767&lt;=45,"30-45", D767&lt;=55, "46-55", TRUE, "55+")</f>
        <v>46-55</v>
      </c>
      <c r="F767" s="2" t="s">
        <v>7</v>
      </c>
      <c r="G767" s="2" t="s">
        <v>8</v>
      </c>
      <c r="H767" s="2" t="s">
        <v>14</v>
      </c>
      <c r="I767" s="5">
        <v>24</v>
      </c>
      <c r="J767" s="5" t="str">
        <f>_xlfn.IFS(Table1[[#This Row],[Experience(Years)]]&lt;5, "Junior", I767&lt;=12, "Mid-Level", I767&lt;=20, "Senior", I767&lt;=30, "Super Senior", TRUE, "Expert")</f>
        <v>Super Senior</v>
      </c>
      <c r="K767" s="7">
        <v>40</v>
      </c>
      <c r="L767" s="7">
        <f>Table1[[#This Row],[Hourly Rate]]*1000</f>
        <v>40000</v>
      </c>
      <c r="M767" s="7" t="str">
        <f t="shared" si="11"/>
        <v>Standard</v>
      </c>
      <c r="N767" s="2">
        <f>IF(ISNUMBER(#REF!),#REF!, _xlfn.IFS( I767&gt;=30, 5, I767&gt;=25, 4.8, I767&gt;=15, 4, I767&gt;=10, 3.8, I767&gt;=5, 3, I767&gt;=2, 2.5, I767&gt;=0, 1.8, TRUE, 1.3))</f>
        <v>4</v>
      </c>
      <c r="O767" s="2" t="s">
        <v>2052</v>
      </c>
      <c r="P767" s="10">
        <v>0.67</v>
      </c>
      <c r="Q767" s="10" t="str">
        <f>_xlfn.IFS(Table1[[#This Row],[Rating]]&gt;=4, "Top Performer", Table1[[#This Row],[Rating]]&gt;=3, "Average", TRUE, "Needs Imporovement")</f>
        <v>Top Performer</v>
      </c>
    </row>
    <row r="768" spans="1:17" x14ac:dyDescent="0.3">
      <c r="A768" s="2" t="s">
        <v>1575</v>
      </c>
      <c r="B768" s="2" t="s">
        <v>1576</v>
      </c>
      <c r="C768" s="2" t="s">
        <v>49</v>
      </c>
      <c r="D768" s="2">
        <v>22</v>
      </c>
      <c r="E768" s="2" t="str">
        <f>_xlfn.IFS(Table1[[#This Row],[Age]]&lt;30, "18-29", D768&lt;=45,"30-45", D768&lt;=55, "46-55", TRUE, "55+")</f>
        <v>18-29</v>
      </c>
      <c r="F768" s="2" t="s">
        <v>57</v>
      </c>
      <c r="G768" s="2" t="s">
        <v>58</v>
      </c>
      <c r="H768" s="2" t="s">
        <v>29</v>
      </c>
      <c r="I768" s="5">
        <v>1</v>
      </c>
      <c r="J768" s="5" t="str">
        <f>_xlfn.IFS(Table1[[#This Row],[Experience(Years)]]&lt;5, "Junior", I768&lt;=12, "Mid-Level", I768&lt;=20, "Senior", I768&lt;=30, "Super Senior", TRUE, "Expert")</f>
        <v>Junior</v>
      </c>
      <c r="K768" s="7">
        <v>30</v>
      </c>
      <c r="L768" s="7">
        <f>Table1[[#This Row],[Hourly Rate]]*1000</f>
        <v>30000</v>
      </c>
      <c r="M768" s="7" t="str">
        <f t="shared" si="11"/>
        <v>Budget</v>
      </c>
      <c r="N768" s="2">
        <f>IF(ISNUMBER(#REF!),#REF!, _xlfn.IFS( I768&gt;=30, 5, I768&gt;=25, 4.8, I768&gt;=15, 4, I768&gt;=10, 3.8, I768&gt;=5, 3, I768&gt;=2, 2.5, I768&gt;=0, 1.8, TRUE, 1.3))</f>
        <v>1.8</v>
      </c>
      <c r="O768" s="2" t="s">
        <v>2053</v>
      </c>
      <c r="P768" s="10">
        <v>0.61</v>
      </c>
      <c r="Q768" s="10" t="str">
        <f>_xlfn.IFS(Table1[[#This Row],[Rating]]&gt;=4, "Top Performer", Table1[[#This Row],[Rating]]&gt;=3, "Average", TRUE, "Needs Imporovement")</f>
        <v>Needs Imporovement</v>
      </c>
    </row>
    <row r="769" spans="1:17" x14ac:dyDescent="0.3">
      <c r="A769" s="2" t="s">
        <v>1577</v>
      </c>
      <c r="B769" s="2" t="s">
        <v>1578</v>
      </c>
      <c r="C769" s="2" t="s">
        <v>49</v>
      </c>
      <c r="D769" s="2">
        <v>48</v>
      </c>
      <c r="E769" s="2" t="str">
        <f>_xlfn.IFS(Table1[[#This Row],[Age]]&lt;30, "18-29", D769&lt;=45,"30-45", D769&lt;=55, "46-55", TRUE, "55+")</f>
        <v>46-55</v>
      </c>
      <c r="F769" s="2" t="s">
        <v>12</v>
      </c>
      <c r="G769" s="2" t="s">
        <v>13</v>
      </c>
      <c r="H769" s="2" t="s">
        <v>9</v>
      </c>
      <c r="I769" s="5">
        <v>28</v>
      </c>
      <c r="J769" s="5" t="str">
        <f>_xlfn.IFS(Table1[[#This Row],[Experience(Years)]]&lt;5, "Junior", I769&lt;=12, "Mid-Level", I769&lt;=20, "Senior", I769&lt;=30, "Super Senior", TRUE, "Expert")</f>
        <v>Super Senior</v>
      </c>
      <c r="K769" s="7">
        <v>30</v>
      </c>
      <c r="L769" s="7">
        <f>Table1[[#This Row],[Hourly Rate]]*1000</f>
        <v>30000</v>
      </c>
      <c r="M769" s="7" t="str">
        <f t="shared" si="11"/>
        <v>Budget</v>
      </c>
      <c r="N769" s="2">
        <f>IF(ISNUMBER(#REF!),#REF!, _xlfn.IFS( I769&gt;=30, 5, I769&gt;=25, 4.8, I769&gt;=15, 4, I769&gt;=10, 3.8, I769&gt;=5, 3, I769&gt;=2, 2.5, I769&gt;=0, 1.8, TRUE, 1.3))</f>
        <v>4.8</v>
      </c>
      <c r="O769" s="2" t="s">
        <v>2052</v>
      </c>
      <c r="P769" s="10">
        <v>0.77</v>
      </c>
      <c r="Q769" s="10" t="str">
        <f>_xlfn.IFS(Table1[[#This Row],[Rating]]&gt;=4, "Top Performer", Table1[[#This Row],[Rating]]&gt;=3, "Average", TRUE, "Needs Imporovement")</f>
        <v>Top Performer</v>
      </c>
    </row>
    <row r="770" spans="1:17" x14ac:dyDescent="0.3">
      <c r="A770" s="2" t="s">
        <v>1579</v>
      </c>
      <c r="B770" s="2" t="s">
        <v>1580</v>
      </c>
      <c r="C770" s="2" t="s">
        <v>49</v>
      </c>
      <c r="D770" s="2">
        <v>54</v>
      </c>
      <c r="E770" s="2" t="str">
        <f>_xlfn.IFS(Table1[[#This Row],[Age]]&lt;30, "18-29", D770&lt;=45,"30-45", D770&lt;=55, "46-55", TRUE, "55+")</f>
        <v>46-55</v>
      </c>
      <c r="F770" s="2" t="s">
        <v>34</v>
      </c>
      <c r="G770" s="2" t="s">
        <v>8</v>
      </c>
      <c r="H770" s="2" t="s">
        <v>9</v>
      </c>
      <c r="I770" s="5">
        <v>19</v>
      </c>
      <c r="J770" s="5" t="str">
        <f>_xlfn.IFS(Table1[[#This Row],[Experience(Years)]]&lt;5, "Junior", I770&lt;=12, "Mid-Level", I770&lt;=20, "Senior", I770&lt;=30, "Super Senior", TRUE, "Expert")</f>
        <v>Senior</v>
      </c>
      <c r="K770" s="7">
        <v>75</v>
      </c>
      <c r="L770" s="7">
        <f>Table1[[#This Row],[Hourly Rate]]*1000</f>
        <v>75000</v>
      </c>
      <c r="M770" s="7" t="str">
        <f t="shared" ref="M770:M833" si="12">_xlfn.IFS(K770&lt;40, "Budget", K770&lt;=80, "Standard", TRUE, "Premium")</f>
        <v>Standard</v>
      </c>
      <c r="N770" s="2">
        <f>IF(ISNUMBER(#REF!),#REF!, _xlfn.IFS( I770&gt;=30, 5, I770&gt;=25, 4.8, I770&gt;=15, 4, I770&gt;=10, 3.8, I770&gt;=5, 3, I770&gt;=2, 2.5, I770&gt;=0, 1.8, TRUE, 1.3))</f>
        <v>4</v>
      </c>
      <c r="O770" s="2" t="str">
        <f>IF(AND( Table1[[#This Row],[Rating]]&gt;=3.5, Table1[[#This Row],[Experience(Years)]]&gt;=15), "Active", "Inactive")</f>
        <v>Active</v>
      </c>
      <c r="P770" s="10">
        <v>0.85</v>
      </c>
      <c r="Q770" s="10" t="str">
        <f>_xlfn.IFS(Table1[[#This Row],[Rating]]&gt;=4, "Top Performer", Table1[[#This Row],[Rating]]&gt;=3, "Average", TRUE, "Needs Imporovement")</f>
        <v>Top Performer</v>
      </c>
    </row>
    <row r="771" spans="1:17" x14ac:dyDescent="0.3">
      <c r="A771" s="2" t="s">
        <v>1581</v>
      </c>
      <c r="B771" s="2" t="s">
        <v>1582</v>
      </c>
      <c r="C771" s="2" t="s">
        <v>49</v>
      </c>
      <c r="D771" s="2">
        <v>52</v>
      </c>
      <c r="E771" s="2" t="str">
        <f>_xlfn.IFS(Table1[[#This Row],[Age]]&lt;30, "18-29", D771&lt;=45,"30-45", D771&lt;=55, "46-55", TRUE, "55+")</f>
        <v>46-55</v>
      </c>
      <c r="F771" s="2" t="s">
        <v>81</v>
      </c>
      <c r="G771" s="2" t="s">
        <v>82</v>
      </c>
      <c r="H771" s="2" t="s">
        <v>29</v>
      </c>
      <c r="I771" s="5">
        <v>4</v>
      </c>
      <c r="J771" s="5" t="str">
        <f>_xlfn.IFS(Table1[[#This Row],[Experience(Years)]]&lt;5, "Junior", I771&lt;=12, "Mid-Level", I771&lt;=20, "Senior", I771&lt;=30, "Super Senior", TRUE, "Expert")</f>
        <v>Junior</v>
      </c>
      <c r="K771" s="7">
        <v>50</v>
      </c>
      <c r="L771" s="7">
        <f>Table1[[#This Row],[Hourly Rate]]*1000</f>
        <v>50000</v>
      </c>
      <c r="M771" s="7" t="str">
        <f t="shared" si="12"/>
        <v>Standard</v>
      </c>
      <c r="N771" s="2">
        <f>IF(ISNUMBER(#REF!),#REF!, _xlfn.IFS( I771&gt;=30, 5, I771&gt;=25, 4.8, I771&gt;=15, 4, I771&gt;=10, 3.8, I771&gt;=5, 3, I771&gt;=2, 2.5, I771&gt;=0, 1.8, TRUE, 1.3))</f>
        <v>2.5</v>
      </c>
      <c r="O771" s="2" t="s">
        <v>2052</v>
      </c>
      <c r="P771" s="10">
        <v>0.84</v>
      </c>
      <c r="Q771" s="10" t="str">
        <f>_xlfn.IFS(Table1[[#This Row],[Rating]]&gt;=4, "Top Performer", Table1[[#This Row],[Rating]]&gt;=3, "Average", TRUE, "Needs Imporovement")</f>
        <v>Needs Imporovement</v>
      </c>
    </row>
    <row r="772" spans="1:17" x14ac:dyDescent="0.3">
      <c r="A772" s="2" t="s">
        <v>1583</v>
      </c>
      <c r="B772" s="2" t="s">
        <v>1584</v>
      </c>
      <c r="C772" s="2" t="s">
        <v>49</v>
      </c>
      <c r="D772" s="2">
        <v>39</v>
      </c>
      <c r="E772" s="2" t="str">
        <f>_xlfn.IFS(Table1[[#This Row],[Age]]&lt;30, "18-29", D772&lt;=45,"30-45", D772&lt;=55, "46-55", TRUE, "55+")</f>
        <v>30-45</v>
      </c>
      <c r="F772" s="2" t="s">
        <v>37</v>
      </c>
      <c r="G772" s="2" t="s">
        <v>38</v>
      </c>
      <c r="H772" s="2" t="s">
        <v>17</v>
      </c>
      <c r="I772" s="5">
        <v>20</v>
      </c>
      <c r="J772" s="5" t="str">
        <f>_xlfn.IFS(Table1[[#This Row],[Experience(Years)]]&lt;5, "Junior", I772&lt;=12, "Mid-Level", I772&lt;=20, "Senior", I772&lt;=30, "Super Senior", TRUE, "Expert")</f>
        <v>Senior</v>
      </c>
      <c r="K772" s="7">
        <v>100</v>
      </c>
      <c r="L772" s="7">
        <f>Table1[[#This Row],[Hourly Rate]]*1000</f>
        <v>100000</v>
      </c>
      <c r="M772" s="7" t="str">
        <f t="shared" si="12"/>
        <v>Premium</v>
      </c>
      <c r="N772" s="2">
        <f>IF(ISNUMBER(#REF!),#REF!, _xlfn.IFS( I772&gt;=30, 5, I772&gt;=25, 4.8, I772&gt;=15, 4, I772&gt;=10, 3.8, I772&gt;=5, 3, I772&gt;=2, 2.5, I772&gt;=0, 1.8, TRUE, 1.3))</f>
        <v>4</v>
      </c>
      <c r="O772" s="2" t="s">
        <v>2053</v>
      </c>
      <c r="P772" s="10">
        <v>0.89</v>
      </c>
      <c r="Q772" s="10" t="str">
        <f>_xlfn.IFS(Table1[[#This Row],[Rating]]&gt;=4, "Top Performer", Table1[[#This Row],[Rating]]&gt;=3, "Average", TRUE, "Needs Imporovement")</f>
        <v>Top Performer</v>
      </c>
    </row>
    <row r="773" spans="1:17" x14ac:dyDescent="0.3">
      <c r="A773" s="2" t="s">
        <v>1585</v>
      </c>
      <c r="B773" s="2" t="s">
        <v>1586</v>
      </c>
      <c r="C773" s="2" t="s">
        <v>49</v>
      </c>
      <c r="D773" s="2">
        <v>54</v>
      </c>
      <c r="E773" s="2" t="str">
        <f>_xlfn.IFS(Table1[[#This Row],[Age]]&lt;30, "18-29", D773&lt;=45,"30-45", D773&lt;=55, "46-55", TRUE, "55+")</f>
        <v>46-55</v>
      </c>
      <c r="F773" s="2" t="s">
        <v>92</v>
      </c>
      <c r="G773" s="2" t="s">
        <v>93</v>
      </c>
      <c r="H773" s="2" t="s">
        <v>9</v>
      </c>
      <c r="I773" s="5">
        <v>19</v>
      </c>
      <c r="J773" s="5" t="str">
        <f>_xlfn.IFS(Table1[[#This Row],[Experience(Years)]]&lt;5, "Junior", I773&lt;=12, "Mid-Level", I773&lt;=20, "Senior", I773&lt;=30, "Super Senior", TRUE, "Expert")</f>
        <v>Senior</v>
      </c>
      <c r="K773" s="7">
        <v>30</v>
      </c>
      <c r="L773" s="7">
        <f>Table1[[#This Row],[Hourly Rate]]*1000</f>
        <v>30000</v>
      </c>
      <c r="M773" s="7" t="str">
        <f t="shared" si="12"/>
        <v>Budget</v>
      </c>
      <c r="N773" s="2">
        <f>IF(ISNUMBER(#REF!),#REF!, _xlfn.IFS( I773&gt;=30, 5, I773&gt;=25, 4.8, I773&gt;=15, 4, I773&gt;=10, 3.8, I773&gt;=5, 3, I773&gt;=2, 2.5, I773&gt;=0, 1.8, TRUE, 1.3))</f>
        <v>4</v>
      </c>
      <c r="O773" s="2" t="str">
        <f>IF(AND( Table1[[#This Row],[Rating]]&gt;=3.5, Table1[[#This Row],[Experience(Years)]]&gt;=15), "Active", "Inactive")</f>
        <v>Active</v>
      </c>
      <c r="P773" s="10">
        <v>0.9</v>
      </c>
      <c r="Q773" s="10" t="str">
        <f>_xlfn.IFS(Table1[[#This Row],[Rating]]&gt;=4, "Top Performer", Table1[[#This Row],[Rating]]&gt;=3, "Average", TRUE, "Needs Imporovement")</f>
        <v>Top Performer</v>
      </c>
    </row>
    <row r="774" spans="1:17" x14ac:dyDescent="0.3">
      <c r="A774" s="2" t="s">
        <v>1587</v>
      </c>
      <c r="B774" s="2" t="s">
        <v>1588</v>
      </c>
      <c r="C774" s="2" t="s">
        <v>49</v>
      </c>
      <c r="D774" s="2">
        <v>22</v>
      </c>
      <c r="E774" s="2" t="str">
        <f>_xlfn.IFS(Table1[[#This Row],[Age]]&lt;30, "18-29", D774&lt;=45,"30-45", D774&lt;=55, "46-55", TRUE, "55+")</f>
        <v>18-29</v>
      </c>
      <c r="F774" s="2" t="s">
        <v>34</v>
      </c>
      <c r="G774" s="2" t="s">
        <v>8</v>
      </c>
      <c r="H774" s="2" t="s">
        <v>50</v>
      </c>
      <c r="I774" s="5">
        <v>1</v>
      </c>
      <c r="J774" s="5" t="str">
        <f>_xlfn.IFS(Table1[[#This Row],[Experience(Years)]]&lt;5, "Junior", I774&lt;=12, "Mid-Level", I774&lt;=20, "Senior", I774&lt;=30, "Super Senior", TRUE, "Expert")</f>
        <v>Junior</v>
      </c>
      <c r="K774" s="7">
        <v>20</v>
      </c>
      <c r="L774" s="7">
        <f>Table1[[#This Row],[Hourly Rate]]*1000</f>
        <v>20000</v>
      </c>
      <c r="M774" s="7" t="str">
        <f t="shared" si="12"/>
        <v>Budget</v>
      </c>
      <c r="N774" s="2">
        <f>IF(ISNUMBER(#REF!),#REF!, _xlfn.IFS( I774&gt;=30, 5, I774&gt;=25, 4.8, I774&gt;=15, 4, I774&gt;=10, 3.8, I774&gt;=5, 3, I774&gt;=2, 2.5, I774&gt;=0, 1.8, TRUE, 1.3))</f>
        <v>1.8</v>
      </c>
      <c r="O774" s="2" t="s">
        <v>2052</v>
      </c>
      <c r="P774" s="10">
        <v>0.87</v>
      </c>
      <c r="Q774" s="10" t="str">
        <f>_xlfn.IFS(Table1[[#This Row],[Rating]]&gt;=4, "Top Performer", Table1[[#This Row],[Rating]]&gt;=3, "Average", TRUE, "Needs Imporovement")</f>
        <v>Needs Imporovement</v>
      </c>
    </row>
    <row r="775" spans="1:17" x14ac:dyDescent="0.3">
      <c r="A775" s="2" t="s">
        <v>1589</v>
      </c>
      <c r="B775" s="2" t="s">
        <v>1590</v>
      </c>
      <c r="C775" s="2" t="s">
        <v>49</v>
      </c>
      <c r="D775" s="2">
        <v>29</v>
      </c>
      <c r="E775" s="2" t="str">
        <f>_xlfn.IFS(Table1[[#This Row],[Age]]&lt;30, "18-29", D775&lt;=45,"30-45", D775&lt;=55, "46-55", TRUE, "55+")</f>
        <v>18-29</v>
      </c>
      <c r="F775" s="2" t="s">
        <v>121</v>
      </c>
      <c r="G775" s="2" t="s">
        <v>122</v>
      </c>
      <c r="H775" s="2" t="s">
        <v>9</v>
      </c>
      <c r="I775" s="5">
        <v>8</v>
      </c>
      <c r="J775" s="5" t="str">
        <f>_xlfn.IFS(Table1[[#This Row],[Experience(Years)]]&lt;5, "Junior", I775&lt;=12, "Mid-Level", I775&lt;=20, "Senior", I775&lt;=30, "Super Senior", TRUE, "Expert")</f>
        <v>Mid-Level</v>
      </c>
      <c r="K775" s="7">
        <v>50</v>
      </c>
      <c r="L775" s="7">
        <f>Table1[[#This Row],[Hourly Rate]]*1000</f>
        <v>50000</v>
      </c>
      <c r="M775" s="7" t="str">
        <f t="shared" si="12"/>
        <v>Standard</v>
      </c>
      <c r="N775" s="2">
        <f>IF(ISNUMBER(#REF!),#REF!, _xlfn.IFS( I775&gt;=30, 5, I775&gt;=25, 4.8, I775&gt;=15, 4, I775&gt;=10, 3.8, I775&gt;=5, 3, I775&gt;=2, 2.5, I775&gt;=0, 1.8, TRUE, 1.3))</f>
        <v>3</v>
      </c>
      <c r="O775" s="2" t="s">
        <v>2052</v>
      </c>
      <c r="P775" s="10">
        <v>0.77</v>
      </c>
      <c r="Q775" s="10" t="str">
        <f>_xlfn.IFS(Table1[[#This Row],[Rating]]&gt;=4, "Top Performer", Table1[[#This Row],[Rating]]&gt;=3, "Average", TRUE, "Needs Imporovement")</f>
        <v>Average</v>
      </c>
    </row>
    <row r="776" spans="1:17" x14ac:dyDescent="0.3">
      <c r="A776" s="2" t="s">
        <v>1591</v>
      </c>
      <c r="B776" s="2" t="s">
        <v>1592</v>
      </c>
      <c r="C776" s="2" t="s">
        <v>68</v>
      </c>
      <c r="D776" s="2">
        <v>23</v>
      </c>
      <c r="E776" s="2" t="str">
        <f>_xlfn.IFS(Table1[[#This Row],[Age]]&lt;30, "18-29", D776&lt;=45,"30-45", D776&lt;=55, "46-55", TRUE, "55+")</f>
        <v>18-29</v>
      </c>
      <c r="F776" s="2" t="s">
        <v>156</v>
      </c>
      <c r="G776" s="2" t="s">
        <v>45</v>
      </c>
      <c r="H776" s="2" t="s">
        <v>61</v>
      </c>
      <c r="I776" s="5">
        <v>3</v>
      </c>
      <c r="J776" s="5" t="str">
        <f>_xlfn.IFS(Table1[[#This Row],[Experience(Years)]]&lt;5, "Junior", I776&lt;=12, "Mid-Level", I776&lt;=20, "Senior", I776&lt;=30, "Super Senior", TRUE, "Expert")</f>
        <v>Junior</v>
      </c>
      <c r="K776" s="7">
        <v>30</v>
      </c>
      <c r="L776" s="7">
        <f>Table1[[#This Row],[Hourly Rate]]*1000</f>
        <v>30000</v>
      </c>
      <c r="M776" s="7" t="str">
        <f t="shared" si="12"/>
        <v>Budget</v>
      </c>
      <c r="N776" s="2">
        <f>IF(ISNUMBER(#REF!),#REF!, _xlfn.IFS( I776&gt;=30, 5, I776&gt;=25, 4.8, I776&gt;=15, 4, I776&gt;=10, 3.8, I776&gt;=5, 3, I776&gt;=2, 2.5, I776&gt;=0, 1.8, TRUE, 1.3))</f>
        <v>2.5</v>
      </c>
      <c r="O776" s="2" t="s">
        <v>2053</v>
      </c>
      <c r="P776" s="10">
        <v>0.72</v>
      </c>
      <c r="Q776" s="10" t="str">
        <f>_xlfn.IFS(Table1[[#This Row],[Rating]]&gt;=4, "Top Performer", Table1[[#This Row],[Rating]]&gt;=3, "Average", TRUE, "Needs Imporovement")</f>
        <v>Needs Imporovement</v>
      </c>
    </row>
    <row r="777" spans="1:17" x14ac:dyDescent="0.3">
      <c r="A777" s="2" t="s">
        <v>1593</v>
      </c>
      <c r="B777" s="2" t="s">
        <v>1594</v>
      </c>
      <c r="C777" s="2" t="s">
        <v>49</v>
      </c>
      <c r="D777" s="2">
        <v>58</v>
      </c>
      <c r="E777" s="2" t="str">
        <f>_xlfn.IFS(Table1[[#This Row],[Age]]&lt;30, "18-29", D777&lt;=45,"30-45", D777&lt;=55, "46-55", TRUE, "55+")</f>
        <v>55+</v>
      </c>
      <c r="F777" s="2" t="s">
        <v>145</v>
      </c>
      <c r="G777" s="2" t="s">
        <v>45</v>
      </c>
      <c r="H777" s="2" t="s">
        <v>61</v>
      </c>
      <c r="I777" s="5">
        <v>30</v>
      </c>
      <c r="J777" s="5" t="str">
        <f>_xlfn.IFS(Table1[[#This Row],[Experience(Years)]]&lt;5, "Junior", I777&lt;=12, "Mid-Level", I777&lt;=20, "Senior", I777&lt;=30, "Super Senior", TRUE, "Expert")</f>
        <v>Super Senior</v>
      </c>
      <c r="K777" s="7">
        <v>50</v>
      </c>
      <c r="L777" s="7">
        <f>Table1[[#This Row],[Hourly Rate]]*1000</f>
        <v>50000</v>
      </c>
      <c r="M777" s="7" t="str">
        <f t="shared" si="12"/>
        <v>Standard</v>
      </c>
      <c r="N777" s="2">
        <f>IF(ISNUMBER(#REF!),#REF!, _xlfn.IFS( I777&gt;=30, 5, I777&gt;=25, 4.8, I777&gt;=15, 4, I777&gt;=10, 3.8, I777&gt;=5, 3, I777&gt;=2, 2.5, I777&gt;=0, 1.8, TRUE, 1.3))</f>
        <v>5</v>
      </c>
      <c r="O777" s="2" t="s">
        <v>2053</v>
      </c>
      <c r="P777" s="10">
        <v>0.87</v>
      </c>
      <c r="Q777" s="10" t="str">
        <f>_xlfn.IFS(Table1[[#This Row],[Rating]]&gt;=4, "Top Performer", Table1[[#This Row],[Rating]]&gt;=3, "Average", TRUE, "Needs Imporovement")</f>
        <v>Top Performer</v>
      </c>
    </row>
    <row r="778" spans="1:17" x14ac:dyDescent="0.3">
      <c r="A778" s="2" t="s">
        <v>1595</v>
      </c>
      <c r="B778" s="2" t="s">
        <v>1596</v>
      </c>
      <c r="C778" s="2" t="s">
        <v>49</v>
      </c>
      <c r="D778" s="2">
        <v>56</v>
      </c>
      <c r="E778" s="2" t="str">
        <f>_xlfn.IFS(Table1[[#This Row],[Age]]&lt;30, "18-29", D778&lt;=45,"30-45", D778&lt;=55, "46-55", TRUE, "55+")</f>
        <v>55+</v>
      </c>
      <c r="F778" s="2" t="s">
        <v>141</v>
      </c>
      <c r="G778" s="2" t="s">
        <v>142</v>
      </c>
      <c r="H778" s="2" t="s">
        <v>4</v>
      </c>
      <c r="I778" s="5">
        <v>3</v>
      </c>
      <c r="J778" s="5" t="str">
        <f>_xlfn.IFS(Table1[[#This Row],[Experience(Years)]]&lt;5, "Junior", I778&lt;=12, "Mid-Level", I778&lt;=20, "Senior", I778&lt;=30, "Super Senior", TRUE, "Expert")</f>
        <v>Junior</v>
      </c>
      <c r="K778" s="7">
        <v>40</v>
      </c>
      <c r="L778" s="7">
        <f>Table1[[#This Row],[Hourly Rate]]*1000</f>
        <v>40000</v>
      </c>
      <c r="M778" s="7" t="str">
        <f t="shared" si="12"/>
        <v>Standard</v>
      </c>
      <c r="N778" s="2">
        <f>IF(ISNUMBER(#REF!),#REF!, _xlfn.IFS( I778&gt;=30, 5, I778&gt;=25, 4.8, I778&gt;=15, 4, I778&gt;=10, 3.8, I778&gt;=5, 3, I778&gt;=2, 2.5, I778&gt;=0, 1.8, TRUE, 1.3))</f>
        <v>2.5</v>
      </c>
      <c r="O778" s="2" t="s">
        <v>2053</v>
      </c>
      <c r="P778" s="10">
        <v>0.89</v>
      </c>
      <c r="Q778" s="10" t="str">
        <f>_xlfn.IFS(Table1[[#This Row],[Rating]]&gt;=4, "Top Performer", Table1[[#This Row],[Rating]]&gt;=3, "Average", TRUE, "Needs Imporovement")</f>
        <v>Needs Imporovement</v>
      </c>
    </row>
    <row r="779" spans="1:17" x14ac:dyDescent="0.3">
      <c r="A779" s="2" t="s">
        <v>1597</v>
      </c>
      <c r="B779" s="2" t="s">
        <v>1598</v>
      </c>
      <c r="C779" s="2" t="s">
        <v>68</v>
      </c>
      <c r="D779" s="2">
        <v>48</v>
      </c>
      <c r="E779" s="2" t="str">
        <f>_xlfn.IFS(Table1[[#This Row],[Age]]&lt;30, "18-29", D779&lt;=45,"30-45", D779&lt;=55, "46-55", TRUE, "55+")</f>
        <v>46-55</v>
      </c>
      <c r="F779" s="2" t="s">
        <v>37</v>
      </c>
      <c r="G779" s="2" t="s">
        <v>38</v>
      </c>
      <c r="H779" s="2" t="s">
        <v>17</v>
      </c>
      <c r="I779" s="5">
        <v>19</v>
      </c>
      <c r="J779" s="5" t="str">
        <f>_xlfn.IFS(Table1[[#This Row],[Experience(Years)]]&lt;5, "Junior", I779&lt;=12, "Mid-Level", I779&lt;=20, "Senior", I779&lt;=30, "Super Senior", TRUE, "Expert")</f>
        <v>Senior</v>
      </c>
      <c r="K779" s="7">
        <v>40</v>
      </c>
      <c r="L779" s="7">
        <f>Table1[[#This Row],[Hourly Rate]]*1000</f>
        <v>40000</v>
      </c>
      <c r="M779" s="7" t="str">
        <f t="shared" si="12"/>
        <v>Standard</v>
      </c>
      <c r="N779" s="2">
        <f>IF(ISNUMBER(#REF!),#REF!, _xlfn.IFS( I779&gt;=30, 5, I779&gt;=25, 4.8, I779&gt;=15, 4, I779&gt;=10, 3.8, I779&gt;=5, 3, I779&gt;=2, 2.5, I779&gt;=0, 1.8, TRUE, 1.3))</f>
        <v>4</v>
      </c>
      <c r="O779" s="2" t="s">
        <v>2052</v>
      </c>
      <c r="P779" s="10">
        <v>0.87</v>
      </c>
      <c r="Q779" s="10" t="str">
        <f>_xlfn.IFS(Table1[[#This Row],[Rating]]&gt;=4, "Top Performer", Table1[[#This Row],[Rating]]&gt;=3, "Average", TRUE, "Needs Imporovement")</f>
        <v>Top Performer</v>
      </c>
    </row>
    <row r="780" spans="1:17" x14ac:dyDescent="0.3">
      <c r="A780" s="2" t="s">
        <v>1599</v>
      </c>
      <c r="B780" s="2" t="s">
        <v>1600</v>
      </c>
      <c r="C780" s="2" t="s">
        <v>49</v>
      </c>
      <c r="D780" s="2">
        <v>31</v>
      </c>
      <c r="E780" s="2" t="str">
        <f>_xlfn.IFS(Table1[[#This Row],[Age]]&lt;30, "18-29", D780&lt;=45,"30-45", D780&lt;=55, "46-55", TRUE, "55+")</f>
        <v>30-45</v>
      </c>
      <c r="F780" s="2" t="s">
        <v>92</v>
      </c>
      <c r="G780" s="2" t="s">
        <v>93</v>
      </c>
      <c r="H780" s="2" t="s">
        <v>9</v>
      </c>
      <c r="I780" s="5">
        <v>11</v>
      </c>
      <c r="J780" s="5" t="str">
        <f>_xlfn.IFS(Table1[[#This Row],[Experience(Years)]]&lt;5, "Junior", I780&lt;=12, "Mid-Level", I780&lt;=20, "Senior", I780&lt;=30, "Super Senior", TRUE, "Expert")</f>
        <v>Mid-Level</v>
      </c>
      <c r="K780" s="7">
        <v>40</v>
      </c>
      <c r="L780" s="7">
        <f>Table1[[#This Row],[Hourly Rate]]*1000</f>
        <v>40000</v>
      </c>
      <c r="M780" s="7" t="str">
        <f t="shared" si="12"/>
        <v>Standard</v>
      </c>
      <c r="N780" s="2">
        <f>IF(ISNUMBER(#REF!),#REF!, _xlfn.IFS( I780&gt;=30, 5, I780&gt;=25, 4.8, I780&gt;=15, 4, I780&gt;=10, 3.8, I780&gt;=5, 3, I780&gt;=2, 2.5, I780&gt;=0, 1.8, TRUE, 1.3))</f>
        <v>3.8</v>
      </c>
      <c r="O780" s="2" t="s">
        <v>2053</v>
      </c>
      <c r="P780" s="10">
        <v>0.76</v>
      </c>
      <c r="Q780" s="10" t="str">
        <f>_xlfn.IFS(Table1[[#This Row],[Rating]]&gt;=4, "Top Performer", Table1[[#This Row],[Rating]]&gt;=3, "Average", TRUE, "Needs Imporovement")</f>
        <v>Average</v>
      </c>
    </row>
    <row r="781" spans="1:17" x14ac:dyDescent="0.3">
      <c r="A781" s="2" t="s">
        <v>1601</v>
      </c>
      <c r="B781" s="2" t="s">
        <v>1602</v>
      </c>
      <c r="C781" s="2" t="s">
        <v>68</v>
      </c>
      <c r="D781" s="2">
        <v>44</v>
      </c>
      <c r="E781" s="2" t="str">
        <f>_xlfn.IFS(Table1[[#This Row],[Age]]&lt;30, "18-29", D781&lt;=45,"30-45", D781&lt;=55, "46-55", TRUE, "55+")</f>
        <v>30-45</v>
      </c>
      <c r="F781" s="2" t="s">
        <v>7</v>
      </c>
      <c r="G781" s="2" t="s">
        <v>8</v>
      </c>
      <c r="H781" s="2" t="s">
        <v>83</v>
      </c>
      <c r="I781" s="5">
        <v>26</v>
      </c>
      <c r="J781" s="5" t="str">
        <f>_xlfn.IFS(Table1[[#This Row],[Experience(Years)]]&lt;5, "Junior", I781&lt;=12, "Mid-Level", I781&lt;=20, "Senior", I781&lt;=30, "Super Senior", TRUE, "Expert")</f>
        <v>Super Senior</v>
      </c>
      <c r="K781" s="7">
        <v>50</v>
      </c>
      <c r="L781" s="7">
        <f>Table1[[#This Row],[Hourly Rate]]*1000</f>
        <v>50000</v>
      </c>
      <c r="M781" s="7" t="str">
        <f t="shared" si="12"/>
        <v>Standard</v>
      </c>
      <c r="N781" s="2">
        <f>IF(ISNUMBER(#REF!),#REF!, _xlfn.IFS( I781&gt;=30, 5, I781&gt;=25, 4.8, I781&gt;=15, 4, I781&gt;=10, 3.8, I781&gt;=5, 3, I781&gt;=2, 2.5, I781&gt;=0, 1.8, TRUE, 1.3))</f>
        <v>4.8</v>
      </c>
      <c r="O781" s="2" t="str">
        <f>IF(AND( Table1[[#This Row],[Rating]]&gt;=3.5, Table1[[#This Row],[Experience(Years)]]&gt;=15), "Active", "Inactive")</f>
        <v>Active</v>
      </c>
      <c r="P781" s="10">
        <v>1</v>
      </c>
      <c r="Q781" s="10" t="str">
        <f>_xlfn.IFS(Table1[[#This Row],[Rating]]&gt;=4, "Top Performer", Table1[[#This Row],[Rating]]&gt;=3, "Average", TRUE, "Needs Imporovement")</f>
        <v>Top Performer</v>
      </c>
    </row>
    <row r="782" spans="1:17" x14ac:dyDescent="0.3">
      <c r="A782" s="2" t="s">
        <v>1603</v>
      </c>
      <c r="B782" s="2" t="s">
        <v>1604</v>
      </c>
      <c r="C782" s="2" t="s">
        <v>49</v>
      </c>
      <c r="D782" s="2">
        <v>42</v>
      </c>
      <c r="E782" s="2" t="str">
        <f>_xlfn.IFS(Table1[[#This Row],[Age]]&lt;30, "18-29", D782&lt;=45,"30-45", D782&lt;=55, "46-55", TRUE, "55+")</f>
        <v>30-45</v>
      </c>
      <c r="F782" s="2" t="s">
        <v>107</v>
      </c>
      <c r="G782" s="2" t="s">
        <v>108</v>
      </c>
      <c r="H782" s="2" t="s">
        <v>9</v>
      </c>
      <c r="I782" s="5">
        <v>10</v>
      </c>
      <c r="J782" s="5" t="str">
        <f>_xlfn.IFS(Table1[[#This Row],[Experience(Years)]]&lt;5, "Junior", I782&lt;=12, "Mid-Level", I782&lt;=20, "Senior", I782&lt;=30, "Super Senior", TRUE, "Expert")</f>
        <v>Mid-Level</v>
      </c>
      <c r="K782" s="7">
        <v>100</v>
      </c>
      <c r="L782" s="7">
        <f>Table1[[#This Row],[Hourly Rate]]*1000</f>
        <v>100000</v>
      </c>
      <c r="M782" s="7" t="str">
        <f t="shared" si="12"/>
        <v>Premium</v>
      </c>
      <c r="N782" s="2">
        <f>IF(ISNUMBER(#REF!),#REF!, _xlfn.IFS( I782&gt;=30, 5, I782&gt;=25, 4.8, I782&gt;=15, 4, I782&gt;=10, 3.8, I782&gt;=5, 3, I782&gt;=2, 2.5, I782&gt;=0, 1.8, TRUE, 1.3))</f>
        <v>3.8</v>
      </c>
      <c r="O782" s="2" t="s">
        <v>2053</v>
      </c>
      <c r="P782" s="10">
        <v>0.94</v>
      </c>
      <c r="Q782" s="10" t="str">
        <f>_xlfn.IFS(Table1[[#This Row],[Rating]]&gt;=4, "Top Performer", Table1[[#This Row],[Rating]]&gt;=3, "Average", TRUE, "Needs Imporovement")</f>
        <v>Average</v>
      </c>
    </row>
    <row r="783" spans="1:17" x14ac:dyDescent="0.3">
      <c r="A783" s="2" t="s">
        <v>1605</v>
      </c>
      <c r="B783" s="2" t="s">
        <v>1606</v>
      </c>
      <c r="C783" s="2" t="s">
        <v>68</v>
      </c>
      <c r="D783" s="2">
        <v>59</v>
      </c>
      <c r="E783" s="2" t="str">
        <f>_xlfn.IFS(Table1[[#This Row],[Age]]&lt;30, "18-29", D783&lt;=45,"30-45", D783&lt;=55, "46-55", TRUE, "55+")</f>
        <v>55+</v>
      </c>
      <c r="F783" s="2" t="s">
        <v>34</v>
      </c>
      <c r="G783" s="2" t="s">
        <v>8</v>
      </c>
      <c r="H783" s="2" t="s">
        <v>50</v>
      </c>
      <c r="I783" s="5">
        <v>17</v>
      </c>
      <c r="J783" s="5" t="str">
        <f>_xlfn.IFS(Table1[[#This Row],[Experience(Years)]]&lt;5, "Junior", I783&lt;=12, "Mid-Level", I783&lt;=20, "Senior", I783&lt;=30, "Super Senior", TRUE, "Expert")</f>
        <v>Senior</v>
      </c>
      <c r="K783" s="7">
        <v>50</v>
      </c>
      <c r="L783" s="7">
        <f>Table1[[#This Row],[Hourly Rate]]*1000</f>
        <v>50000</v>
      </c>
      <c r="M783" s="7" t="str">
        <f t="shared" si="12"/>
        <v>Standard</v>
      </c>
      <c r="N783" s="2">
        <f>IF(ISNUMBER(#REF!),#REF!, _xlfn.IFS( I783&gt;=30, 5, I783&gt;=25, 4.8, I783&gt;=15, 4, I783&gt;=10, 3.8, I783&gt;=5, 3, I783&gt;=2, 2.5, I783&gt;=0, 1.8, TRUE, 1.3))</f>
        <v>4</v>
      </c>
      <c r="O783" s="2" t="s">
        <v>2053</v>
      </c>
      <c r="P783" s="10">
        <v>0.85</v>
      </c>
      <c r="Q783" s="10" t="str">
        <f>_xlfn.IFS(Table1[[#This Row],[Rating]]&gt;=4, "Top Performer", Table1[[#This Row],[Rating]]&gt;=3, "Average", TRUE, "Needs Imporovement")</f>
        <v>Top Performer</v>
      </c>
    </row>
    <row r="784" spans="1:17" x14ac:dyDescent="0.3">
      <c r="A784" s="2" t="s">
        <v>1607</v>
      </c>
      <c r="B784" s="2" t="s">
        <v>1608</v>
      </c>
      <c r="C784" s="2" t="s">
        <v>49</v>
      </c>
      <c r="D784" s="2">
        <v>38</v>
      </c>
      <c r="E784" s="2" t="str">
        <f>_xlfn.IFS(Table1[[#This Row],[Age]]&lt;30, "18-29", D784&lt;=45,"30-45", D784&lt;=55, "46-55", TRUE, "55+")</f>
        <v>30-45</v>
      </c>
      <c r="F784" s="2" t="s">
        <v>44</v>
      </c>
      <c r="G784" s="2" t="s">
        <v>45</v>
      </c>
      <c r="H784" s="2" t="s">
        <v>4</v>
      </c>
      <c r="I784" s="5">
        <v>9</v>
      </c>
      <c r="J784" s="5" t="str">
        <f>_xlfn.IFS(Table1[[#This Row],[Experience(Years)]]&lt;5, "Junior", I784&lt;=12, "Mid-Level", I784&lt;=20, "Senior", I784&lt;=30, "Super Senior", TRUE, "Expert")</f>
        <v>Mid-Level</v>
      </c>
      <c r="K784" s="7">
        <v>100</v>
      </c>
      <c r="L784" s="7">
        <f>Table1[[#This Row],[Hourly Rate]]*1000</f>
        <v>100000</v>
      </c>
      <c r="M784" s="7" t="str">
        <f t="shared" si="12"/>
        <v>Premium</v>
      </c>
      <c r="N784" s="2">
        <f>IF(ISNUMBER(#REF!),#REF!, _xlfn.IFS( I784&gt;=30, 5, I784&gt;=25, 4.8, I784&gt;=15, 4, I784&gt;=10, 3.8, I784&gt;=5, 3, I784&gt;=2, 2.5, I784&gt;=0, 1.8, TRUE, 1.3))</f>
        <v>3</v>
      </c>
      <c r="O784" s="2" t="s">
        <v>2053</v>
      </c>
      <c r="P784" s="10">
        <v>0.83</v>
      </c>
      <c r="Q784" s="10" t="str">
        <f>_xlfn.IFS(Table1[[#This Row],[Rating]]&gt;=4, "Top Performer", Table1[[#This Row],[Rating]]&gt;=3, "Average", TRUE, "Needs Imporovement")</f>
        <v>Average</v>
      </c>
    </row>
    <row r="785" spans="1:17" x14ac:dyDescent="0.3">
      <c r="A785" s="2" t="s">
        <v>1609</v>
      </c>
      <c r="B785" s="2" t="s">
        <v>1610</v>
      </c>
      <c r="C785" s="2" t="s">
        <v>68</v>
      </c>
      <c r="D785" s="2">
        <v>21</v>
      </c>
      <c r="E785" s="2" t="str">
        <f>_xlfn.IFS(Table1[[#This Row],[Age]]&lt;30, "18-29", D785&lt;=45,"30-45", D785&lt;=55, "46-55", TRUE, "55+")</f>
        <v>18-29</v>
      </c>
      <c r="F785" s="2" t="s">
        <v>141</v>
      </c>
      <c r="G785" s="2" t="s">
        <v>142</v>
      </c>
      <c r="H785" s="2" t="s">
        <v>29</v>
      </c>
      <c r="I785" s="5">
        <v>0</v>
      </c>
      <c r="J785" s="5" t="str">
        <f>_xlfn.IFS(Table1[[#This Row],[Experience(Years)]]&lt;5, "Junior", I785&lt;=12, "Mid-Level", I785&lt;=20, "Senior", I785&lt;=30, "Super Senior", TRUE, "Expert")</f>
        <v>Junior</v>
      </c>
      <c r="K785" s="7">
        <v>40</v>
      </c>
      <c r="L785" s="7">
        <f>Table1[[#This Row],[Hourly Rate]]*1000</f>
        <v>40000</v>
      </c>
      <c r="M785" s="7" t="str">
        <f t="shared" si="12"/>
        <v>Standard</v>
      </c>
      <c r="N785" s="2">
        <f>IF(ISNUMBER(#REF!),#REF!, _xlfn.IFS( I785&gt;=30, 5, I785&gt;=25, 4.8, I785&gt;=15, 4, I785&gt;=10, 3.8, I785&gt;=5, 3, I785&gt;=2, 2.5, I785&gt;=0, 1.8, TRUE, 1.3))</f>
        <v>1.8</v>
      </c>
      <c r="O785" s="2" t="s">
        <v>2052</v>
      </c>
      <c r="P785" s="10">
        <v>0.74</v>
      </c>
      <c r="Q785" s="10" t="str">
        <f>_xlfn.IFS(Table1[[#This Row],[Rating]]&gt;=4, "Top Performer", Table1[[#This Row],[Rating]]&gt;=3, "Average", TRUE, "Needs Imporovement")</f>
        <v>Needs Imporovement</v>
      </c>
    </row>
    <row r="786" spans="1:17" x14ac:dyDescent="0.3">
      <c r="A786" s="2" t="s">
        <v>1611</v>
      </c>
      <c r="B786" s="2" t="s">
        <v>1612</v>
      </c>
      <c r="C786" s="2" t="s">
        <v>68</v>
      </c>
      <c r="D786" s="2">
        <v>53</v>
      </c>
      <c r="E786" s="2" t="str">
        <f>_xlfn.IFS(Table1[[#This Row],[Age]]&lt;30, "18-29", D786&lt;=45,"30-45", D786&lt;=55, "46-55", TRUE, "55+")</f>
        <v>46-55</v>
      </c>
      <c r="F786" s="2" t="s">
        <v>41</v>
      </c>
      <c r="G786" s="2" t="s">
        <v>8</v>
      </c>
      <c r="H786" s="2" t="s">
        <v>61</v>
      </c>
      <c r="I786" s="5">
        <v>5</v>
      </c>
      <c r="J786" s="5" t="str">
        <f>_xlfn.IFS(Table1[[#This Row],[Experience(Years)]]&lt;5, "Junior", I786&lt;=12, "Mid-Level", I786&lt;=20, "Senior", I786&lt;=30, "Super Senior", TRUE, "Expert")</f>
        <v>Mid-Level</v>
      </c>
      <c r="K786" s="7">
        <v>75</v>
      </c>
      <c r="L786" s="7">
        <f>Table1[[#This Row],[Hourly Rate]]*1000</f>
        <v>75000</v>
      </c>
      <c r="M786" s="7" t="str">
        <f t="shared" si="12"/>
        <v>Standard</v>
      </c>
      <c r="N786" s="2">
        <f>IF(ISNUMBER(#REF!),#REF!, _xlfn.IFS( I786&gt;=30, 5, I786&gt;=25, 4.8, I786&gt;=15, 4, I786&gt;=10, 3.8, I786&gt;=5, 3, I786&gt;=2, 2.5, I786&gt;=0, 1.8, TRUE, 1.3))</f>
        <v>3</v>
      </c>
      <c r="O786" s="2" t="s">
        <v>2052</v>
      </c>
      <c r="P786" s="10">
        <v>0.92</v>
      </c>
      <c r="Q786" s="10" t="str">
        <f>_xlfn.IFS(Table1[[#This Row],[Rating]]&gt;=4, "Top Performer", Table1[[#This Row],[Rating]]&gt;=3, "Average", TRUE, "Needs Imporovement")</f>
        <v>Average</v>
      </c>
    </row>
    <row r="787" spans="1:17" x14ac:dyDescent="0.3">
      <c r="A787" s="2" t="s">
        <v>1613</v>
      </c>
      <c r="B787" s="2" t="s">
        <v>1614</v>
      </c>
      <c r="C787" s="2" t="s">
        <v>68</v>
      </c>
      <c r="D787" s="2">
        <v>35</v>
      </c>
      <c r="E787" s="2" t="str">
        <f>_xlfn.IFS(Table1[[#This Row],[Age]]&lt;30, "18-29", D787&lt;=45,"30-45", D787&lt;=55, "46-55", TRUE, "55+")</f>
        <v>30-45</v>
      </c>
      <c r="F787" s="2" t="s">
        <v>44</v>
      </c>
      <c r="G787" s="2" t="s">
        <v>45</v>
      </c>
      <c r="H787" s="2" t="s">
        <v>9</v>
      </c>
      <c r="I787" s="5">
        <v>15</v>
      </c>
      <c r="J787" s="5" t="str">
        <f>_xlfn.IFS(Table1[[#This Row],[Experience(Years)]]&lt;5, "Junior", I787&lt;=12, "Mid-Level", I787&lt;=20, "Senior", I787&lt;=30, "Super Senior", TRUE, "Expert")</f>
        <v>Senior</v>
      </c>
      <c r="K787" s="7">
        <v>45</v>
      </c>
      <c r="L787" s="7">
        <f>Table1[[#This Row],[Hourly Rate]]*1000</f>
        <v>45000</v>
      </c>
      <c r="M787" s="7" t="str">
        <f t="shared" si="12"/>
        <v>Standard</v>
      </c>
      <c r="N787" s="2">
        <f>IF(ISNUMBER(#REF!),#REF!, _xlfn.IFS( I787&gt;=30, 5, I787&gt;=25, 4.8, I787&gt;=15, 4, I787&gt;=10, 3.8, I787&gt;=5, 3, I787&gt;=2, 2.5, I787&gt;=0, 1.8, TRUE, 1.3))</f>
        <v>4</v>
      </c>
      <c r="O787" s="2" t="s">
        <v>2052</v>
      </c>
      <c r="P787" s="10">
        <v>0.66</v>
      </c>
      <c r="Q787" s="10" t="str">
        <f>_xlfn.IFS(Table1[[#This Row],[Rating]]&gt;=4, "Top Performer", Table1[[#This Row],[Rating]]&gt;=3, "Average", TRUE, "Needs Imporovement")</f>
        <v>Top Performer</v>
      </c>
    </row>
    <row r="788" spans="1:17" x14ac:dyDescent="0.3">
      <c r="A788" s="2" t="s">
        <v>1615</v>
      </c>
      <c r="B788" s="2" t="s">
        <v>1616</v>
      </c>
      <c r="C788" s="2" t="s">
        <v>49</v>
      </c>
      <c r="D788" s="2">
        <v>25</v>
      </c>
      <c r="E788" s="2" t="str">
        <f>_xlfn.IFS(Table1[[#This Row],[Age]]&lt;30, "18-29", D788&lt;=45,"30-45", D788&lt;=55, "46-55", TRUE, "55+")</f>
        <v>18-29</v>
      </c>
      <c r="F788" s="2" t="s">
        <v>77</v>
      </c>
      <c r="G788" s="2" t="s">
        <v>78</v>
      </c>
      <c r="H788" s="2" t="s">
        <v>83</v>
      </c>
      <c r="I788" s="5">
        <v>3</v>
      </c>
      <c r="J788" s="5" t="str">
        <f>_xlfn.IFS(Table1[[#This Row],[Experience(Years)]]&lt;5, "Junior", I788&lt;=12, "Mid-Level", I788&lt;=20, "Senior", I788&lt;=30, "Super Senior", TRUE, "Expert")</f>
        <v>Junior</v>
      </c>
      <c r="K788" s="7">
        <v>50</v>
      </c>
      <c r="L788" s="7">
        <f>Table1[[#This Row],[Hourly Rate]]*1000</f>
        <v>50000</v>
      </c>
      <c r="M788" s="7" t="str">
        <f t="shared" si="12"/>
        <v>Standard</v>
      </c>
      <c r="N788" s="2">
        <f>IF(ISNUMBER(#REF!),#REF!, _xlfn.IFS( I788&gt;=30, 5, I788&gt;=25, 4.8, I788&gt;=15, 4, I788&gt;=10, 3.8, I788&gt;=5, 3, I788&gt;=2, 2.5, I788&gt;=0, 1.8, TRUE, 1.3))</f>
        <v>2.5</v>
      </c>
      <c r="O788" s="2" t="s">
        <v>2053</v>
      </c>
      <c r="P788" s="10">
        <v>0.74</v>
      </c>
      <c r="Q788" s="10" t="str">
        <f>_xlfn.IFS(Table1[[#This Row],[Rating]]&gt;=4, "Top Performer", Table1[[#This Row],[Rating]]&gt;=3, "Average", TRUE, "Needs Imporovement")</f>
        <v>Needs Imporovement</v>
      </c>
    </row>
    <row r="789" spans="1:17" x14ac:dyDescent="0.3">
      <c r="A789" s="2" t="s">
        <v>1617</v>
      </c>
      <c r="B789" s="2" t="s">
        <v>1618</v>
      </c>
      <c r="C789" s="2" t="s">
        <v>49</v>
      </c>
      <c r="D789" s="2">
        <v>23</v>
      </c>
      <c r="E789" s="2" t="str">
        <f>_xlfn.IFS(Table1[[#This Row],[Age]]&lt;30, "18-29", D789&lt;=45,"30-45", D789&lt;=55, "46-55", TRUE, "55+")</f>
        <v>18-29</v>
      </c>
      <c r="F789" s="2" t="s">
        <v>2</v>
      </c>
      <c r="G789" s="2" t="s">
        <v>3</v>
      </c>
      <c r="H789" s="2" t="s">
        <v>46</v>
      </c>
      <c r="I789" s="5">
        <v>1</v>
      </c>
      <c r="J789" s="5" t="str">
        <f>_xlfn.IFS(Table1[[#This Row],[Experience(Years)]]&lt;5, "Junior", I789&lt;=12, "Mid-Level", I789&lt;=20, "Senior", I789&lt;=30, "Super Senior", TRUE, "Expert")</f>
        <v>Junior</v>
      </c>
      <c r="K789" s="7">
        <v>30</v>
      </c>
      <c r="L789" s="7">
        <f>Table1[[#This Row],[Hourly Rate]]*1000</f>
        <v>30000</v>
      </c>
      <c r="M789" s="7" t="str">
        <f t="shared" si="12"/>
        <v>Budget</v>
      </c>
      <c r="N789" s="2">
        <f>IF(ISNUMBER(#REF!),#REF!, _xlfn.IFS( I789&gt;=30, 5, I789&gt;=25, 4.8, I789&gt;=15, 4, I789&gt;=10, 3.8, I789&gt;=5, 3, I789&gt;=2, 2.5, I789&gt;=0, 1.8, TRUE, 1.3))</f>
        <v>1.8</v>
      </c>
      <c r="O789" s="2" t="s">
        <v>2052</v>
      </c>
      <c r="P789" s="10">
        <v>0.97</v>
      </c>
      <c r="Q789" s="10" t="str">
        <f>_xlfn.IFS(Table1[[#This Row],[Rating]]&gt;=4, "Top Performer", Table1[[#This Row],[Rating]]&gt;=3, "Average", TRUE, "Needs Imporovement")</f>
        <v>Needs Imporovement</v>
      </c>
    </row>
    <row r="790" spans="1:17" x14ac:dyDescent="0.3">
      <c r="A790" s="2" t="s">
        <v>1619</v>
      </c>
      <c r="B790" s="2" t="s">
        <v>1620</v>
      </c>
      <c r="C790" s="2" t="s">
        <v>49</v>
      </c>
      <c r="D790" s="2">
        <v>56</v>
      </c>
      <c r="E790" s="2" t="str">
        <f>_xlfn.IFS(Table1[[#This Row],[Age]]&lt;30, "18-29", D790&lt;=45,"30-45", D790&lt;=55, "46-55", TRUE, "55+")</f>
        <v>55+</v>
      </c>
      <c r="F790" s="2" t="s">
        <v>107</v>
      </c>
      <c r="G790" s="2" t="s">
        <v>108</v>
      </c>
      <c r="H790" s="2" t="s">
        <v>14</v>
      </c>
      <c r="I790" s="5">
        <v>13</v>
      </c>
      <c r="J790" s="5" t="str">
        <f>_xlfn.IFS(Table1[[#This Row],[Experience(Years)]]&lt;5, "Junior", I790&lt;=12, "Mid-Level", I790&lt;=20, "Senior", I790&lt;=30, "Super Senior", TRUE, "Expert")</f>
        <v>Senior</v>
      </c>
      <c r="K790" s="7">
        <v>30</v>
      </c>
      <c r="L790" s="7">
        <f>Table1[[#This Row],[Hourly Rate]]*1000</f>
        <v>30000</v>
      </c>
      <c r="M790" s="7" t="str">
        <f t="shared" si="12"/>
        <v>Budget</v>
      </c>
      <c r="N790" s="2">
        <f>IF(ISNUMBER(#REF!),#REF!, _xlfn.IFS( I790&gt;=30, 5, I790&gt;=25, 4.8, I790&gt;=15, 4, I790&gt;=10, 3.8, I790&gt;=5, 3, I790&gt;=2, 2.5, I790&gt;=0, 1.8, TRUE, 1.3))</f>
        <v>3.8</v>
      </c>
      <c r="O790" s="2" t="str">
        <f>IF(AND( Table1[[#This Row],[Rating]]&gt;=3.5, Table1[[#This Row],[Experience(Years)]]&gt;=15), "Active", "Inactive")</f>
        <v>Inactive</v>
      </c>
      <c r="P790" s="10">
        <v>0.77</v>
      </c>
      <c r="Q790" s="10" t="str">
        <f>_xlfn.IFS(Table1[[#This Row],[Rating]]&gt;=4, "Top Performer", Table1[[#This Row],[Rating]]&gt;=3, "Average", TRUE, "Needs Imporovement")</f>
        <v>Average</v>
      </c>
    </row>
    <row r="791" spans="1:17" x14ac:dyDescent="0.3">
      <c r="A791" s="2" t="s">
        <v>1621</v>
      </c>
      <c r="B791" s="2" t="s">
        <v>1622</v>
      </c>
      <c r="C791" s="2" t="s">
        <v>49</v>
      </c>
      <c r="D791" s="2">
        <v>31</v>
      </c>
      <c r="E791" s="2" t="str">
        <f>_xlfn.IFS(Table1[[#This Row],[Age]]&lt;30, "18-29", D791&lt;=45,"30-45", D791&lt;=55, "46-55", TRUE, "55+")</f>
        <v>30-45</v>
      </c>
      <c r="F791" s="2" t="s">
        <v>145</v>
      </c>
      <c r="G791" s="2" t="s">
        <v>45</v>
      </c>
      <c r="H791" s="2" t="s">
        <v>46</v>
      </c>
      <c r="I791" s="5">
        <v>6</v>
      </c>
      <c r="J791" s="5" t="str">
        <f>_xlfn.IFS(Table1[[#This Row],[Experience(Years)]]&lt;5, "Junior", I791&lt;=12, "Mid-Level", I791&lt;=20, "Senior", I791&lt;=30, "Super Senior", TRUE, "Expert")</f>
        <v>Mid-Level</v>
      </c>
      <c r="K791" s="7">
        <v>80</v>
      </c>
      <c r="L791" s="7">
        <f>Table1[[#This Row],[Hourly Rate]]*1000</f>
        <v>80000</v>
      </c>
      <c r="M791" s="7" t="str">
        <f t="shared" si="12"/>
        <v>Standard</v>
      </c>
      <c r="N791" s="2">
        <f>IF(ISNUMBER(#REF!),#REF!, _xlfn.IFS( I791&gt;=30, 5, I791&gt;=25, 4.8, I791&gt;=15, 4, I791&gt;=10, 3.8, I791&gt;=5, 3, I791&gt;=2, 2.5, I791&gt;=0, 1.8, TRUE, 1.3))</f>
        <v>3</v>
      </c>
      <c r="O791" s="2" t="s">
        <v>2052</v>
      </c>
      <c r="P791" s="10">
        <v>0.86</v>
      </c>
      <c r="Q791" s="10" t="str">
        <f>_xlfn.IFS(Table1[[#This Row],[Rating]]&gt;=4, "Top Performer", Table1[[#This Row],[Rating]]&gt;=3, "Average", TRUE, "Needs Imporovement")</f>
        <v>Average</v>
      </c>
    </row>
    <row r="792" spans="1:17" x14ac:dyDescent="0.3">
      <c r="A792" s="2" t="s">
        <v>1623</v>
      </c>
      <c r="B792" s="2" t="s">
        <v>1624</v>
      </c>
      <c r="C792" s="2" t="s">
        <v>68</v>
      </c>
      <c r="D792" s="2">
        <v>24</v>
      </c>
      <c r="E792" s="2" t="str">
        <f>_xlfn.IFS(Table1[[#This Row],[Age]]&lt;30, "18-29", D792&lt;=45,"30-45", D792&lt;=55, "46-55", TRUE, "55+")</f>
        <v>18-29</v>
      </c>
      <c r="F792" s="2" t="s">
        <v>34</v>
      </c>
      <c r="G792" s="2" t="s">
        <v>8</v>
      </c>
      <c r="H792" s="2" t="s">
        <v>50</v>
      </c>
      <c r="I792" s="5">
        <v>4</v>
      </c>
      <c r="J792" s="5" t="str">
        <f>_xlfn.IFS(Table1[[#This Row],[Experience(Years)]]&lt;5, "Junior", I792&lt;=12, "Mid-Level", I792&lt;=20, "Senior", I792&lt;=30, "Super Senior", TRUE, "Expert")</f>
        <v>Junior</v>
      </c>
      <c r="K792" s="7">
        <v>50</v>
      </c>
      <c r="L792" s="7">
        <f>Table1[[#This Row],[Hourly Rate]]*1000</f>
        <v>50000</v>
      </c>
      <c r="M792" s="7" t="str">
        <f t="shared" si="12"/>
        <v>Standard</v>
      </c>
      <c r="N792" s="2">
        <f>IF(ISNUMBER(#REF!),#REF!, _xlfn.IFS( I792&gt;=30, 5, I792&gt;=25, 4.8, I792&gt;=15, 4, I792&gt;=10, 3.8, I792&gt;=5, 3, I792&gt;=2, 2.5, I792&gt;=0, 1.8, TRUE, 1.3))</f>
        <v>2.5</v>
      </c>
      <c r="O792" s="2" t="s">
        <v>2052</v>
      </c>
      <c r="P792" s="10">
        <v>0.95</v>
      </c>
      <c r="Q792" s="10" t="str">
        <f>_xlfn.IFS(Table1[[#This Row],[Rating]]&gt;=4, "Top Performer", Table1[[#This Row],[Rating]]&gt;=3, "Average", TRUE, "Needs Imporovement")</f>
        <v>Needs Imporovement</v>
      </c>
    </row>
    <row r="793" spans="1:17" x14ac:dyDescent="0.3">
      <c r="A793" s="2" t="s">
        <v>1625</v>
      </c>
      <c r="B793" s="2" t="s">
        <v>1626</v>
      </c>
      <c r="C793" s="2" t="s">
        <v>49</v>
      </c>
      <c r="D793" s="2">
        <v>35</v>
      </c>
      <c r="E793" s="2" t="str">
        <f>_xlfn.IFS(Table1[[#This Row],[Age]]&lt;30, "18-29", D793&lt;=45,"30-45", D793&lt;=55, "46-55", TRUE, "55+")</f>
        <v>30-45</v>
      </c>
      <c r="F793" s="2" t="s">
        <v>77</v>
      </c>
      <c r="G793" s="2" t="s">
        <v>78</v>
      </c>
      <c r="H793" s="2" t="s">
        <v>50</v>
      </c>
      <c r="I793" s="5">
        <v>7</v>
      </c>
      <c r="J793" s="5" t="str">
        <f>_xlfn.IFS(Table1[[#This Row],[Experience(Years)]]&lt;5, "Junior", I793&lt;=12, "Mid-Level", I793&lt;=20, "Senior", I793&lt;=30, "Super Senior", TRUE, "Expert")</f>
        <v>Mid-Level</v>
      </c>
      <c r="K793" s="7">
        <v>50</v>
      </c>
      <c r="L793" s="7">
        <f>Table1[[#This Row],[Hourly Rate]]*1000</f>
        <v>50000</v>
      </c>
      <c r="M793" s="7" t="str">
        <f t="shared" si="12"/>
        <v>Standard</v>
      </c>
      <c r="N793" s="2">
        <f>IF(ISNUMBER(#REF!),#REF!, _xlfn.IFS( I793&gt;=30, 5, I793&gt;=25, 4.8, I793&gt;=15, 4, I793&gt;=10, 3.8, I793&gt;=5, 3, I793&gt;=2, 2.5, I793&gt;=0, 1.8, TRUE, 1.3))</f>
        <v>3</v>
      </c>
      <c r="O793" s="2" t="s">
        <v>2052</v>
      </c>
      <c r="P793" s="10">
        <v>0.72</v>
      </c>
      <c r="Q793" s="10" t="str">
        <f>_xlfn.IFS(Table1[[#This Row],[Rating]]&gt;=4, "Top Performer", Table1[[#This Row],[Rating]]&gt;=3, "Average", TRUE, "Needs Imporovement")</f>
        <v>Average</v>
      </c>
    </row>
    <row r="794" spans="1:17" x14ac:dyDescent="0.3">
      <c r="A794" s="2" t="s">
        <v>1627</v>
      </c>
      <c r="B794" s="2" t="s">
        <v>1628</v>
      </c>
      <c r="C794" s="2" t="s">
        <v>49</v>
      </c>
      <c r="D794" s="2">
        <v>20</v>
      </c>
      <c r="E794" s="2" t="str">
        <f>_xlfn.IFS(Table1[[#This Row],[Age]]&lt;30, "18-29", D794&lt;=45,"30-45", D794&lt;=55, "46-55", TRUE, "55+")</f>
        <v>18-29</v>
      </c>
      <c r="F794" s="2" t="s">
        <v>156</v>
      </c>
      <c r="G794" s="2" t="s">
        <v>45</v>
      </c>
      <c r="H794" s="2" t="s">
        <v>24</v>
      </c>
      <c r="I794" s="5">
        <v>1</v>
      </c>
      <c r="J794" s="5" t="str">
        <f>_xlfn.IFS(Table1[[#This Row],[Experience(Years)]]&lt;5, "Junior", I794&lt;=12, "Mid-Level", I794&lt;=20, "Senior", I794&lt;=30, "Super Senior", TRUE, "Expert")</f>
        <v>Junior</v>
      </c>
      <c r="K794" s="7">
        <v>20</v>
      </c>
      <c r="L794" s="7">
        <f>Table1[[#This Row],[Hourly Rate]]*1000</f>
        <v>20000</v>
      </c>
      <c r="M794" s="7" t="str">
        <f t="shared" si="12"/>
        <v>Budget</v>
      </c>
      <c r="N794" s="2">
        <f>IF(ISNUMBER(#REF!),#REF!, _xlfn.IFS( I794&gt;=30, 5, I794&gt;=25, 4.8, I794&gt;=15, 4, I794&gt;=10, 3.8, I794&gt;=5, 3, I794&gt;=2, 2.5, I794&gt;=0, 1.8, TRUE, 1.3))</f>
        <v>1.8</v>
      </c>
      <c r="O794" s="2" t="s">
        <v>2052</v>
      </c>
      <c r="P794" s="10">
        <v>0.71</v>
      </c>
      <c r="Q794" s="10" t="str">
        <f>_xlfn.IFS(Table1[[#This Row],[Rating]]&gt;=4, "Top Performer", Table1[[#This Row],[Rating]]&gt;=3, "Average", TRUE, "Needs Imporovement")</f>
        <v>Needs Imporovement</v>
      </c>
    </row>
    <row r="795" spans="1:17" x14ac:dyDescent="0.3">
      <c r="A795" s="2" t="s">
        <v>1629</v>
      </c>
      <c r="B795" s="2" t="s">
        <v>1630</v>
      </c>
      <c r="C795" s="2" t="s">
        <v>68</v>
      </c>
      <c r="D795" s="2">
        <v>26</v>
      </c>
      <c r="E795" s="2" t="str">
        <f>_xlfn.IFS(Table1[[#This Row],[Age]]&lt;30, "18-29", D795&lt;=45,"30-45", D795&lt;=55, "46-55", TRUE, "55+")</f>
        <v>18-29</v>
      </c>
      <c r="F795" s="2" t="s">
        <v>7</v>
      </c>
      <c r="G795" s="2" t="s">
        <v>8</v>
      </c>
      <c r="H795" s="2" t="s">
        <v>29</v>
      </c>
      <c r="I795" s="5">
        <v>5</v>
      </c>
      <c r="J795" s="5" t="str">
        <f>_xlfn.IFS(Table1[[#This Row],[Experience(Years)]]&lt;5, "Junior", I795&lt;=12, "Mid-Level", I795&lt;=20, "Senior", I795&lt;=30, "Super Senior", TRUE, "Expert")</f>
        <v>Mid-Level</v>
      </c>
      <c r="K795" s="7">
        <v>100</v>
      </c>
      <c r="L795" s="7">
        <f>Table1[[#This Row],[Hourly Rate]]*1000</f>
        <v>100000</v>
      </c>
      <c r="M795" s="7" t="str">
        <f t="shared" si="12"/>
        <v>Premium</v>
      </c>
      <c r="N795" s="2">
        <f>IF(ISNUMBER(#REF!),#REF!, _xlfn.IFS( I795&gt;=30, 5, I795&gt;=25, 4.8, I795&gt;=15, 4, I795&gt;=10, 3.8, I795&gt;=5, 3, I795&gt;=2, 2.5, I795&gt;=0, 1.8, TRUE, 1.3))</f>
        <v>3</v>
      </c>
      <c r="O795" s="2" t="s">
        <v>2053</v>
      </c>
      <c r="P795" s="10">
        <v>0.93</v>
      </c>
      <c r="Q795" s="10" t="str">
        <f>_xlfn.IFS(Table1[[#This Row],[Rating]]&gt;=4, "Top Performer", Table1[[#This Row],[Rating]]&gt;=3, "Average", TRUE, "Needs Imporovement")</f>
        <v>Average</v>
      </c>
    </row>
    <row r="796" spans="1:17" x14ac:dyDescent="0.3">
      <c r="A796" s="2" t="s">
        <v>1631</v>
      </c>
      <c r="B796" s="2" t="s">
        <v>1632</v>
      </c>
      <c r="C796" s="2" t="s">
        <v>68</v>
      </c>
      <c r="D796" s="2">
        <v>54</v>
      </c>
      <c r="E796" s="2" t="str">
        <f>_xlfn.IFS(Table1[[#This Row],[Age]]&lt;30, "18-29", D796&lt;=45,"30-45", D796&lt;=55, "46-55", TRUE, "55+")</f>
        <v>46-55</v>
      </c>
      <c r="F796" s="2" t="s">
        <v>41</v>
      </c>
      <c r="G796" s="2" t="s">
        <v>8</v>
      </c>
      <c r="H796" s="2" t="s">
        <v>61</v>
      </c>
      <c r="I796" s="5">
        <v>29</v>
      </c>
      <c r="J796" s="5" t="str">
        <f>_xlfn.IFS(Table1[[#This Row],[Experience(Years)]]&lt;5, "Junior", I796&lt;=12, "Mid-Level", I796&lt;=20, "Senior", I796&lt;=30, "Super Senior", TRUE, "Expert")</f>
        <v>Super Senior</v>
      </c>
      <c r="K796" s="7">
        <v>40</v>
      </c>
      <c r="L796" s="7">
        <f>Table1[[#This Row],[Hourly Rate]]*1000</f>
        <v>40000</v>
      </c>
      <c r="M796" s="7" t="str">
        <f t="shared" si="12"/>
        <v>Standard</v>
      </c>
      <c r="N796" s="2">
        <f>IF(ISNUMBER(#REF!),#REF!, _xlfn.IFS( I796&gt;=30, 5, I796&gt;=25, 4.8, I796&gt;=15, 4, I796&gt;=10, 3.8, I796&gt;=5, 3, I796&gt;=2, 2.5, I796&gt;=0, 1.8, TRUE, 1.3))</f>
        <v>4.8</v>
      </c>
      <c r="O796" s="2" t="s">
        <v>2053</v>
      </c>
      <c r="P796" s="10">
        <v>0.9</v>
      </c>
      <c r="Q796" s="10" t="str">
        <f>_xlfn.IFS(Table1[[#This Row],[Rating]]&gt;=4, "Top Performer", Table1[[#This Row],[Rating]]&gt;=3, "Average", TRUE, "Needs Imporovement")</f>
        <v>Top Performer</v>
      </c>
    </row>
    <row r="797" spans="1:17" x14ac:dyDescent="0.3">
      <c r="A797" s="2" t="s">
        <v>1633</v>
      </c>
      <c r="B797" s="2" t="s">
        <v>1634</v>
      </c>
      <c r="C797" s="2" t="s">
        <v>68</v>
      </c>
      <c r="D797" s="2">
        <v>53</v>
      </c>
      <c r="E797" s="2" t="str">
        <f>_xlfn.IFS(Table1[[#This Row],[Age]]&lt;30, "18-29", D797&lt;=45,"30-45", D797&lt;=55, "46-55", TRUE, "55+")</f>
        <v>46-55</v>
      </c>
      <c r="F797" s="2" t="s">
        <v>92</v>
      </c>
      <c r="G797" s="2" t="s">
        <v>93</v>
      </c>
      <c r="H797" s="2" t="s">
        <v>50</v>
      </c>
      <c r="I797" s="5">
        <v>12</v>
      </c>
      <c r="J797" s="5" t="str">
        <f>_xlfn.IFS(Table1[[#This Row],[Experience(Years)]]&lt;5, "Junior", I797&lt;=12, "Mid-Level", I797&lt;=20, "Senior", I797&lt;=30, "Super Senior", TRUE, "Expert")</f>
        <v>Mid-Level</v>
      </c>
      <c r="K797" s="7">
        <v>100</v>
      </c>
      <c r="L797" s="7">
        <f>Table1[[#This Row],[Hourly Rate]]*1000</f>
        <v>100000</v>
      </c>
      <c r="M797" s="7" t="str">
        <f t="shared" si="12"/>
        <v>Premium</v>
      </c>
      <c r="N797" s="2">
        <f>IF(ISNUMBER(#REF!),#REF!, _xlfn.IFS( I797&gt;=30, 5, I797&gt;=25, 4.8, I797&gt;=15, 4, I797&gt;=10, 3.8, I797&gt;=5, 3, I797&gt;=2, 2.5, I797&gt;=0, 1.8, TRUE, 1.3))</f>
        <v>3.8</v>
      </c>
      <c r="O797" s="2" t="s">
        <v>2053</v>
      </c>
      <c r="P797" s="10">
        <v>0.87</v>
      </c>
      <c r="Q797" s="10" t="str">
        <f>_xlfn.IFS(Table1[[#This Row],[Rating]]&gt;=4, "Top Performer", Table1[[#This Row],[Rating]]&gt;=3, "Average", TRUE, "Needs Imporovement")</f>
        <v>Average</v>
      </c>
    </row>
    <row r="798" spans="1:17" x14ac:dyDescent="0.3">
      <c r="A798" s="2" t="s">
        <v>1635</v>
      </c>
      <c r="B798" s="2" t="s">
        <v>1636</v>
      </c>
      <c r="C798" s="2" t="s">
        <v>49</v>
      </c>
      <c r="D798" s="2">
        <v>33</v>
      </c>
      <c r="E798" s="2" t="str">
        <f>_xlfn.IFS(Table1[[#This Row],[Age]]&lt;30, "18-29", D798&lt;=45,"30-45", D798&lt;=55, "46-55", TRUE, "55+")</f>
        <v>30-45</v>
      </c>
      <c r="F798" s="2" t="s">
        <v>96</v>
      </c>
      <c r="G798" s="2" t="s">
        <v>8</v>
      </c>
      <c r="H798" s="2" t="s">
        <v>61</v>
      </c>
      <c r="I798" s="5">
        <v>4</v>
      </c>
      <c r="J798" s="5" t="str">
        <f>_xlfn.IFS(Table1[[#This Row],[Experience(Years)]]&lt;5, "Junior", I798&lt;=12, "Mid-Level", I798&lt;=20, "Senior", I798&lt;=30, "Super Senior", TRUE, "Expert")</f>
        <v>Junior</v>
      </c>
      <c r="K798" s="7">
        <v>30</v>
      </c>
      <c r="L798" s="7">
        <f>Table1[[#This Row],[Hourly Rate]]*1000</f>
        <v>30000</v>
      </c>
      <c r="M798" s="7" t="str">
        <f t="shared" si="12"/>
        <v>Budget</v>
      </c>
      <c r="N798" s="2">
        <f>IF(ISNUMBER(#REF!),#REF!, _xlfn.IFS( I798&gt;=30, 5, I798&gt;=25, 4.8, I798&gt;=15, 4, I798&gt;=10, 3.8, I798&gt;=5, 3, I798&gt;=2, 2.5, I798&gt;=0, 1.8, TRUE, 1.3))</f>
        <v>2.5</v>
      </c>
      <c r="O798" s="2" t="s">
        <v>2052</v>
      </c>
      <c r="P798" s="10">
        <v>0.73</v>
      </c>
      <c r="Q798" s="10" t="str">
        <f>_xlfn.IFS(Table1[[#This Row],[Rating]]&gt;=4, "Top Performer", Table1[[#This Row],[Rating]]&gt;=3, "Average", TRUE, "Needs Imporovement")</f>
        <v>Needs Imporovement</v>
      </c>
    </row>
    <row r="799" spans="1:17" x14ac:dyDescent="0.3">
      <c r="A799" s="2" t="s">
        <v>1637</v>
      </c>
      <c r="B799" s="2" t="s">
        <v>1638</v>
      </c>
      <c r="C799" s="2" t="s">
        <v>68</v>
      </c>
      <c r="D799" s="2">
        <v>43</v>
      </c>
      <c r="E799" s="2" t="str">
        <f>_xlfn.IFS(Table1[[#This Row],[Age]]&lt;30, "18-29", D799&lt;=45,"30-45", D799&lt;=55, "46-55", TRUE, "55+")</f>
        <v>30-45</v>
      </c>
      <c r="F799" s="2" t="s">
        <v>22</v>
      </c>
      <c r="G799" s="2" t="s">
        <v>23</v>
      </c>
      <c r="H799" s="2" t="s">
        <v>17</v>
      </c>
      <c r="I799" s="5">
        <v>12</v>
      </c>
      <c r="J799" s="5" t="str">
        <f>_xlfn.IFS(Table1[[#This Row],[Experience(Years)]]&lt;5, "Junior", I799&lt;=12, "Mid-Level", I799&lt;=20, "Senior", I799&lt;=30, "Super Senior", TRUE, "Expert")</f>
        <v>Mid-Level</v>
      </c>
      <c r="K799" s="7">
        <v>50</v>
      </c>
      <c r="L799" s="7">
        <f>Table1[[#This Row],[Hourly Rate]]*1000</f>
        <v>50000</v>
      </c>
      <c r="M799" s="7" t="str">
        <f t="shared" si="12"/>
        <v>Standard</v>
      </c>
      <c r="N799" s="2">
        <f>IF(ISNUMBER(#REF!),#REF!, _xlfn.IFS( I799&gt;=30, 5, I799&gt;=25, 4.8, I799&gt;=15, 4, I799&gt;=10, 3.8, I799&gt;=5, 3, I799&gt;=2, 2.5, I799&gt;=0, 1.8, TRUE, 1.3))</f>
        <v>3.8</v>
      </c>
      <c r="O799" s="2" t="s">
        <v>2053</v>
      </c>
      <c r="P799" s="10">
        <v>0.74</v>
      </c>
      <c r="Q799" s="10" t="str">
        <f>_xlfn.IFS(Table1[[#This Row],[Rating]]&gt;=4, "Top Performer", Table1[[#This Row],[Rating]]&gt;=3, "Average", TRUE, "Needs Imporovement")</f>
        <v>Average</v>
      </c>
    </row>
    <row r="800" spans="1:17" x14ac:dyDescent="0.3">
      <c r="A800" s="2" t="s">
        <v>1639</v>
      </c>
      <c r="B800" s="2" t="s">
        <v>1640</v>
      </c>
      <c r="C800" s="2" t="s">
        <v>68</v>
      </c>
      <c r="D800" s="2">
        <v>37</v>
      </c>
      <c r="E800" s="2" t="str">
        <f>_xlfn.IFS(Table1[[#This Row],[Age]]&lt;30, "18-29", D800&lt;=45,"30-45", D800&lt;=55, "46-55", TRUE, "55+")</f>
        <v>30-45</v>
      </c>
      <c r="F800" s="2" t="s">
        <v>96</v>
      </c>
      <c r="G800" s="2" t="s">
        <v>8</v>
      </c>
      <c r="H800" s="2" t="s">
        <v>61</v>
      </c>
      <c r="I800" s="5">
        <v>3</v>
      </c>
      <c r="J800" s="5" t="str">
        <f>_xlfn.IFS(Table1[[#This Row],[Experience(Years)]]&lt;5, "Junior", I800&lt;=12, "Mid-Level", I800&lt;=20, "Senior", I800&lt;=30, "Super Senior", TRUE, "Expert")</f>
        <v>Junior</v>
      </c>
      <c r="K800" s="7">
        <v>20</v>
      </c>
      <c r="L800" s="7">
        <f>Table1[[#This Row],[Hourly Rate]]*1000</f>
        <v>20000</v>
      </c>
      <c r="M800" s="7" t="str">
        <f t="shared" si="12"/>
        <v>Budget</v>
      </c>
      <c r="N800" s="2">
        <f>IF(ISNUMBER(#REF!),#REF!, _xlfn.IFS( I800&gt;=30, 5, I800&gt;=25, 4.8, I800&gt;=15, 4, I800&gt;=10, 3.8, I800&gt;=5, 3, I800&gt;=2, 2.5, I800&gt;=0, 1.8, TRUE, 1.3))</f>
        <v>2.5</v>
      </c>
      <c r="O800" s="2" t="s">
        <v>2052</v>
      </c>
      <c r="P800" s="10">
        <v>0.62</v>
      </c>
      <c r="Q800" s="10" t="str">
        <f>_xlfn.IFS(Table1[[#This Row],[Rating]]&gt;=4, "Top Performer", Table1[[#This Row],[Rating]]&gt;=3, "Average", TRUE, "Needs Imporovement")</f>
        <v>Needs Imporovement</v>
      </c>
    </row>
    <row r="801" spans="1:17" x14ac:dyDescent="0.3">
      <c r="A801" s="2" t="s">
        <v>1641</v>
      </c>
      <c r="B801" s="2" t="s">
        <v>1642</v>
      </c>
      <c r="C801" s="2" t="s">
        <v>49</v>
      </c>
      <c r="D801" s="2">
        <v>58</v>
      </c>
      <c r="E801" s="2" t="str">
        <f>_xlfn.IFS(Table1[[#This Row],[Age]]&lt;30, "18-29", D801&lt;=45,"30-45", D801&lt;=55, "46-55", TRUE, "55+")</f>
        <v>55+</v>
      </c>
      <c r="F801" s="2" t="s">
        <v>103</v>
      </c>
      <c r="G801" s="2" t="s">
        <v>104</v>
      </c>
      <c r="H801" s="2" t="s">
        <v>29</v>
      </c>
      <c r="I801" s="5">
        <v>15</v>
      </c>
      <c r="J801" s="5" t="str">
        <f>_xlfn.IFS(Table1[[#This Row],[Experience(Years)]]&lt;5, "Junior", I801&lt;=12, "Mid-Level", I801&lt;=20, "Senior", I801&lt;=30, "Super Senior", TRUE, "Expert")</f>
        <v>Senior</v>
      </c>
      <c r="K801" s="7">
        <v>20</v>
      </c>
      <c r="L801" s="7">
        <f>Table1[[#This Row],[Hourly Rate]]*1000</f>
        <v>20000</v>
      </c>
      <c r="M801" s="7" t="str">
        <f t="shared" si="12"/>
        <v>Budget</v>
      </c>
      <c r="N801" s="2">
        <f>IF(ISNUMBER(#REF!),#REF!, _xlfn.IFS( I801&gt;=30, 5, I801&gt;=25, 4.8, I801&gt;=15, 4, I801&gt;=10, 3.8, I801&gt;=5, 3, I801&gt;=2, 2.5, I801&gt;=0, 1.8, TRUE, 1.3))</f>
        <v>4</v>
      </c>
      <c r="O801" s="2" t="str">
        <f>IF(AND( Table1[[#This Row],[Rating]]&gt;=3.5, Table1[[#This Row],[Experience(Years)]]&gt;=15), "Active", "Inactive")</f>
        <v>Active</v>
      </c>
      <c r="P801" s="10">
        <v>0.98</v>
      </c>
      <c r="Q801" s="10" t="str">
        <f>_xlfn.IFS(Table1[[#This Row],[Rating]]&gt;=4, "Top Performer", Table1[[#This Row],[Rating]]&gt;=3, "Average", TRUE, "Needs Imporovement")</f>
        <v>Top Performer</v>
      </c>
    </row>
    <row r="802" spans="1:17" x14ac:dyDescent="0.3">
      <c r="A802" s="2" t="s">
        <v>1643</v>
      </c>
      <c r="B802" s="2" t="s">
        <v>1644</v>
      </c>
      <c r="C802" s="2" t="s">
        <v>49</v>
      </c>
      <c r="D802" s="2">
        <v>39</v>
      </c>
      <c r="E802" s="2" t="str">
        <f>_xlfn.IFS(Table1[[#This Row],[Age]]&lt;30, "18-29", D802&lt;=45,"30-45", D802&lt;=55, "46-55", TRUE, "55+")</f>
        <v>30-45</v>
      </c>
      <c r="F802" s="2" t="s">
        <v>156</v>
      </c>
      <c r="G802" s="2" t="s">
        <v>45</v>
      </c>
      <c r="H802" s="2" t="s">
        <v>9</v>
      </c>
      <c r="I802" s="5">
        <v>15</v>
      </c>
      <c r="J802" s="5" t="str">
        <f>_xlfn.IFS(Table1[[#This Row],[Experience(Years)]]&lt;5, "Junior", I802&lt;=12, "Mid-Level", I802&lt;=20, "Senior", I802&lt;=30, "Super Senior", TRUE, "Expert")</f>
        <v>Senior</v>
      </c>
      <c r="K802" s="7">
        <v>50</v>
      </c>
      <c r="L802" s="7">
        <f>Table1[[#This Row],[Hourly Rate]]*1000</f>
        <v>50000</v>
      </c>
      <c r="M802" s="7" t="str">
        <f t="shared" si="12"/>
        <v>Standard</v>
      </c>
      <c r="N802" s="2">
        <f>IF(ISNUMBER(#REF!),#REF!, _xlfn.IFS( I802&gt;=30, 5, I802&gt;=25, 4.8, I802&gt;=15, 4, I802&gt;=10, 3.8, I802&gt;=5, 3, I802&gt;=2, 2.5, I802&gt;=0, 1.8, TRUE, 1.3))</f>
        <v>4</v>
      </c>
      <c r="O802" s="2" t="s">
        <v>2052</v>
      </c>
      <c r="P802" s="10">
        <v>0.8</v>
      </c>
      <c r="Q802" s="10" t="str">
        <f>_xlfn.IFS(Table1[[#This Row],[Rating]]&gt;=4, "Top Performer", Table1[[#This Row],[Rating]]&gt;=3, "Average", TRUE, "Needs Imporovement")</f>
        <v>Top Performer</v>
      </c>
    </row>
    <row r="803" spans="1:17" x14ac:dyDescent="0.3">
      <c r="A803" s="2" t="s">
        <v>1645</v>
      </c>
      <c r="B803" s="2" t="s">
        <v>1646</v>
      </c>
      <c r="C803" s="2" t="s">
        <v>68</v>
      </c>
      <c r="D803" s="2">
        <v>43</v>
      </c>
      <c r="E803" s="2" t="str">
        <f>_xlfn.IFS(Table1[[#This Row],[Age]]&lt;30, "18-29", D803&lt;=45,"30-45", D803&lt;=55, "46-55", TRUE, "55+")</f>
        <v>30-45</v>
      </c>
      <c r="F803" s="2" t="s">
        <v>37</v>
      </c>
      <c r="G803" s="2" t="s">
        <v>38</v>
      </c>
      <c r="H803" s="2" t="s">
        <v>14</v>
      </c>
      <c r="I803" s="5">
        <v>13</v>
      </c>
      <c r="J803" s="5" t="str">
        <f>_xlfn.IFS(Table1[[#This Row],[Experience(Years)]]&lt;5, "Junior", I803&lt;=12, "Mid-Level", I803&lt;=20, "Senior", I803&lt;=30, "Super Senior", TRUE, "Expert")</f>
        <v>Senior</v>
      </c>
      <c r="K803" s="7">
        <v>20</v>
      </c>
      <c r="L803" s="7">
        <f>Table1[[#This Row],[Hourly Rate]]*1000</f>
        <v>20000</v>
      </c>
      <c r="M803" s="7" t="str">
        <f t="shared" si="12"/>
        <v>Budget</v>
      </c>
      <c r="N803" s="2">
        <f>IF(ISNUMBER(#REF!),#REF!, _xlfn.IFS( I803&gt;=30, 5, I803&gt;=25, 4.8, I803&gt;=15, 4, I803&gt;=10, 3.8, I803&gt;=5, 3, I803&gt;=2, 2.5, I803&gt;=0, 1.8, TRUE, 1.3))</f>
        <v>3.8</v>
      </c>
      <c r="O803" s="2" t="s">
        <v>2053</v>
      </c>
      <c r="P803" s="10">
        <v>0.69</v>
      </c>
      <c r="Q803" s="10" t="str">
        <f>_xlfn.IFS(Table1[[#This Row],[Rating]]&gt;=4, "Top Performer", Table1[[#This Row],[Rating]]&gt;=3, "Average", TRUE, "Needs Imporovement")</f>
        <v>Average</v>
      </c>
    </row>
    <row r="804" spans="1:17" x14ac:dyDescent="0.3">
      <c r="A804" s="2" t="s">
        <v>1647</v>
      </c>
      <c r="B804" s="2" t="s">
        <v>1648</v>
      </c>
      <c r="C804" s="2" t="s">
        <v>49</v>
      </c>
      <c r="D804" s="2">
        <v>40</v>
      </c>
      <c r="E804" s="2" t="str">
        <f>_xlfn.IFS(Table1[[#This Row],[Age]]&lt;30, "18-29", D804&lt;=45,"30-45", D804&lt;=55, "46-55", TRUE, "55+")</f>
        <v>30-45</v>
      </c>
      <c r="F804" s="2" t="s">
        <v>156</v>
      </c>
      <c r="G804" s="2" t="s">
        <v>45</v>
      </c>
      <c r="H804" s="2" t="s">
        <v>4</v>
      </c>
      <c r="I804" s="5">
        <v>20</v>
      </c>
      <c r="J804" s="5" t="str">
        <f>_xlfn.IFS(Table1[[#This Row],[Experience(Years)]]&lt;5, "Junior", I804&lt;=12, "Mid-Level", I804&lt;=20, "Senior", I804&lt;=30, "Super Senior", TRUE, "Expert")</f>
        <v>Senior</v>
      </c>
      <c r="K804" s="7">
        <v>30</v>
      </c>
      <c r="L804" s="7">
        <f>Table1[[#This Row],[Hourly Rate]]*1000</f>
        <v>30000</v>
      </c>
      <c r="M804" s="7" t="str">
        <f t="shared" si="12"/>
        <v>Budget</v>
      </c>
      <c r="N804" s="2">
        <f>IF(ISNUMBER(#REF!),#REF!, _xlfn.IFS( I804&gt;=30, 5, I804&gt;=25, 4.8, I804&gt;=15, 4, I804&gt;=10, 3.8, I804&gt;=5, 3, I804&gt;=2, 2.5, I804&gt;=0, 1.8, TRUE, 1.3))</f>
        <v>4</v>
      </c>
      <c r="O804" s="2" t="s">
        <v>2052</v>
      </c>
      <c r="P804" s="10">
        <v>0.9</v>
      </c>
      <c r="Q804" s="10" t="str">
        <f>_xlfn.IFS(Table1[[#This Row],[Rating]]&gt;=4, "Top Performer", Table1[[#This Row],[Rating]]&gt;=3, "Average", TRUE, "Needs Imporovement")</f>
        <v>Top Performer</v>
      </c>
    </row>
    <row r="805" spans="1:17" x14ac:dyDescent="0.3">
      <c r="A805" s="2" t="s">
        <v>1649</v>
      </c>
      <c r="B805" s="2" t="s">
        <v>1650</v>
      </c>
      <c r="C805" s="2" t="s">
        <v>49</v>
      </c>
      <c r="D805" s="2">
        <v>51</v>
      </c>
      <c r="E805" s="2" t="str">
        <f>_xlfn.IFS(Table1[[#This Row],[Age]]&lt;30, "18-29", D805&lt;=45,"30-45", D805&lt;=55, "46-55", TRUE, "55+")</f>
        <v>46-55</v>
      </c>
      <c r="F805" s="2" t="s">
        <v>41</v>
      </c>
      <c r="G805" s="2" t="s">
        <v>8</v>
      </c>
      <c r="H805" s="2" t="s">
        <v>83</v>
      </c>
      <c r="I805" s="5">
        <v>30</v>
      </c>
      <c r="J805" s="5" t="str">
        <f>_xlfn.IFS(Table1[[#This Row],[Experience(Years)]]&lt;5, "Junior", I805&lt;=12, "Mid-Level", I805&lt;=20, "Senior", I805&lt;=30, "Super Senior", TRUE, "Expert")</f>
        <v>Super Senior</v>
      </c>
      <c r="K805" s="7">
        <v>75</v>
      </c>
      <c r="L805" s="7">
        <f>Table1[[#This Row],[Hourly Rate]]*1000</f>
        <v>75000</v>
      </c>
      <c r="M805" s="7" t="str">
        <f t="shared" si="12"/>
        <v>Standard</v>
      </c>
      <c r="N805" s="2">
        <f>IF(ISNUMBER(#REF!),#REF!, _xlfn.IFS( I805&gt;=30, 5, I805&gt;=25, 4.8, I805&gt;=15, 4, I805&gt;=10, 3.8, I805&gt;=5, 3, I805&gt;=2, 2.5, I805&gt;=0, 1.8, TRUE, 1.3))</f>
        <v>5</v>
      </c>
      <c r="O805" s="2" t="s">
        <v>2053</v>
      </c>
      <c r="P805" s="10">
        <v>0.74</v>
      </c>
      <c r="Q805" s="10" t="str">
        <f>_xlfn.IFS(Table1[[#This Row],[Rating]]&gt;=4, "Top Performer", Table1[[#This Row],[Rating]]&gt;=3, "Average", TRUE, "Needs Imporovement")</f>
        <v>Top Performer</v>
      </c>
    </row>
    <row r="806" spans="1:17" x14ac:dyDescent="0.3">
      <c r="A806" s="2" t="s">
        <v>1651</v>
      </c>
      <c r="B806" s="2" t="s">
        <v>1652</v>
      </c>
      <c r="C806" s="2" t="s">
        <v>68</v>
      </c>
      <c r="D806" s="2">
        <v>23</v>
      </c>
      <c r="E806" s="2" t="str">
        <f>_xlfn.IFS(Table1[[#This Row],[Age]]&lt;30, "18-29", D806&lt;=45,"30-45", D806&lt;=55, "46-55", TRUE, "55+")</f>
        <v>18-29</v>
      </c>
      <c r="F806" s="2" t="s">
        <v>12</v>
      </c>
      <c r="G806" s="2" t="s">
        <v>13</v>
      </c>
      <c r="H806" s="2" t="s">
        <v>24</v>
      </c>
      <c r="I806" s="5">
        <v>4</v>
      </c>
      <c r="J806" s="5" t="str">
        <f>_xlfn.IFS(Table1[[#This Row],[Experience(Years)]]&lt;5, "Junior", I806&lt;=12, "Mid-Level", I806&lt;=20, "Senior", I806&lt;=30, "Super Senior", TRUE, "Expert")</f>
        <v>Junior</v>
      </c>
      <c r="K806" s="7">
        <v>50</v>
      </c>
      <c r="L806" s="7">
        <f>Table1[[#This Row],[Hourly Rate]]*1000</f>
        <v>50000</v>
      </c>
      <c r="M806" s="7" t="str">
        <f t="shared" si="12"/>
        <v>Standard</v>
      </c>
      <c r="N806" s="2">
        <f>IF(ISNUMBER(#REF!),#REF!, _xlfn.IFS( I806&gt;=30, 5, I806&gt;=25, 4.8, I806&gt;=15, 4, I806&gt;=10, 3.8, I806&gt;=5, 3, I806&gt;=2, 2.5, I806&gt;=0, 1.8, TRUE, 1.3))</f>
        <v>2.5</v>
      </c>
      <c r="O806" s="2" t="s">
        <v>2052</v>
      </c>
      <c r="P806" s="10">
        <v>0.98</v>
      </c>
      <c r="Q806" s="10" t="str">
        <f>_xlfn.IFS(Table1[[#This Row],[Rating]]&gt;=4, "Top Performer", Table1[[#This Row],[Rating]]&gt;=3, "Average", TRUE, "Needs Imporovement")</f>
        <v>Needs Imporovement</v>
      </c>
    </row>
    <row r="807" spans="1:17" x14ac:dyDescent="0.3">
      <c r="A807" s="2" t="s">
        <v>1653</v>
      </c>
      <c r="B807" s="2" t="s">
        <v>1654</v>
      </c>
      <c r="C807" s="2" t="s">
        <v>49</v>
      </c>
      <c r="D807" s="2">
        <v>31</v>
      </c>
      <c r="E807" s="2" t="str">
        <f>_xlfn.IFS(Table1[[#This Row],[Age]]&lt;30, "18-29", D807&lt;=45,"30-45", D807&lt;=55, "46-55", TRUE, "55+")</f>
        <v>30-45</v>
      </c>
      <c r="F807" s="2" t="s">
        <v>27</v>
      </c>
      <c r="G807" s="2" t="s">
        <v>28</v>
      </c>
      <c r="H807" s="2" t="s">
        <v>14</v>
      </c>
      <c r="I807" s="5">
        <v>5</v>
      </c>
      <c r="J807" s="5" t="str">
        <f>_xlfn.IFS(Table1[[#This Row],[Experience(Years)]]&lt;5, "Junior", I807&lt;=12, "Mid-Level", I807&lt;=20, "Senior", I807&lt;=30, "Super Senior", TRUE, "Expert")</f>
        <v>Mid-Level</v>
      </c>
      <c r="K807" s="7">
        <v>20</v>
      </c>
      <c r="L807" s="7">
        <f>Table1[[#This Row],[Hourly Rate]]*1000</f>
        <v>20000</v>
      </c>
      <c r="M807" s="7" t="str">
        <f t="shared" si="12"/>
        <v>Budget</v>
      </c>
      <c r="N807" s="2">
        <f>IF(ISNUMBER(#REF!),#REF!, _xlfn.IFS( I807&gt;=30, 5, I807&gt;=25, 4.8, I807&gt;=15, 4, I807&gt;=10, 3.8, I807&gt;=5, 3, I807&gt;=2, 2.5, I807&gt;=0, 1.8, TRUE, 1.3))</f>
        <v>3</v>
      </c>
      <c r="O807" s="2" t="s">
        <v>2053</v>
      </c>
      <c r="P807" s="10">
        <v>0.84</v>
      </c>
      <c r="Q807" s="10" t="str">
        <f>_xlfn.IFS(Table1[[#This Row],[Rating]]&gt;=4, "Top Performer", Table1[[#This Row],[Rating]]&gt;=3, "Average", TRUE, "Needs Imporovement")</f>
        <v>Average</v>
      </c>
    </row>
    <row r="808" spans="1:17" x14ac:dyDescent="0.3">
      <c r="A808" s="2" t="s">
        <v>1655</v>
      </c>
      <c r="B808" s="2" t="s">
        <v>1656</v>
      </c>
      <c r="C808" s="2" t="s">
        <v>49</v>
      </c>
      <c r="D808" s="2">
        <v>44</v>
      </c>
      <c r="E808" s="2" t="str">
        <f>_xlfn.IFS(Table1[[#This Row],[Age]]&lt;30, "18-29", D808&lt;=45,"30-45", D808&lt;=55, "46-55", TRUE, "55+")</f>
        <v>30-45</v>
      </c>
      <c r="F808" s="2" t="s">
        <v>92</v>
      </c>
      <c r="G808" s="2" t="s">
        <v>93</v>
      </c>
      <c r="H808" s="2" t="s">
        <v>17</v>
      </c>
      <c r="I808" s="5">
        <v>3</v>
      </c>
      <c r="J808" s="5" t="str">
        <f>_xlfn.IFS(Table1[[#This Row],[Experience(Years)]]&lt;5, "Junior", I808&lt;=12, "Mid-Level", I808&lt;=20, "Senior", I808&lt;=30, "Super Senior", TRUE, "Expert")</f>
        <v>Junior</v>
      </c>
      <c r="K808" s="7">
        <v>20</v>
      </c>
      <c r="L808" s="7">
        <f>Table1[[#This Row],[Hourly Rate]]*1000</f>
        <v>20000</v>
      </c>
      <c r="M808" s="7" t="str">
        <f t="shared" si="12"/>
        <v>Budget</v>
      </c>
      <c r="N808" s="2">
        <f>IF(ISNUMBER(#REF!),#REF!, _xlfn.IFS( I808&gt;=30, 5, I808&gt;=25, 4.8, I808&gt;=15, 4, I808&gt;=10, 3.8, I808&gt;=5, 3, I808&gt;=2, 2.5, I808&gt;=0, 1.8, TRUE, 1.3))</f>
        <v>2.5</v>
      </c>
      <c r="O808" s="2" t="s">
        <v>2053</v>
      </c>
      <c r="P808" s="10">
        <v>0.75</v>
      </c>
      <c r="Q808" s="10" t="str">
        <f>_xlfn.IFS(Table1[[#This Row],[Rating]]&gt;=4, "Top Performer", Table1[[#This Row],[Rating]]&gt;=3, "Average", TRUE, "Needs Imporovement")</f>
        <v>Needs Imporovement</v>
      </c>
    </row>
    <row r="809" spans="1:17" x14ac:dyDescent="0.3">
      <c r="A809" s="2" t="s">
        <v>1657</v>
      </c>
      <c r="B809" s="2" t="s">
        <v>1658</v>
      </c>
      <c r="C809" s="2" t="s">
        <v>68</v>
      </c>
      <c r="D809" s="2">
        <v>56</v>
      </c>
      <c r="E809" s="2" t="str">
        <f>_xlfn.IFS(Table1[[#This Row],[Age]]&lt;30, "18-29", D809&lt;=45,"30-45", D809&lt;=55, "46-55", TRUE, "55+")</f>
        <v>55+</v>
      </c>
      <c r="F809" s="2" t="s">
        <v>12</v>
      </c>
      <c r="G809" s="2" t="s">
        <v>13</v>
      </c>
      <c r="H809" s="2" t="s">
        <v>9</v>
      </c>
      <c r="I809" s="5">
        <v>23</v>
      </c>
      <c r="J809" s="5" t="str">
        <f>_xlfn.IFS(Table1[[#This Row],[Experience(Years)]]&lt;5, "Junior", I809&lt;=12, "Mid-Level", I809&lt;=20, "Senior", I809&lt;=30, "Super Senior", TRUE, "Expert")</f>
        <v>Super Senior</v>
      </c>
      <c r="K809" s="7">
        <v>75</v>
      </c>
      <c r="L809" s="7">
        <f>Table1[[#This Row],[Hourly Rate]]*1000</f>
        <v>75000</v>
      </c>
      <c r="M809" s="7" t="str">
        <f t="shared" si="12"/>
        <v>Standard</v>
      </c>
      <c r="N809" s="2">
        <f>IF(ISNUMBER(#REF!),#REF!, _xlfn.IFS( I809&gt;=30, 5, I809&gt;=25, 4.8, I809&gt;=15, 4, I809&gt;=10, 3.8, I809&gt;=5, 3, I809&gt;=2, 2.5, I809&gt;=0, 1.8, TRUE, 1.3))</f>
        <v>4</v>
      </c>
      <c r="O809" s="2" t="s">
        <v>2053</v>
      </c>
      <c r="P809" s="10">
        <v>0.85</v>
      </c>
      <c r="Q809" s="10" t="str">
        <f>_xlfn.IFS(Table1[[#This Row],[Rating]]&gt;=4, "Top Performer", Table1[[#This Row],[Rating]]&gt;=3, "Average", TRUE, "Needs Imporovement")</f>
        <v>Top Performer</v>
      </c>
    </row>
    <row r="810" spans="1:17" x14ac:dyDescent="0.3">
      <c r="A810" s="2" t="s">
        <v>1659</v>
      </c>
      <c r="B810" s="2" t="s">
        <v>1660</v>
      </c>
      <c r="C810" s="2" t="s">
        <v>49</v>
      </c>
      <c r="D810" s="2">
        <v>48</v>
      </c>
      <c r="E810" s="2" t="str">
        <f>_xlfn.IFS(Table1[[#This Row],[Age]]&lt;30, "18-29", D810&lt;=45,"30-45", D810&lt;=55, "46-55", TRUE, "55+")</f>
        <v>46-55</v>
      </c>
      <c r="F810" s="2" t="s">
        <v>7</v>
      </c>
      <c r="G810" s="2" t="s">
        <v>8</v>
      </c>
      <c r="H810" s="2" t="s">
        <v>50</v>
      </c>
      <c r="I810" s="5">
        <v>5</v>
      </c>
      <c r="J810" s="5" t="str">
        <f>_xlfn.IFS(Table1[[#This Row],[Experience(Years)]]&lt;5, "Junior", I810&lt;=12, "Mid-Level", I810&lt;=20, "Senior", I810&lt;=30, "Super Senior", TRUE, "Expert")</f>
        <v>Mid-Level</v>
      </c>
      <c r="K810" s="7">
        <v>100</v>
      </c>
      <c r="L810" s="7">
        <f>Table1[[#This Row],[Hourly Rate]]*1000</f>
        <v>100000</v>
      </c>
      <c r="M810" s="7" t="str">
        <f t="shared" si="12"/>
        <v>Premium</v>
      </c>
      <c r="N810" s="2">
        <f>IF(ISNUMBER(#REF!),#REF!, _xlfn.IFS( I810&gt;=30, 5, I810&gt;=25, 4.8, I810&gt;=15, 4, I810&gt;=10, 3.8, I810&gt;=5, 3, I810&gt;=2, 2.5, I810&gt;=0, 1.8, TRUE, 1.3))</f>
        <v>3</v>
      </c>
      <c r="O810" s="2" t="s">
        <v>2053</v>
      </c>
      <c r="P810" s="10">
        <v>0.97</v>
      </c>
      <c r="Q810" s="10" t="str">
        <f>_xlfn.IFS(Table1[[#This Row],[Rating]]&gt;=4, "Top Performer", Table1[[#This Row],[Rating]]&gt;=3, "Average", TRUE, "Needs Imporovement")</f>
        <v>Average</v>
      </c>
    </row>
    <row r="811" spans="1:17" x14ac:dyDescent="0.3">
      <c r="A811" s="2" t="s">
        <v>1661</v>
      </c>
      <c r="B811" s="2" t="s">
        <v>1662</v>
      </c>
      <c r="C811" s="2" t="s">
        <v>49</v>
      </c>
      <c r="D811" s="2">
        <v>46</v>
      </c>
      <c r="E811" s="2" t="str">
        <f>_xlfn.IFS(Table1[[#This Row],[Age]]&lt;30, "18-29", D811&lt;=45,"30-45", D811&lt;=55, "46-55", TRUE, "55+")</f>
        <v>46-55</v>
      </c>
      <c r="F811" s="2" t="s">
        <v>92</v>
      </c>
      <c r="G811" s="2" t="s">
        <v>93</v>
      </c>
      <c r="H811" s="2" t="s">
        <v>17</v>
      </c>
      <c r="I811" s="5">
        <v>28</v>
      </c>
      <c r="J811" s="5" t="str">
        <f>_xlfn.IFS(Table1[[#This Row],[Experience(Years)]]&lt;5, "Junior", I811&lt;=12, "Mid-Level", I811&lt;=20, "Senior", I811&lt;=30, "Super Senior", TRUE, "Expert")</f>
        <v>Super Senior</v>
      </c>
      <c r="K811" s="7">
        <v>30</v>
      </c>
      <c r="L811" s="7">
        <f>Table1[[#This Row],[Hourly Rate]]*1000</f>
        <v>30000</v>
      </c>
      <c r="M811" s="7" t="str">
        <f t="shared" si="12"/>
        <v>Budget</v>
      </c>
      <c r="N811" s="2">
        <f>IF(ISNUMBER(#REF!),#REF!, _xlfn.IFS( I811&gt;=30, 5, I811&gt;=25, 4.8, I811&gt;=15, 4, I811&gt;=10, 3.8, I811&gt;=5, 3, I811&gt;=2, 2.5, I811&gt;=0, 1.8, TRUE, 1.3))</f>
        <v>4.8</v>
      </c>
      <c r="O811" s="2" t="s">
        <v>2053</v>
      </c>
      <c r="P811" s="10">
        <v>0.9</v>
      </c>
      <c r="Q811" s="10" t="str">
        <f>_xlfn.IFS(Table1[[#This Row],[Rating]]&gt;=4, "Top Performer", Table1[[#This Row],[Rating]]&gt;=3, "Average", TRUE, "Needs Imporovement")</f>
        <v>Top Performer</v>
      </c>
    </row>
    <row r="812" spans="1:17" x14ac:dyDescent="0.3">
      <c r="A812" s="2" t="s">
        <v>1663</v>
      </c>
      <c r="B812" s="2" t="s">
        <v>1664</v>
      </c>
      <c r="C812" s="2" t="s">
        <v>68</v>
      </c>
      <c r="D812" s="2">
        <v>21</v>
      </c>
      <c r="E812" s="2" t="str">
        <f>_xlfn.IFS(Table1[[#This Row],[Age]]&lt;30, "18-29", D812&lt;=45,"30-45", D812&lt;=55, "46-55", TRUE, "55+")</f>
        <v>18-29</v>
      </c>
      <c r="F812" s="2" t="s">
        <v>107</v>
      </c>
      <c r="G812" s="2" t="s">
        <v>108</v>
      </c>
      <c r="H812" s="2" t="s">
        <v>24</v>
      </c>
      <c r="I812" s="5">
        <v>0</v>
      </c>
      <c r="J812" s="5" t="str">
        <f>_xlfn.IFS(Table1[[#This Row],[Experience(Years)]]&lt;5, "Junior", I812&lt;=12, "Mid-Level", I812&lt;=20, "Senior", I812&lt;=30, "Super Senior", TRUE, "Expert")</f>
        <v>Junior</v>
      </c>
      <c r="K812" s="7">
        <v>20</v>
      </c>
      <c r="L812" s="7">
        <f>Table1[[#This Row],[Hourly Rate]]*1000</f>
        <v>20000</v>
      </c>
      <c r="M812" s="7" t="str">
        <f t="shared" si="12"/>
        <v>Budget</v>
      </c>
      <c r="N812" s="2">
        <f>IF(ISNUMBER(#REF!),#REF!, _xlfn.IFS( I812&gt;=30, 5, I812&gt;=25, 4.8, I812&gt;=15, 4, I812&gt;=10, 3.8, I812&gt;=5, 3, I812&gt;=2, 2.5, I812&gt;=0, 1.8, TRUE, 1.3))</f>
        <v>1.8</v>
      </c>
      <c r="O812" s="2" t="s">
        <v>2052</v>
      </c>
      <c r="P812" s="10">
        <v>0.64</v>
      </c>
      <c r="Q812" s="10" t="str">
        <f>_xlfn.IFS(Table1[[#This Row],[Rating]]&gt;=4, "Top Performer", Table1[[#This Row],[Rating]]&gt;=3, "Average", TRUE, "Needs Imporovement")</f>
        <v>Needs Imporovement</v>
      </c>
    </row>
    <row r="813" spans="1:17" x14ac:dyDescent="0.3">
      <c r="A813" s="2" t="s">
        <v>1665</v>
      </c>
      <c r="B813" s="2" t="s">
        <v>1666</v>
      </c>
      <c r="C813" s="2" t="s">
        <v>68</v>
      </c>
      <c r="D813" s="2">
        <v>52</v>
      </c>
      <c r="E813" s="2" t="str">
        <f>_xlfn.IFS(Table1[[#This Row],[Age]]&lt;30, "18-29", D813&lt;=45,"30-45", D813&lt;=55, "46-55", TRUE, "55+")</f>
        <v>46-55</v>
      </c>
      <c r="F813" s="2" t="s">
        <v>92</v>
      </c>
      <c r="G813" s="2" t="s">
        <v>93</v>
      </c>
      <c r="H813" s="2" t="s">
        <v>29</v>
      </c>
      <c r="I813" s="5">
        <v>30</v>
      </c>
      <c r="J813" s="5" t="str">
        <f>_xlfn.IFS(Table1[[#This Row],[Experience(Years)]]&lt;5, "Junior", I813&lt;=12, "Mid-Level", I813&lt;=20, "Senior", I813&lt;=30, "Super Senior", TRUE, "Expert")</f>
        <v>Super Senior</v>
      </c>
      <c r="K813" s="7">
        <v>30</v>
      </c>
      <c r="L813" s="7">
        <f>Table1[[#This Row],[Hourly Rate]]*1000</f>
        <v>30000</v>
      </c>
      <c r="M813" s="7" t="str">
        <f t="shared" si="12"/>
        <v>Budget</v>
      </c>
      <c r="N813" s="2">
        <f>IF(ISNUMBER(#REF!),#REF!, _xlfn.IFS( I813&gt;=30, 5, I813&gt;=25, 4.8, I813&gt;=15, 4, I813&gt;=10, 3.8, I813&gt;=5, 3, I813&gt;=2, 2.5, I813&gt;=0, 1.8, TRUE, 1.3))</f>
        <v>5</v>
      </c>
      <c r="O813" s="2" t="s">
        <v>2053</v>
      </c>
      <c r="P813" s="10">
        <v>0.68</v>
      </c>
      <c r="Q813" s="10" t="str">
        <f>_xlfn.IFS(Table1[[#This Row],[Rating]]&gt;=4, "Top Performer", Table1[[#This Row],[Rating]]&gt;=3, "Average", TRUE, "Needs Imporovement")</f>
        <v>Top Performer</v>
      </c>
    </row>
    <row r="814" spans="1:17" x14ac:dyDescent="0.3">
      <c r="A814" s="2" t="s">
        <v>1667</v>
      </c>
      <c r="B814" s="2" t="s">
        <v>1668</v>
      </c>
      <c r="C814" s="2" t="s">
        <v>49</v>
      </c>
      <c r="D814" s="2">
        <v>39</v>
      </c>
      <c r="E814" s="2" t="str">
        <f>_xlfn.IFS(Table1[[#This Row],[Age]]&lt;30, "18-29", D814&lt;=45,"30-45", D814&lt;=55, "46-55", TRUE, "55+")</f>
        <v>30-45</v>
      </c>
      <c r="F814" s="2" t="s">
        <v>92</v>
      </c>
      <c r="G814" s="2" t="s">
        <v>93</v>
      </c>
      <c r="H814" s="2" t="s">
        <v>14</v>
      </c>
      <c r="I814" s="5">
        <v>20</v>
      </c>
      <c r="J814" s="5" t="str">
        <f>_xlfn.IFS(Table1[[#This Row],[Experience(Years)]]&lt;5, "Junior", I814&lt;=12, "Mid-Level", I814&lt;=20, "Senior", I814&lt;=30, "Super Senior", TRUE, "Expert")</f>
        <v>Senior</v>
      </c>
      <c r="K814" s="7">
        <v>75</v>
      </c>
      <c r="L814" s="7">
        <f>Table1[[#This Row],[Hourly Rate]]*1000</f>
        <v>75000</v>
      </c>
      <c r="M814" s="7" t="str">
        <f t="shared" si="12"/>
        <v>Standard</v>
      </c>
      <c r="N814" s="2">
        <f>IF(ISNUMBER(#REF!),#REF!, _xlfn.IFS( I814&gt;=30, 5, I814&gt;=25, 4.8, I814&gt;=15, 4, I814&gt;=10, 3.8, I814&gt;=5, 3, I814&gt;=2, 2.5, I814&gt;=0, 1.8, TRUE, 1.3))</f>
        <v>4</v>
      </c>
      <c r="O814" s="2" t="s">
        <v>2053</v>
      </c>
      <c r="P814" s="10">
        <v>0.67</v>
      </c>
      <c r="Q814" s="10" t="str">
        <f>_xlfn.IFS(Table1[[#This Row],[Rating]]&gt;=4, "Top Performer", Table1[[#This Row],[Rating]]&gt;=3, "Average", TRUE, "Needs Imporovement")</f>
        <v>Top Performer</v>
      </c>
    </row>
    <row r="815" spans="1:17" x14ac:dyDescent="0.3">
      <c r="A815" s="2" t="s">
        <v>1669</v>
      </c>
      <c r="B815" s="2" t="s">
        <v>1670</v>
      </c>
      <c r="C815" s="2" t="s">
        <v>49</v>
      </c>
      <c r="D815" s="2">
        <v>31</v>
      </c>
      <c r="E815" s="2" t="str">
        <f>_xlfn.IFS(Table1[[#This Row],[Age]]&lt;30, "18-29", D815&lt;=45,"30-45", D815&lt;=55, "46-55", TRUE, "55+")</f>
        <v>30-45</v>
      </c>
      <c r="F815" s="2" t="s">
        <v>7</v>
      </c>
      <c r="G815" s="2" t="s">
        <v>8</v>
      </c>
      <c r="H815" s="2" t="s">
        <v>9</v>
      </c>
      <c r="I815" s="5">
        <v>0</v>
      </c>
      <c r="J815" s="5" t="str">
        <f>_xlfn.IFS(Table1[[#This Row],[Experience(Years)]]&lt;5, "Junior", I815&lt;=12, "Mid-Level", I815&lt;=20, "Senior", I815&lt;=30, "Super Senior", TRUE, "Expert")</f>
        <v>Junior</v>
      </c>
      <c r="K815" s="7">
        <v>30</v>
      </c>
      <c r="L815" s="7">
        <f>Table1[[#This Row],[Hourly Rate]]*1000</f>
        <v>30000</v>
      </c>
      <c r="M815" s="7" t="str">
        <f t="shared" si="12"/>
        <v>Budget</v>
      </c>
      <c r="N815" s="2">
        <f>IF(ISNUMBER(#REF!),#REF!, _xlfn.IFS( I815&gt;=30, 5, I815&gt;=25, 4.8, I815&gt;=15, 4, I815&gt;=10, 3.8, I815&gt;=5, 3, I815&gt;=2, 2.5, I815&gt;=0, 1.8, TRUE, 1.3))</f>
        <v>1.8</v>
      </c>
      <c r="O815" s="2" t="s">
        <v>2052</v>
      </c>
      <c r="P815" s="10">
        <v>0.79</v>
      </c>
      <c r="Q815" s="10" t="str">
        <f>_xlfn.IFS(Table1[[#This Row],[Rating]]&gt;=4, "Top Performer", Table1[[#This Row],[Rating]]&gt;=3, "Average", TRUE, "Needs Imporovement")</f>
        <v>Needs Imporovement</v>
      </c>
    </row>
    <row r="816" spans="1:17" x14ac:dyDescent="0.3">
      <c r="A816" s="2" t="s">
        <v>1671</v>
      </c>
      <c r="B816" s="2" t="s">
        <v>1672</v>
      </c>
      <c r="C816" s="2" t="s">
        <v>68</v>
      </c>
      <c r="D816" s="2">
        <v>22</v>
      </c>
      <c r="E816" s="2" t="str">
        <f>_xlfn.IFS(Table1[[#This Row],[Age]]&lt;30, "18-29", D816&lt;=45,"30-45", D816&lt;=55, "46-55", TRUE, "55+")</f>
        <v>18-29</v>
      </c>
      <c r="F816" s="2" t="s">
        <v>81</v>
      </c>
      <c r="G816" s="2" t="s">
        <v>82</v>
      </c>
      <c r="H816" s="2" t="s">
        <v>46</v>
      </c>
      <c r="I816" s="5">
        <v>4</v>
      </c>
      <c r="J816" s="5" t="str">
        <f>_xlfn.IFS(Table1[[#This Row],[Experience(Years)]]&lt;5, "Junior", I816&lt;=12, "Mid-Level", I816&lt;=20, "Senior", I816&lt;=30, "Super Senior", TRUE, "Expert")</f>
        <v>Junior</v>
      </c>
      <c r="K816" s="7">
        <v>40</v>
      </c>
      <c r="L816" s="7">
        <f>Table1[[#This Row],[Hourly Rate]]*1000</f>
        <v>40000</v>
      </c>
      <c r="M816" s="7" t="str">
        <f t="shared" si="12"/>
        <v>Standard</v>
      </c>
      <c r="N816" s="2">
        <f>IF(ISNUMBER(#REF!),#REF!, _xlfn.IFS( I816&gt;=30, 5, I816&gt;=25, 4.8, I816&gt;=15, 4, I816&gt;=10, 3.8, I816&gt;=5, 3, I816&gt;=2, 2.5, I816&gt;=0, 1.8, TRUE, 1.3))</f>
        <v>2.5</v>
      </c>
      <c r="O816" s="2" t="s">
        <v>2053</v>
      </c>
      <c r="P816" s="10">
        <v>1</v>
      </c>
      <c r="Q816" s="10" t="str">
        <f>_xlfn.IFS(Table1[[#This Row],[Rating]]&gt;=4, "Top Performer", Table1[[#This Row],[Rating]]&gt;=3, "Average", TRUE, "Needs Imporovement")</f>
        <v>Needs Imporovement</v>
      </c>
    </row>
    <row r="817" spans="1:17" x14ac:dyDescent="0.3">
      <c r="A817" s="2" t="s">
        <v>1673</v>
      </c>
      <c r="B817" s="2" t="s">
        <v>1674</v>
      </c>
      <c r="C817" s="2" t="s">
        <v>49</v>
      </c>
      <c r="D817" s="2">
        <v>38</v>
      </c>
      <c r="E817" s="2" t="str">
        <f>_xlfn.IFS(Table1[[#This Row],[Age]]&lt;30, "18-29", D817&lt;=45,"30-45", D817&lt;=55, "46-55", TRUE, "55+")</f>
        <v>30-45</v>
      </c>
      <c r="F817" s="2" t="s">
        <v>41</v>
      </c>
      <c r="G817" s="2" t="s">
        <v>8</v>
      </c>
      <c r="H817" s="2" t="s">
        <v>46</v>
      </c>
      <c r="I817" s="5">
        <v>10</v>
      </c>
      <c r="J817" s="5" t="str">
        <f>_xlfn.IFS(Table1[[#This Row],[Experience(Years)]]&lt;5, "Junior", I817&lt;=12, "Mid-Level", I817&lt;=20, "Senior", I817&lt;=30, "Super Senior", TRUE, "Expert")</f>
        <v>Mid-Level</v>
      </c>
      <c r="K817" s="7">
        <v>40</v>
      </c>
      <c r="L817" s="7">
        <f>Table1[[#This Row],[Hourly Rate]]*1000</f>
        <v>40000</v>
      </c>
      <c r="M817" s="7" t="str">
        <f t="shared" si="12"/>
        <v>Standard</v>
      </c>
      <c r="N817" s="2">
        <f>IF(ISNUMBER(#REF!),#REF!, _xlfn.IFS( I817&gt;=30, 5, I817&gt;=25, 4.8, I817&gt;=15, 4, I817&gt;=10, 3.8, I817&gt;=5, 3, I817&gt;=2, 2.5, I817&gt;=0, 1.8, TRUE, 1.3))</f>
        <v>3.8</v>
      </c>
      <c r="O817" s="2" t="s">
        <v>2052</v>
      </c>
      <c r="P817" s="10">
        <v>0.66</v>
      </c>
      <c r="Q817" s="10" t="str">
        <f>_xlfn.IFS(Table1[[#This Row],[Rating]]&gt;=4, "Top Performer", Table1[[#This Row],[Rating]]&gt;=3, "Average", TRUE, "Needs Imporovement")</f>
        <v>Average</v>
      </c>
    </row>
    <row r="818" spans="1:17" x14ac:dyDescent="0.3">
      <c r="A818" s="2" t="s">
        <v>1675</v>
      </c>
      <c r="B818" s="2" t="s">
        <v>1676</v>
      </c>
      <c r="C818" s="2" t="s">
        <v>68</v>
      </c>
      <c r="D818" s="2">
        <v>44</v>
      </c>
      <c r="E818" s="2" t="str">
        <f>_xlfn.IFS(Table1[[#This Row],[Age]]&lt;30, "18-29", D818&lt;=45,"30-45", D818&lt;=55, "46-55", TRUE, "55+")</f>
        <v>30-45</v>
      </c>
      <c r="F818" s="2" t="s">
        <v>44</v>
      </c>
      <c r="G818" s="2" t="s">
        <v>45</v>
      </c>
      <c r="H818" s="2" t="s">
        <v>14</v>
      </c>
      <c r="I818" s="5">
        <v>24</v>
      </c>
      <c r="J818" s="5" t="str">
        <f>_xlfn.IFS(Table1[[#This Row],[Experience(Years)]]&lt;5, "Junior", I818&lt;=12, "Mid-Level", I818&lt;=20, "Senior", I818&lt;=30, "Super Senior", TRUE, "Expert")</f>
        <v>Super Senior</v>
      </c>
      <c r="K818" s="7">
        <v>75</v>
      </c>
      <c r="L818" s="7">
        <f>Table1[[#This Row],[Hourly Rate]]*1000</f>
        <v>75000</v>
      </c>
      <c r="M818" s="7" t="str">
        <f t="shared" si="12"/>
        <v>Standard</v>
      </c>
      <c r="N818" s="2">
        <f>IF(ISNUMBER(#REF!),#REF!, _xlfn.IFS( I818&gt;=30, 5, I818&gt;=25, 4.8, I818&gt;=15, 4, I818&gt;=10, 3.8, I818&gt;=5, 3, I818&gt;=2, 2.5, I818&gt;=0, 1.8, TRUE, 1.3))</f>
        <v>4</v>
      </c>
      <c r="O818" s="2" t="s">
        <v>2052</v>
      </c>
      <c r="P818" s="10">
        <v>0.97</v>
      </c>
      <c r="Q818" s="10" t="str">
        <f>_xlfn.IFS(Table1[[#This Row],[Rating]]&gt;=4, "Top Performer", Table1[[#This Row],[Rating]]&gt;=3, "Average", TRUE, "Needs Imporovement")</f>
        <v>Top Performer</v>
      </c>
    </row>
    <row r="819" spans="1:17" x14ac:dyDescent="0.3">
      <c r="A819" s="2" t="s">
        <v>1677</v>
      </c>
      <c r="B819" s="2" t="s">
        <v>1678</v>
      </c>
      <c r="C819" s="2" t="s">
        <v>68</v>
      </c>
      <c r="D819" s="2">
        <v>53</v>
      </c>
      <c r="E819" s="2" t="str">
        <f>_xlfn.IFS(Table1[[#This Row],[Age]]&lt;30, "18-29", D819&lt;=45,"30-45", D819&lt;=55, "46-55", TRUE, "55+")</f>
        <v>46-55</v>
      </c>
      <c r="F819" s="2" t="s">
        <v>27</v>
      </c>
      <c r="G819" s="2" t="s">
        <v>28</v>
      </c>
      <c r="H819" s="2" t="s">
        <v>83</v>
      </c>
      <c r="I819" s="5">
        <v>21</v>
      </c>
      <c r="J819" s="5" t="str">
        <f>_xlfn.IFS(Table1[[#This Row],[Experience(Years)]]&lt;5, "Junior", I819&lt;=12, "Mid-Level", I819&lt;=20, "Senior", I819&lt;=30, "Super Senior", TRUE, "Expert")</f>
        <v>Super Senior</v>
      </c>
      <c r="K819" s="7">
        <v>100</v>
      </c>
      <c r="L819" s="7">
        <f>Table1[[#This Row],[Hourly Rate]]*1000</f>
        <v>100000</v>
      </c>
      <c r="M819" s="7" t="str">
        <f t="shared" si="12"/>
        <v>Premium</v>
      </c>
      <c r="N819" s="2">
        <f>IF(ISNUMBER(#REF!),#REF!, _xlfn.IFS( I819&gt;=30, 5, I819&gt;=25, 4.8, I819&gt;=15, 4, I819&gt;=10, 3.8, I819&gt;=5, 3, I819&gt;=2, 2.5, I819&gt;=0, 1.8, TRUE, 1.3))</f>
        <v>4</v>
      </c>
      <c r="O819" s="2" t="s">
        <v>2052</v>
      </c>
      <c r="P819" s="10">
        <v>0.62</v>
      </c>
      <c r="Q819" s="10" t="str">
        <f>_xlfn.IFS(Table1[[#This Row],[Rating]]&gt;=4, "Top Performer", Table1[[#This Row],[Rating]]&gt;=3, "Average", TRUE, "Needs Imporovement")</f>
        <v>Top Performer</v>
      </c>
    </row>
    <row r="820" spans="1:17" x14ac:dyDescent="0.3">
      <c r="A820" s="2" t="s">
        <v>1679</v>
      </c>
      <c r="B820" s="2" t="s">
        <v>1680</v>
      </c>
      <c r="C820" s="2" t="s">
        <v>68</v>
      </c>
      <c r="D820" s="2">
        <v>22</v>
      </c>
      <c r="E820" s="2" t="str">
        <f>_xlfn.IFS(Table1[[#This Row],[Age]]&lt;30, "18-29", D820&lt;=45,"30-45", D820&lt;=55, "46-55", TRUE, "55+")</f>
        <v>18-29</v>
      </c>
      <c r="F820" s="2" t="s">
        <v>141</v>
      </c>
      <c r="G820" s="2" t="s">
        <v>142</v>
      </c>
      <c r="H820" s="2" t="s">
        <v>29</v>
      </c>
      <c r="I820" s="5">
        <v>2</v>
      </c>
      <c r="J820" s="5" t="str">
        <f>_xlfn.IFS(Table1[[#This Row],[Experience(Years)]]&lt;5, "Junior", I820&lt;=12, "Mid-Level", I820&lt;=20, "Senior", I820&lt;=30, "Super Senior", TRUE, "Expert")</f>
        <v>Junior</v>
      </c>
      <c r="K820" s="7">
        <v>20</v>
      </c>
      <c r="L820" s="7">
        <f>Table1[[#This Row],[Hourly Rate]]*1000</f>
        <v>20000</v>
      </c>
      <c r="M820" s="7" t="str">
        <f t="shared" si="12"/>
        <v>Budget</v>
      </c>
      <c r="N820" s="2">
        <f>IF(ISNUMBER(#REF!),#REF!, _xlfn.IFS( I820&gt;=30, 5, I820&gt;=25, 4.8, I820&gt;=15, 4, I820&gt;=10, 3.8, I820&gt;=5, 3, I820&gt;=2, 2.5, I820&gt;=0, 1.8, TRUE, 1.3))</f>
        <v>2.5</v>
      </c>
      <c r="O820" s="2" t="s">
        <v>2052</v>
      </c>
      <c r="P820" s="10">
        <v>0.35</v>
      </c>
      <c r="Q820" s="10" t="str">
        <f>_xlfn.IFS(Table1[[#This Row],[Rating]]&gt;=4, "Top Performer", Table1[[#This Row],[Rating]]&gt;=3, "Average", TRUE, "Needs Imporovement")</f>
        <v>Needs Imporovement</v>
      </c>
    </row>
    <row r="821" spans="1:17" x14ac:dyDescent="0.3">
      <c r="A821" s="2" t="s">
        <v>1681</v>
      </c>
      <c r="B821" s="2" t="s">
        <v>1682</v>
      </c>
      <c r="C821" s="2" t="s">
        <v>49</v>
      </c>
      <c r="D821" s="2">
        <v>40</v>
      </c>
      <c r="E821" s="2" t="str">
        <f>_xlfn.IFS(Table1[[#This Row],[Age]]&lt;30, "18-29", D821&lt;=45,"30-45", D821&lt;=55, "46-55", TRUE, "55+")</f>
        <v>30-45</v>
      </c>
      <c r="F821" s="2" t="s">
        <v>64</v>
      </c>
      <c r="G821" s="2" t="s">
        <v>65</v>
      </c>
      <c r="H821" s="2" t="s">
        <v>4</v>
      </c>
      <c r="I821" s="5">
        <v>14</v>
      </c>
      <c r="J821" s="5" t="str">
        <f>_xlfn.IFS(Table1[[#This Row],[Experience(Years)]]&lt;5, "Junior", I821&lt;=12, "Mid-Level", I821&lt;=20, "Senior", I821&lt;=30, "Super Senior", TRUE, "Expert")</f>
        <v>Senior</v>
      </c>
      <c r="K821" s="7">
        <v>75</v>
      </c>
      <c r="L821" s="7">
        <f>Table1[[#This Row],[Hourly Rate]]*1000</f>
        <v>75000</v>
      </c>
      <c r="M821" s="7" t="str">
        <f t="shared" si="12"/>
        <v>Standard</v>
      </c>
      <c r="N821" s="2">
        <f>IF(ISNUMBER(#REF!),#REF!, _xlfn.IFS( I821&gt;=30, 5, I821&gt;=25, 4.8, I821&gt;=15, 4, I821&gt;=10, 3.8, I821&gt;=5, 3, I821&gt;=2, 2.5, I821&gt;=0, 1.8, TRUE, 1.3))</f>
        <v>3.8</v>
      </c>
      <c r="O821" s="2" t="s">
        <v>2053</v>
      </c>
      <c r="P821" s="10">
        <v>0.79</v>
      </c>
      <c r="Q821" s="10" t="str">
        <f>_xlfn.IFS(Table1[[#This Row],[Rating]]&gt;=4, "Top Performer", Table1[[#This Row],[Rating]]&gt;=3, "Average", TRUE, "Needs Imporovement")</f>
        <v>Average</v>
      </c>
    </row>
    <row r="822" spans="1:17" x14ac:dyDescent="0.3">
      <c r="A822" s="2" t="s">
        <v>1683</v>
      </c>
      <c r="B822" s="2" t="s">
        <v>1684</v>
      </c>
      <c r="C822" s="2" t="s">
        <v>49</v>
      </c>
      <c r="D822" s="2">
        <v>49</v>
      </c>
      <c r="E822" s="2" t="str">
        <f>_xlfn.IFS(Table1[[#This Row],[Age]]&lt;30, "18-29", D822&lt;=45,"30-45", D822&lt;=55, "46-55", TRUE, "55+")</f>
        <v>46-55</v>
      </c>
      <c r="F822" s="2" t="s">
        <v>141</v>
      </c>
      <c r="G822" s="2" t="s">
        <v>142</v>
      </c>
      <c r="H822" s="2" t="s">
        <v>9</v>
      </c>
      <c r="I822" s="5">
        <v>15</v>
      </c>
      <c r="J822" s="5" t="str">
        <f>_xlfn.IFS(Table1[[#This Row],[Experience(Years)]]&lt;5, "Junior", I822&lt;=12, "Mid-Level", I822&lt;=20, "Senior", I822&lt;=30, "Super Senior", TRUE, "Expert")</f>
        <v>Senior</v>
      </c>
      <c r="K822" s="7">
        <v>40</v>
      </c>
      <c r="L822" s="7">
        <f>Table1[[#This Row],[Hourly Rate]]*1000</f>
        <v>40000</v>
      </c>
      <c r="M822" s="7" t="str">
        <f t="shared" si="12"/>
        <v>Standard</v>
      </c>
      <c r="N822" s="2">
        <f>IF(ISNUMBER(#REF!),#REF!, _xlfn.IFS( I822&gt;=30, 5, I822&gt;=25, 4.8, I822&gt;=15, 4, I822&gt;=10, 3.8, I822&gt;=5, 3, I822&gt;=2, 2.5, I822&gt;=0, 1.8, TRUE, 1.3))</f>
        <v>4</v>
      </c>
      <c r="O822" s="2" t="s">
        <v>2052</v>
      </c>
      <c r="P822" s="10">
        <v>0.86</v>
      </c>
      <c r="Q822" s="10" t="str">
        <f>_xlfn.IFS(Table1[[#This Row],[Rating]]&gt;=4, "Top Performer", Table1[[#This Row],[Rating]]&gt;=3, "Average", TRUE, "Needs Imporovement")</f>
        <v>Top Performer</v>
      </c>
    </row>
    <row r="823" spans="1:17" x14ac:dyDescent="0.3">
      <c r="A823" s="2" t="s">
        <v>1685</v>
      </c>
      <c r="B823" s="2" t="s">
        <v>1686</v>
      </c>
      <c r="C823" s="2" t="s">
        <v>68</v>
      </c>
      <c r="D823" s="2">
        <v>30</v>
      </c>
      <c r="E823" s="2" t="str">
        <f>_xlfn.IFS(Table1[[#This Row],[Age]]&lt;30, "18-29", D823&lt;=45,"30-45", D823&lt;=55, "46-55", TRUE, "55+")</f>
        <v>30-45</v>
      </c>
      <c r="F823" s="2" t="s">
        <v>7</v>
      </c>
      <c r="G823" s="2" t="s">
        <v>8</v>
      </c>
      <c r="H823" s="2" t="s">
        <v>46</v>
      </c>
      <c r="I823" s="5">
        <v>11</v>
      </c>
      <c r="J823" s="5" t="str">
        <f>_xlfn.IFS(Table1[[#This Row],[Experience(Years)]]&lt;5, "Junior", I823&lt;=12, "Mid-Level", I823&lt;=20, "Senior", I823&lt;=30, "Super Senior", TRUE, "Expert")</f>
        <v>Mid-Level</v>
      </c>
      <c r="K823" s="7">
        <v>30</v>
      </c>
      <c r="L823" s="7">
        <f>Table1[[#This Row],[Hourly Rate]]*1000</f>
        <v>30000</v>
      </c>
      <c r="M823" s="7" t="str">
        <f t="shared" si="12"/>
        <v>Budget</v>
      </c>
      <c r="N823" s="2">
        <f>IF(ISNUMBER(#REF!),#REF!, _xlfn.IFS( I823&gt;=30, 5, I823&gt;=25, 4.8, I823&gt;=15, 4, I823&gt;=10, 3.8, I823&gt;=5, 3, I823&gt;=2, 2.5, I823&gt;=0, 1.8, TRUE, 1.3))</f>
        <v>3.8</v>
      </c>
      <c r="O823" s="2" t="s">
        <v>2052</v>
      </c>
      <c r="P823" s="10">
        <v>0.65</v>
      </c>
      <c r="Q823" s="10" t="str">
        <f>_xlfn.IFS(Table1[[#This Row],[Rating]]&gt;=4, "Top Performer", Table1[[#This Row],[Rating]]&gt;=3, "Average", TRUE, "Needs Imporovement")</f>
        <v>Average</v>
      </c>
    </row>
    <row r="824" spans="1:17" x14ac:dyDescent="0.3">
      <c r="A824" s="2" t="s">
        <v>1687</v>
      </c>
      <c r="B824" s="2" t="s">
        <v>1688</v>
      </c>
      <c r="C824" s="2" t="s">
        <v>49</v>
      </c>
      <c r="D824" s="2">
        <v>37</v>
      </c>
      <c r="E824" s="2" t="str">
        <f>_xlfn.IFS(Table1[[#This Row],[Age]]&lt;30, "18-29", D824&lt;=45,"30-45", D824&lt;=55, "46-55", TRUE, "55+")</f>
        <v>30-45</v>
      </c>
      <c r="F824" s="2" t="s">
        <v>57</v>
      </c>
      <c r="G824" s="2" t="s">
        <v>58</v>
      </c>
      <c r="H824" s="2" t="s">
        <v>24</v>
      </c>
      <c r="I824" s="5">
        <v>6</v>
      </c>
      <c r="J824" s="5" t="str">
        <f>_xlfn.IFS(Table1[[#This Row],[Experience(Years)]]&lt;5, "Junior", I824&lt;=12, "Mid-Level", I824&lt;=20, "Senior", I824&lt;=30, "Super Senior", TRUE, "Expert")</f>
        <v>Mid-Level</v>
      </c>
      <c r="K824" s="7">
        <v>20</v>
      </c>
      <c r="L824" s="7">
        <f>Table1[[#This Row],[Hourly Rate]]*1000</f>
        <v>20000</v>
      </c>
      <c r="M824" s="7" t="str">
        <f t="shared" si="12"/>
        <v>Budget</v>
      </c>
      <c r="N824" s="2">
        <f>IF(ISNUMBER(#REF!),#REF!, _xlfn.IFS( I824&gt;=30, 5, I824&gt;=25, 4.8, I824&gt;=15, 4, I824&gt;=10, 3.8, I824&gt;=5, 3, I824&gt;=2, 2.5, I824&gt;=0, 1.8, TRUE, 1.3))</f>
        <v>3</v>
      </c>
      <c r="O824" s="2" t="str">
        <f>IF(AND( Table1[[#This Row],[Rating]]&gt;=3.5, Table1[[#This Row],[Experience(Years)]]&gt;=15), "Active", "Inactive")</f>
        <v>Inactive</v>
      </c>
      <c r="P824" s="10">
        <v>0.99</v>
      </c>
      <c r="Q824" s="10" t="str">
        <f>_xlfn.IFS(Table1[[#This Row],[Rating]]&gt;=4, "Top Performer", Table1[[#This Row],[Rating]]&gt;=3, "Average", TRUE, "Needs Imporovement")</f>
        <v>Average</v>
      </c>
    </row>
    <row r="825" spans="1:17" x14ac:dyDescent="0.3">
      <c r="A825" s="2" t="s">
        <v>1689</v>
      </c>
      <c r="B825" s="2" t="s">
        <v>1690</v>
      </c>
      <c r="C825" s="2" t="s">
        <v>68</v>
      </c>
      <c r="D825" s="2">
        <v>21</v>
      </c>
      <c r="E825" s="2" t="str">
        <f>_xlfn.IFS(Table1[[#This Row],[Age]]&lt;30, "18-29", D825&lt;=45,"30-45", D825&lt;=55, "46-55", TRUE, "55+")</f>
        <v>18-29</v>
      </c>
      <c r="F825" s="2" t="s">
        <v>107</v>
      </c>
      <c r="G825" s="2" t="s">
        <v>108</v>
      </c>
      <c r="H825" s="2" t="s">
        <v>14</v>
      </c>
      <c r="I825" s="5">
        <v>2</v>
      </c>
      <c r="J825" s="5" t="str">
        <f>_xlfn.IFS(Table1[[#This Row],[Experience(Years)]]&lt;5, "Junior", I825&lt;=12, "Mid-Level", I825&lt;=20, "Senior", I825&lt;=30, "Super Senior", TRUE, "Expert")</f>
        <v>Junior</v>
      </c>
      <c r="K825" s="7">
        <v>100</v>
      </c>
      <c r="L825" s="7">
        <f>Table1[[#This Row],[Hourly Rate]]*1000</f>
        <v>100000</v>
      </c>
      <c r="M825" s="7" t="str">
        <f t="shared" si="12"/>
        <v>Premium</v>
      </c>
      <c r="N825" s="2">
        <f>IF(ISNUMBER(#REF!),#REF!, _xlfn.IFS( I825&gt;=30, 5, I825&gt;=25, 4.8, I825&gt;=15, 4, I825&gt;=10, 3.8, I825&gt;=5, 3, I825&gt;=2, 2.5, I825&gt;=0, 1.8, TRUE, 1.3))</f>
        <v>2.5</v>
      </c>
      <c r="O825" s="2" t="s">
        <v>2052</v>
      </c>
      <c r="P825" s="10">
        <v>0.85</v>
      </c>
      <c r="Q825" s="10" t="str">
        <f>_xlfn.IFS(Table1[[#This Row],[Rating]]&gt;=4, "Top Performer", Table1[[#This Row],[Rating]]&gt;=3, "Average", TRUE, "Needs Imporovement")</f>
        <v>Needs Imporovement</v>
      </c>
    </row>
    <row r="826" spans="1:17" x14ac:dyDescent="0.3">
      <c r="A826" s="2" t="s">
        <v>1691</v>
      </c>
      <c r="B826" s="2" t="s">
        <v>1692</v>
      </c>
      <c r="C826" s="2" t="s">
        <v>68</v>
      </c>
      <c r="D826" s="2">
        <v>20</v>
      </c>
      <c r="E826" s="2" t="str">
        <f>_xlfn.IFS(Table1[[#This Row],[Age]]&lt;30, "18-29", D826&lt;=45,"30-45", D826&lt;=55, "46-55", TRUE, "55+")</f>
        <v>18-29</v>
      </c>
      <c r="F826" s="2" t="s">
        <v>81</v>
      </c>
      <c r="G826" s="2" t="s">
        <v>82</v>
      </c>
      <c r="H826" s="2" t="s">
        <v>24</v>
      </c>
      <c r="I826" s="5">
        <v>1</v>
      </c>
      <c r="J826" s="5" t="str">
        <f>_xlfn.IFS(Table1[[#This Row],[Experience(Years)]]&lt;5, "Junior", I826&lt;=12, "Mid-Level", I826&lt;=20, "Senior", I826&lt;=30, "Super Senior", TRUE, "Expert")</f>
        <v>Junior</v>
      </c>
      <c r="K826" s="7">
        <v>50</v>
      </c>
      <c r="L826" s="7">
        <f>Table1[[#This Row],[Hourly Rate]]*1000</f>
        <v>50000</v>
      </c>
      <c r="M826" s="7" t="str">
        <f t="shared" si="12"/>
        <v>Standard</v>
      </c>
      <c r="N826" s="2">
        <f>IF(ISNUMBER(#REF!),#REF!, _xlfn.IFS( I826&gt;=30, 5, I826&gt;=25, 4.8, I826&gt;=15, 4, I826&gt;=10, 3.8, I826&gt;=5, 3, I826&gt;=2, 2.5, I826&gt;=0, 1.8, TRUE, 1.3))</f>
        <v>1.8</v>
      </c>
      <c r="O826" s="2" t="s">
        <v>2053</v>
      </c>
      <c r="P826" s="10">
        <v>0.81</v>
      </c>
      <c r="Q826" s="10" t="str">
        <f>_xlfn.IFS(Table1[[#This Row],[Rating]]&gt;=4, "Top Performer", Table1[[#This Row],[Rating]]&gt;=3, "Average", TRUE, "Needs Imporovement")</f>
        <v>Needs Imporovement</v>
      </c>
    </row>
    <row r="827" spans="1:17" x14ac:dyDescent="0.3">
      <c r="A827" s="2" t="s">
        <v>1693</v>
      </c>
      <c r="B827" s="2" t="s">
        <v>1694</v>
      </c>
      <c r="C827" s="2" t="s">
        <v>68</v>
      </c>
      <c r="D827" s="2">
        <v>20</v>
      </c>
      <c r="E827" s="2" t="str">
        <f>_xlfn.IFS(Table1[[#This Row],[Age]]&lt;30, "18-29", D827&lt;=45,"30-45", D827&lt;=55, "46-55", TRUE, "55+")</f>
        <v>18-29</v>
      </c>
      <c r="F827" s="2" t="s">
        <v>141</v>
      </c>
      <c r="G827" s="2" t="s">
        <v>142</v>
      </c>
      <c r="H827" s="2" t="s">
        <v>29</v>
      </c>
      <c r="I827" s="5">
        <v>2</v>
      </c>
      <c r="J827" s="5" t="str">
        <f>_xlfn.IFS(Table1[[#This Row],[Experience(Years)]]&lt;5, "Junior", I827&lt;=12, "Mid-Level", I827&lt;=20, "Senior", I827&lt;=30, "Super Senior", TRUE, "Expert")</f>
        <v>Junior</v>
      </c>
      <c r="K827" s="7">
        <v>40</v>
      </c>
      <c r="L827" s="7">
        <f>Table1[[#This Row],[Hourly Rate]]*1000</f>
        <v>40000</v>
      </c>
      <c r="M827" s="7" t="str">
        <f t="shared" si="12"/>
        <v>Standard</v>
      </c>
      <c r="N827" s="2">
        <f>IF(ISNUMBER(#REF!),#REF!, _xlfn.IFS( I827&gt;=30, 5, I827&gt;=25, 4.8, I827&gt;=15, 4, I827&gt;=10, 3.8, I827&gt;=5, 3, I827&gt;=2, 2.5, I827&gt;=0, 1.8, TRUE, 1.3))</f>
        <v>2.5</v>
      </c>
      <c r="O827" s="2" t="s">
        <v>2052</v>
      </c>
      <c r="P827" s="10">
        <v>0.64</v>
      </c>
      <c r="Q827" s="10" t="str">
        <f>_xlfn.IFS(Table1[[#This Row],[Rating]]&gt;=4, "Top Performer", Table1[[#This Row],[Rating]]&gt;=3, "Average", TRUE, "Needs Imporovement")</f>
        <v>Needs Imporovement</v>
      </c>
    </row>
    <row r="828" spans="1:17" x14ac:dyDescent="0.3">
      <c r="A828" s="2" t="s">
        <v>1695</v>
      </c>
      <c r="B828" s="2" t="s">
        <v>1696</v>
      </c>
      <c r="C828" s="2" t="s">
        <v>68</v>
      </c>
      <c r="D828" s="2">
        <v>20</v>
      </c>
      <c r="E828" s="2" t="str">
        <f>_xlfn.IFS(Table1[[#This Row],[Age]]&lt;30, "18-29", D828&lt;=45,"30-45", D828&lt;=55, "46-55", TRUE, "55+")</f>
        <v>18-29</v>
      </c>
      <c r="F828" s="2" t="s">
        <v>44</v>
      </c>
      <c r="G828" s="2" t="s">
        <v>45</v>
      </c>
      <c r="H828" s="2" t="s">
        <v>83</v>
      </c>
      <c r="I828" s="5">
        <v>2</v>
      </c>
      <c r="J828" s="5" t="str">
        <f>_xlfn.IFS(Table1[[#This Row],[Experience(Years)]]&lt;5, "Junior", I828&lt;=12, "Mid-Level", I828&lt;=20, "Senior", I828&lt;=30, "Super Senior", TRUE, "Expert")</f>
        <v>Junior</v>
      </c>
      <c r="K828" s="7">
        <v>20</v>
      </c>
      <c r="L828" s="7">
        <f>Table1[[#This Row],[Hourly Rate]]*1000</f>
        <v>20000</v>
      </c>
      <c r="M828" s="7" t="str">
        <f t="shared" si="12"/>
        <v>Budget</v>
      </c>
      <c r="N828" s="2">
        <f>IF(ISNUMBER(#REF!),#REF!, _xlfn.IFS( I828&gt;=30, 5, I828&gt;=25, 4.8, I828&gt;=15, 4, I828&gt;=10, 3.8, I828&gt;=5, 3, I828&gt;=2, 2.5, I828&gt;=0, 1.8, TRUE, 1.3))</f>
        <v>2.5</v>
      </c>
      <c r="O828" s="2" t="s">
        <v>2052</v>
      </c>
      <c r="P828" s="10">
        <v>0.84</v>
      </c>
      <c r="Q828" s="10" t="str">
        <f>_xlfn.IFS(Table1[[#This Row],[Rating]]&gt;=4, "Top Performer", Table1[[#This Row],[Rating]]&gt;=3, "Average", TRUE, "Needs Imporovement")</f>
        <v>Needs Imporovement</v>
      </c>
    </row>
    <row r="829" spans="1:17" x14ac:dyDescent="0.3">
      <c r="A829" s="2" t="s">
        <v>1697</v>
      </c>
      <c r="B829" s="2" t="s">
        <v>1698</v>
      </c>
      <c r="C829" s="2" t="s">
        <v>49</v>
      </c>
      <c r="D829" s="2">
        <v>26</v>
      </c>
      <c r="E829" s="2" t="str">
        <f>_xlfn.IFS(Table1[[#This Row],[Age]]&lt;30, "18-29", D829&lt;=45,"30-45", D829&lt;=55, "46-55", TRUE, "55+")</f>
        <v>18-29</v>
      </c>
      <c r="F829" s="2" t="s">
        <v>92</v>
      </c>
      <c r="G829" s="2" t="s">
        <v>93</v>
      </c>
      <c r="H829" s="2" t="s">
        <v>83</v>
      </c>
      <c r="I829" s="5">
        <v>2</v>
      </c>
      <c r="J829" s="5" t="str">
        <f>_xlfn.IFS(Table1[[#This Row],[Experience(Years)]]&lt;5, "Junior", I829&lt;=12, "Mid-Level", I829&lt;=20, "Senior", I829&lt;=30, "Super Senior", TRUE, "Expert")</f>
        <v>Junior</v>
      </c>
      <c r="K829" s="7">
        <v>40</v>
      </c>
      <c r="L829" s="7">
        <f>Table1[[#This Row],[Hourly Rate]]*1000</f>
        <v>40000</v>
      </c>
      <c r="M829" s="7" t="str">
        <f t="shared" si="12"/>
        <v>Standard</v>
      </c>
      <c r="N829" s="2">
        <f>IF(ISNUMBER(#REF!),#REF!, _xlfn.IFS( I829&gt;=30, 5, I829&gt;=25, 4.8, I829&gt;=15, 4, I829&gt;=10, 3.8, I829&gt;=5, 3, I829&gt;=2, 2.5, I829&gt;=0, 1.8, TRUE, 1.3))</f>
        <v>2.5</v>
      </c>
      <c r="O829" s="2" t="str">
        <f>IF(AND( Table1[[#This Row],[Rating]]&gt;=3.5, Table1[[#This Row],[Experience(Years)]]&gt;=15), "Active", "Inactive")</f>
        <v>Inactive</v>
      </c>
      <c r="P829" s="10">
        <v>0.66</v>
      </c>
      <c r="Q829" s="10" t="str">
        <f>_xlfn.IFS(Table1[[#This Row],[Rating]]&gt;=4, "Top Performer", Table1[[#This Row],[Rating]]&gt;=3, "Average", TRUE, "Needs Imporovement")</f>
        <v>Needs Imporovement</v>
      </c>
    </row>
    <row r="830" spans="1:17" x14ac:dyDescent="0.3">
      <c r="A830" s="2" t="s">
        <v>1699</v>
      </c>
      <c r="B830" s="2" t="s">
        <v>1700</v>
      </c>
      <c r="C830" s="2" t="s">
        <v>49</v>
      </c>
      <c r="D830" s="2">
        <v>50</v>
      </c>
      <c r="E830" s="2" t="str">
        <f>_xlfn.IFS(Table1[[#This Row],[Age]]&lt;30, "18-29", D830&lt;=45,"30-45", D830&lt;=55, "46-55", TRUE, "55+")</f>
        <v>46-55</v>
      </c>
      <c r="F830" s="2" t="s">
        <v>81</v>
      </c>
      <c r="G830" s="2" t="s">
        <v>82</v>
      </c>
      <c r="H830" s="2" t="s">
        <v>17</v>
      </c>
      <c r="I830" s="5">
        <v>12</v>
      </c>
      <c r="J830" s="5" t="str">
        <f>_xlfn.IFS(Table1[[#This Row],[Experience(Years)]]&lt;5, "Junior", I830&lt;=12, "Mid-Level", I830&lt;=20, "Senior", I830&lt;=30, "Super Senior", TRUE, "Expert")</f>
        <v>Mid-Level</v>
      </c>
      <c r="K830" s="7">
        <v>75</v>
      </c>
      <c r="L830" s="7">
        <f>Table1[[#This Row],[Hourly Rate]]*1000</f>
        <v>75000</v>
      </c>
      <c r="M830" s="7" t="str">
        <f t="shared" si="12"/>
        <v>Standard</v>
      </c>
      <c r="N830" s="2">
        <f>IF(ISNUMBER(#REF!),#REF!, _xlfn.IFS( I830&gt;=30, 5, I830&gt;=25, 4.8, I830&gt;=15, 4, I830&gt;=10, 3.8, I830&gt;=5, 3, I830&gt;=2, 2.5, I830&gt;=0, 1.8, TRUE, 1.3))</f>
        <v>3.8</v>
      </c>
      <c r="O830" s="2" t="s">
        <v>2052</v>
      </c>
      <c r="P830" s="10">
        <v>0.75</v>
      </c>
      <c r="Q830" s="10" t="str">
        <f>_xlfn.IFS(Table1[[#This Row],[Rating]]&gt;=4, "Top Performer", Table1[[#This Row],[Rating]]&gt;=3, "Average", TRUE, "Needs Imporovement")</f>
        <v>Average</v>
      </c>
    </row>
    <row r="831" spans="1:17" x14ac:dyDescent="0.3">
      <c r="A831" s="2" t="s">
        <v>1701</v>
      </c>
      <c r="B831" s="2" t="s">
        <v>1702</v>
      </c>
      <c r="C831" s="2" t="s">
        <v>68</v>
      </c>
      <c r="D831" s="2">
        <v>50</v>
      </c>
      <c r="E831" s="2" t="str">
        <f>_xlfn.IFS(Table1[[#This Row],[Age]]&lt;30, "18-29", D831&lt;=45,"30-45", D831&lt;=55, "46-55", TRUE, "55+")</f>
        <v>46-55</v>
      </c>
      <c r="F831" s="2" t="s">
        <v>156</v>
      </c>
      <c r="G831" s="2" t="s">
        <v>45</v>
      </c>
      <c r="H831" s="2" t="s">
        <v>24</v>
      </c>
      <c r="I831" s="5">
        <v>28</v>
      </c>
      <c r="J831" s="5" t="str">
        <f>_xlfn.IFS(Table1[[#This Row],[Experience(Years)]]&lt;5, "Junior", I831&lt;=12, "Mid-Level", I831&lt;=20, "Senior", I831&lt;=30, "Super Senior", TRUE, "Expert")</f>
        <v>Super Senior</v>
      </c>
      <c r="K831" s="7">
        <v>30</v>
      </c>
      <c r="L831" s="7">
        <f>Table1[[#This Row],[Hourly Rate]]*1000</f>
        <v>30000</v>
      </c>
      <c r="M831" s="7" t="str">
        <f t="shared" si="12"/>
        <v>Budget</v>
      </c>
      <c r="N831" s="2">
        <f>IF(ISNUMBER(#REF!),#REF!, _xlfn.IFS( I831&gt;=30, 5, I831&gt;=25, 4.8, I831&gt;=15, 4, I831&gt;=10, 3.8, I831&gt;=5, 3, I831&gt;=2, 2.5, I831&gt;=0, 1.8, TRUE, 1.3))</f>
        <v>4.8</v>
      </c>
      <c r="O831" s="2" t="str">
        <f>IF(AND( Table1[[#This Row],[Rating]]&gt;=3.5, Table1[[#This Row],[Experience(Years)]]&gt;=15), "Active", "Inactive")</f>
        <v>Active</v>
      </c>
      <c r="P831" s="10">
        <v>0.9</v>
      </c>
      <c r="Q831" s="10" t="str">
        <f>_xlfn.IFS(Table1[[#This Row],[Rating]]&gt;=4, "Top Performer", Table1[[#This Row],[Rating]]&gt;=3, "Average", TRUE, "Needs Imporovement")</f>
        <v>Top Performer</v>
      </c>
    </row>
    <row r="832" spans="1:17" x14ac:dyDescent="0.3">
      <c r="A832" s="2" t="s">
        <v>1703</v>
      </c>
      <c r="B832" s="2" t="s">
        <v>1704</v>
      </c>
      <c r="C832" s="2" t="s">
        <v>49</v>
      </c>
      <c r="D832" s="2">
        <v>54</v>
      </c>
      <c r="E832" s="2" t="str">
        <f>_xlfn.IFS(Table1[[#This Row],[Age]]&lt;30, "18-29", D832&lt;=45,"30-45", D832&lt;=55, "46-55", TRUE, "55+")</f>
        <v>46-55</v>
      </c>
      <c r="F832" s="2" t="s">
        <v>27</v>
      </c>
      <c r="G832" s="2" t="s">
        <v>28</v>
      </c>
      <c r="H832" s="2" t="s">
        <v>24</v>
      </c>
      <c r="I832" s="5">
        <v>4</v>
      </c>
      <c r="J832" s="5" t="str">
        <f>_xlfn.IFS(Table1[[#This Row],[Experience(Years)]]&lt;5, "Junior", I832&lt;=12, "Mid-Level", I832&lt;=20, "Senior", I832&lt;=30, "Super Senior", TRUE, "Expert")</f>
        <v>Junior</v>
      </c>
      <c r="K832" s="7">
        <v>20</v>
      </c>
      <c r="L832" s="7">
        <f>Table1[[#This Row],[Hourly Rate]]*1000</f>
        <v>20000</v>
      </c>
      <c r="M832" s="7" t="str">
        <f t="shared" si="12"/>
        <v>Budget</v>
      </c>
      <c r="N832" s="2">
        <f>IF(ISNUMBER(#REF!),#REF!, _xlfn.IFS( I832&gt;=30, 5, I832&gt;=25, 4.8, I832&gt;=15, 4, I832&gt;=10, 3.8, I832&gt;=5, 3, I832&gt;=2, 2.5, I832&gt;=0, 1.8, TRUE, 1.3))</f>
        <v>2.5</v>
      </c>
      <c r="O832" s="2" t="s">
        <v>2053</v>
      </c>
      <c r="P832" s="10">
        <v>0.63</v>
      </c>
      <c r="Q832" s="10" t="str">
        <f>_xlfn.IFS(Table1[[#This Row],[Rating]]&gt;=4, "Top Performer", Table1[[#This Row],[Rating]]&gt;=3, "Average", TRUE, "Needs Imporovement")</f>
        <v>Needs Imporovement</v>
      </c>
    </row>
    <row r="833" spans="1:17" x14ac:dyDescent="0.3">
      <c r="A833" s="2" t="s">
        <v>1705</v>
      </c>
      <c r="B833" s="2" t="s">
        <v>1706</v>
      </c>
      <c r="C833" s="2" t="s">
        <v>68</v>
      </c>
      <c r="D833" s="2">
        <v>54</v>
      </c>
      <c r="E833" s="2" t="str">
        <f>_xlfn.IFS(Table1[[#This Row],[Age]]&lt;30, "18-29", D833&lt;=45,"30-45", D833&lt;=55, "46-55", TRUE, "55+")</f>
        <v>46-55</v>
      </c>
      <c r="F833" s="2" t="s">
        <v>156</v>
      </c>
      <c r="G833" s="2" t="s">
        <v>45</v>
      </c>
      <c r="H833" s="2" t="s">
        <v>4</v>
      </c>
      <c r="I833" s="5">
        <v>3</v>
      </c>
      <c r="J833" s="5" t="str">
        <f>_xlfn.IFS(Table1[[#This Row],[Experience(Years)]]&lt;5, "Junior", I833&lt;=12, "Mid-Level", I833&lt;=20, "Senior", I833&lt;=30, "Super Senior", TRUE, "Expert")</f>
        <v>Junior</v>
      </c>
      <c r="K833" s="7">
        <v>20</v>
      </c>
      <c r="L833" s="7">
        <f>Table1[[#This Row],[Hourly Rate]]*1000</f>
        <v>20000</v>
      </c>
      <c r="M833" s="7" t="str">
        <f t="shared" si="12"/>
        <v>Budget</v>
      </c>
      <c r="N833" s="2">
        <f>IF(ISNUMBER(#REF!),#REF!, _xlfn.IFS( I833&gt;=30, 5, I833&gt;=25, 4.8, I833&gt;=15, 4, I833&gt;=10, 3.8, I833&gt;=5, 3, I833&gt;=2, 2.5, I833&gt;=0, 1.8, TRUE, 1.3))</f>
        <v>2.5</v>
      </c>
      <c r="O833" s="2" t="s">
        <v>2053</v>
      </c>
      <c r="P833" s="10">
        <v>0.7</v>
      </c>
      <c r="Q833" s="10" t="str">
        <f>_xlfn.IFS(Table1[[#This Row],[Rating]]&gt;=4, "Top Performer", Table1[[#This Row],[Rating]]&gt;=3, "Average", TRUE, "Needs Imporovement")</f>
        <v>Needs Imporovement</v>
      </c>
    </row>
    <row r="834" spans="1:17" x14ac:dyDescent="0.3">
      <c r="A834" s="2" t="s">
        <v>1707</v>
      </c>
      <c r="B834" s="2" t="s">
        <v>1708</v>
      </c>
      <c r="C834" s="2" t="s">
        <v>49</v>
      </c>
      <c r="D834" s="2">
        <v>34</v>
      </c>
      <c r="E834" s="2" t="str">
        <f>_xlfn.IFS(Table1[[#This Row],[Age]]&lt;30, "18-29", D834&lt;=45,"30-45", D834&lt;=55, "46-55", TRUE, "55+")</f>
        <v>30-45</v>
      </c>
      <c r="F834" s="2" t="s">
        <v>107</v>
      </c>
      <c r="G834" s="2" t="s">
        <v>108</v>
      </c>
      <c r="H834" s="2" t="s">
        <v>83</v>
      </c>
      <c r="I834" s="5">
        <v>4</v>
      </c>
      <c r="J834" s="5" t="str">
        <f>_xlfn.IFS(Table1[[#This Row],[Experience(Years)]]&lt;5, "Junior", I834&lt;=12, "Mid-Level", I834&lt;=20, "Senior", I834&lt;=30, "Super Senior", TRUE, "Expert")</f>
        <v>Junior</v>
      </c>
      <c r="K834" s="7">
        <v>30</v>
      </c>
      <c r="L834" s="7">
        <f>Table1[[#This Row],[Hourly Rate]]*1000</f>
        <v>30000</v>
      </c>
      <c r="M834" s="7" t="str">
        <f t="shared" ref="M834:M897" si="13">_xlfn.IFS(K834&lt;40, "Budget", K834&lt;=80, "Standard", TRUE, "Premium")</f>
        <v>Budget</v>
      </c>
      <c r="N834" s="2">
        <f>IF(ISNUMBER(#REF!),#REF!, _xlfn.IFS( I834&gt;=30, 5, I834&gt;=25, 4.8, I834&gt;=15, 4, I834&gt;=10, 3.8, I834&gt;=5, 3, I834&gt;=2, 2.5, I834&gt;=0, 1.8, TRUE, 1.3))</f>
        <v>2.5</v>
      </c>
      <c r="O834" s="2" t="str">
        <f>IF(AND( Table1[[#This Row],[Rating]]&gt;=3.5, Table1[[#This Row],[Experience(Years)]]&gt;=15), "Active", "Inactive")</f>
        <v>Inactive</v>
      </c>
      <c r="P834" s="10">
        <v>0.9</v>
      </c>
      <c r="Q834" s="10" t="str">
        <f>_xlfn.IFS(Table1[[#This Row],[Rating]]&gt;=4, "Top Performer", Table1[[#This Row],[Rating]]&gt;=3, "Average", TRUE, "Needs Imporovement")</f>
        <v>Needs Imporovement</v>
      </c>
    </row>
    <row r="835" spans="1:17" x14ac:dyDescent="0.3">
      <c r="A835" s="2" t="s">
        <v>1709</v>
      </c>
      <c r="B835" s="2" t="s">
        <v>1710</v>
      </c>
      <c r="C835" s="2" t="s">
        <v>49</v>
      </c>
      <c r="D835" s="2">
        <v>20</v>
      </c>
      <c r="E835" s="2" t="str">
        <f>_xlfn.IFS(Table1[[#This Row],[Age]]&lt;30, "18-29", D835&lt;=45,"30-45", D835&lt;=55, "46-55", TRUE, "55+")</f>
        <v>18-29</v>
      </c>
      <c r="F835" s="2" t="s">
        <v>2</v>
      </c>
      <c r="G835" s="2" t="s">
        <v>3</v>
      </c>
      <c r="H835" s="2" t="s">
        <v>61</v>
      </c>
      <c r="I835" s="5">
        <v>1</v>
      </c>
      <c r="J835" s="5" t="str">
        <f>_xlfn.IFS(Table1[[#This Row],[Experience(Years)]]&lt;5, "Junior", I835&lt;=12, "Mid-Level", I835&lt;=20, "Senior", I835&lt;=30, "Super Senior", TRUE, "Expert")</f>
        <v>Junior</v>
      </c>
      <c r="K835" s="7">
        <v>50</v>
      </c>
      <c r="L835" s="7">
        <f>Table1[[#This Row],[Hourly Rate]]*1000</f>
        <v>50000</v>
      </c>
      <c r="M835" s="7" t="str">
        <f t="shared" si="13"/>
        <v>Standard</v>
      </c>
      <c r="N835" s="2">
        <f>IF(ISNUMBER(#REF!),#REF!, _xlfn.IFS( I835&gt;=30, 5, I835&gt;=25, 4.8, I835&gt;=15, 4, I835&gt;=10, 3.8, I835&gt;=5, 3, I835&gt;=2, 2.5, I835&gt;=0, 1.8, TRUE, 1.3))</f>
        <v>1.8</v>
      </c>
      <c r="O835" s="2" t="s">
        <v>2053</v>
      </c>
      <c r="P835" s="10">
        <v>0.79</v>
      </c>
      <c r="Q835" s="10" t="str">
        <f>_xlfn.IFS(Table1[[#This Row],[Rating]]&gt;=4, "Top Performer", Table1[[#This Row],[Rating]]&gt;=3, "Average", TRUE, "Needs Imporovement")</f>
        <v>Needs Imporovement</v>
      </c>
    </row>
    <row r="836" spans="1:17" x14ac:dyDescent="0.3">
      <c r="A836" s="2" t="s">
        <v>1711</v>
      </c>
      <c r="B836" s="2" t="s">
        <v>1712</v>
      </c>
      <c r="C836" s="2" t="s">
        <v>68</v>
      </c>
      <c r="D836" s="2">
        <v>29</v>
      </c>
      <c r="E836" s="2" t="str">
        <f>_xlfn.IFS(Table1[[#This Row],[Age]]&lt;30, "18-29", D836&lt;=45,"30-45", D836&lt;=55, "46-55", TRUE, "55+")</f>
        <v>18-29</v>
      </c>
      <c r="F836" s="2" t="s">
        <v>12</v>
      </c>
      <c r="G836" s="2" t="s">
        <v>13</v>
      </c>
      <c r="H836" s="2" t="s">
        <v>24</v>
      </c>
      <c r="I836" s="5">
        <v>8</v>
      </c>
      <c r="J836" s="5" t="str">
        <f>_xlfn.IFS(Table1[[#This Row],[Experience(Years)]]&lt;5, "Junior", I836&lt;=12, "Mid-Level", I836&lt;=20, "Senior", I836&lt;=30, "Super Senior", TRUE, "Expert")</f>
        <v>Mid-Level</v>
      </c>
      <c r="K836" s="7">
        <v>40</v>
      </c>
      <c r="L836" s="7">
        <f>Table1[[#This Row],[Hourly Rate]]*1000</f>
        <v>40000</v>
      </c>
      <c r="M836" s="7" t="str">
        <f t="shared" si="13"/>
        <v>Standard</v>
      </c>
      <c r="N836" s="2">
        <f>IF(ISNUMBER(#REF!),#REF!, _xlfn.IFS( I836&gt;=30, 5, I836&gt;=25, 4.8, I836&gt;=15, 4, I836&gt;=10, 3.8, I836&gt;=5, 3, I836&gt;=2, 2.5, I836&gt;=0, 1.8, TRUE, 1.3))</f>
        <v>3</v>
      </c>
      <c r="O836" s="2" t="s">
        <v>2052</v>
      </c>
      <c r="P836" s="10">
        <v>0.6</v>
      </c>
      <c r="Q836" s="10" t="str">
        <f>_xlfn.IFS(Table1[[#This Row],[Rating]]&gt;=4, "Top Performer", Table1[[#This Row],[Rating]]&gt;=3, "Average", TRUE, "Needs Imporovement")</f>
        <v>Average</v>
      </c>
    </row>
    <row r="837" spans="1:17" x14ac:dyDescent="0.3">
      <c r="A837" s="2" t="s">
        <v>1713</v>
      </c>
      <c r="B837" s="2" t="s">
        <v>1714</v>
      </c>
      <c r="C837" s="2" t="s">
        <v>49</v>
      </c>
      <c r="D837" s="2">
        <v>57</v>
      </c>
      <c r="E837" s="2" t="str">
        <f>_xlfn.IFS(Table1[[#This Row],[Age]]&lt;30, "18-29", D837&lt;=45,"30-45", D837&lt;=55, "46-55", TRUE, "55+")</f>
        <v>55+</v>
      </c>
      <c r="F837" s="2" t="s">
        <v>41</v>
      </c>
      <c r="G837" s="2" t="s">
        <v>8</v>
      </c>
      <c r="H837" s="2" t="s">
        <v>61</v>
      </c>
      <c r="I837" s="5">
        <v>11</v>
      </c>
      <c r="J837" s="5" t="str">
        <f>_xlfn.IFS(Table1[[#This Row],[Experience(Years)]]&lt;5, "Junior", I837&lt;=12, "Mid-Level", I837&lt;=20, "Senior", I837&lt;=30, "Super Senior", TRUE, "Expert")</f>
        <v>Mid-Level</v>
      </c>
      <c r="K837" s="7">
        <v>75</v>
      </c>
      <c r="L837" s="7">
        <f>Table1[[#This Row],[Hourly Rate]]*1000</f>
        <v>75000</v>
      </c>
      <c r="M837" s="7" t="str">
        <f t="shared" si="13"/>
        <v>Standard</v>
      </c>
      <c r="N837" s="2">
        <f>IF(ISNUMBER(#REF!),#REF!, _xlfn.IFS( I837&gt;=30, 5, I837&gt;=25, 4.8, I837&gt;=15, 4, I837&gt;=10, 3.8, I837&gt;=5, 3, I837&gt;=2, 2.5, I837&gt;=0, 1.8, TRUE, 1.3))</f>
        <v>3.8</v>
      </c>
      <c r="O837" s="2" t="s">
        <v>2052</v>
      </c>
      <c r="P837" s="10">
        <v>0.75</v>
      </c>
      <c r="Q837" s="10" t="str">
        <f>_xlfn.IFS(Table1[[#This Row],[Rating]]&gt;=4, "Top Performer", Table1[[#This Row],[Rating]]&gt;=3, "Average", TRUE, "Needs Imporovement")</f>
        <v>Average</v>
      </c>
    </row>
    <row r="838" spans="1:17" x14ac:dyDescent="0.3">
      <c r="A838" s="2" t="s">
        <v>1715</v>
      </c>
      <c r="B838" s="2" t="s">
        <v>1716</v>
      </c>
      <c r="C838" s="2" t="s">
        <v>49</v>
      </c>
      <c r="D838" s="2">
        <v>36</v>
      </c>
      <c r="E838" s="2" t="str">
        <f>_xlfn.IFS(Table1[[#This Row],[Age]]&lt;30, "18-29", D838&lt;=45,"30-45", D838&lt;=55, "46-55", TRUE, "55+")</f>
        <v>30-45</v>
      </c>
      <c r="F838" s="2" t="s">
        <v>22</v>
      </c>
      <c r="G838" s="2" t="s">
        <v>23</v>
      </c>
      <c r="H838" s="2" t="s">
        <v>24</v>
      </c>
      <c r="I838" s="5">
        <v>8</v>
      </c>
      <c r="J838" s="5" t="str">
        <f>_xlfn.IFS(Table1[[#This Row],[Experience(Years)]]&lt;5, "Junior", I838&lt;=12, "Mid-Level", I838&lt;=20, "Senior", I838&lt;=30, "Super Senior", TRUE, "Expert")</f>
        <v>Mid-Level</v>
      </c>
      <c r="K838" s="7">
        <v>40</v>
      </c>
      <c r="L838" s="7">
        <f>Table1[[#This Row],[Hourly Rate]]*1000</f>
        <v>40000</v>
      </c>
      <c r="M838" s="7" t="str">
        <f t="shared" si="13"/>
        <v>Standard</v>
      </c>
      <c r="N838" s="2">
        <f>IF(ISNUMBER(#REF!),#REF!, _xlfn.IFS( I838&gt;=30, 5, I838&gt;=25, 4.8, I838&gt;=15, 4, I838&gt;=10, 3.8, I838&gt;=5, 3, I838&gt;=2, 2.5, I838&gt;=0, 1.8, TRUE, 1.3))</f>
        <v>3</v>
      </c>
      <c r="O838" s="2" t="s">
        <v>2052</v>
      </c>
      <c r="P838" s="10">
        <v>0.8</v>
      </c>
      <c r="Q838" s="10" t="str">
        <f>_xlfn.IFS(Table1[[#This Row],[Rating]]&gt;=4, "Top Performer", Table1[[#This Row],[Rating]]&gt;=3, "Average", TRUE, "Needs Imporovement")</f>
        <v>Average</v>
      </c>
    </row>
    <row r="839" spans="1:17" x14ac:dyDescent="0.3">
      <c r="A839" s="2" t="s">
        <v>1717</v>
      </c>
      <c r="B839" s="2" t="s">
        <v>1718</v>
      </c>
      <c r="C839" s="2" t="s">
        <v>68</v>
      </c>
      <c r="D839" s="2">
        <v>51</v>
      </c>
      <c r="E839" s="2" t="str">
        <f>_xlfn.IFS(Table1[[#This Row],[Age]]&lt;30, "18-29", D839&lt;=45,"30-45", D839&lt;=55, "46-55", TRUE, "55+")</f>
        <v>46-55</v>
      </c>
      <c r="F839" s="2" t="s">
        <v>81</v>
      </c>
      <c r="G839" s="2" t="s">
        <v>82</v>
      </c>
      <c r="H839" s="2" t="s">
        <v>17</v>
      </c>
      <c r="I839" s="5">
        <v>32</v>
      </c>
      <c r="J839" s="5" t="str">
        <f>_xlfn.IFS(Table1[[#This Row],[Experience(Years)]]&lt;5, "Junior", I839&lt;=12, "Mid-Level", I839&lt;=20, "Senior", I839&lt;=30, "Super Senior", TRUE, "Expert")</f>
        <v>Expert</v>
      </c>
      <c r="K839" s="7">
        <v>50</v>
      </c>
      <c r="L839" s="7">
        <f>Table1[[#This Row],[Hourly Rate]]*1000</f>
        <v>50000</v>
      </c>
      <c r="M839" s="7" t="str">
        <f t="shared" si="13"/>
        <v>Standard</v>
      </c>
      <c r="N839" s="2">
        <f>IF(ISNUMBER(#REF!),#REF!, _xlfn.IFS( I839&gt;=30, 5, I839&gt;=25, 4.8, I839&gt;=15, 4, I839&gt;=10, 3.8, I839&gt;=5, 3, I839&gt;=2, 2.5, I839&gt;=0, 1.8, TRUE, 1.3))</f>
        <v>5</v>
      </c>
      <c r="O839" s="2" t="s">
        <v>2052</v>
      </c>
      <c r="P839" s="10">
        <v>0.88</v>
      </c>
      <c r="Q839" s="10" t="str">
        <f>_xlfn.IFS(Table1[[#This Row],[Rating]]&gt;=4, "Top Performer", Table1[[#This Row],[Rating]]&gt;=3, "Average", TRUE, "Needs Imporovement")</f>
        <v>Top Performer</v>
      </c>
    </row>
    <row r="840" spans="1:17" x14ac:dyDescent="0.3">
      <c r="A840" s="2" t="s">
        <v>1719</v>
      </c>
      <c r="B840" s="2" t="s">
        <v>1720</v>
      </c>
      <c r="C840" s="2" t="s">
        <v>68</v>
      </c>
      <c r="D840" s="2">
        <v>44</v>
      </c>
      <c r="E840" s="2" t="str">
        <f>_xlfn.IFS(Table1[[#This Row],[Age]]&lt;30, "18-29", D840&lt;=45,"30-45", D840&lt;=55, "46-55", TRUE, "55+")</f>
        <v>30-45</v>
      </c>
      <c r="F840" s="2" t="s">
        <v>64</v>
      </c>
      <c r="G840" s="2" t="s">
        <v>65</v>
      </c>
      <c r="H840" s="2" t="s">
        <v>46</v>
      </c>
      <c r="I840" s="5">
        <v>4</v>
      </c>
      <c r="J840" s="5" t="str">
        <f>_xlfn.IFS(Table1[[#This Row],[Experience(Years)]]&lt;5, "Junior", I840&lt;=12, "Mid-Level", I840&lt;=20, "Senior", I840&lt;=30, "Super Senior", TRUE, "Expert")</f>
        <v>Junior</v>
      </c>
      <c r="K840" s="7">
        <v>30</v>
      </c>
      <c r="L840" s="7">
        <f>Table1[[#This Row],[Hourly Rate]]*1000</f>
        <v>30000</v>
      </c>
      <c r="M840" s="7" t="str">
        <f t="shared" si="13"/>
        <v>Budget</v>
      </c>
      <c r="N840" s="2">
        <f>IF(ISNUMBER(#REF!),#REF!, _xlfn.IFS( I840&gt;=30, 5, I840&gt;=25, 4.8, I840&gt;=15, 4, I840&gt;=10, 3.8, I840&gt;=5, 3, I840&gt;=2, 2.5, I840&gt;=0, 1.8, TRUE, 1.3))</f>
        <v>2.5</v>
      </c>
      <c r="O840" s="2" t="s">
        <v>2052</v>
      </c>
      <c r="P840" s="10">
        <v>0.8</v>
      </c>
      <c r="Q840" s="10" t="str">
        <f>_xlfn.IFS(Table1[[#This Row],[Rating]]&gt;=4, "Top Performer", Table1[[#This Row],[Rating]]&gt;=3, "Average", TRUE, "Needs Imporovement")</f>
        <v>Needs Imporovement</v>
      </c>
    </row>
    <row r="841" spans="1:17" x14ac:dyDescent="0.3">
      <c r="A841" s="2" t="s">
        <v>1721</v>
      </c>
      <c r="B841" s="2" t="s">
        <v>1722</v>
      </c>
      <c r="C841" s="2" t="s">
        <v>68</v>
      </c>
      <c r="D841" s="2">
        <v>58</v>
      </c>
      <c r="E841" s="2" t="str">
        <f>_xlfn.IFS(Table1[[#This Row],[Age]]&lt;30, "18-29", D841&lt;=45,"30-45", D841&lt;=55, "46-55", TRUE, "55+")</f>
        <v>55+</v>
      </c>
      <c r="F841" s="2" t="s">
        <v>156</v>
      </c>
      <c r="G841" s="2" t="s">
        <v>45</v>
      </c>
      <c r="H841" s="2" t="s">
        <v>50</v>
      </c>
      <c r="I841" s="5">
        <v>33</v>
      </c>
      <c r="J841" s="5" t="str">
        <f>_xlfn.IFS(Table1[[#This Row],[Experience(Years)]]&lt;5, "Junior", I841&lt;=12, "Mid-Level", I841&lt;=20, "Senior", I841&lt;=30, "Super Senior", TRUE, "Expert")</f>
        <v>Expert</v>
      </c>
      <c r="K841" s="7">
        <v>30</v>
      </c>
      <c r="L841" s="7">
        <f>Table1[[#This Row],[Hourly Rate]]*1000</f>
        <v>30000</v>
      </c>
      <c r="M841" s="7" t="str">
        <f t="shared" si="13"/>
        <v>Budget</v>
      </c>
      <c r="N841" s="2">
        <f>IF(ISNUMBER(#REF!),#REF!, _xlfn.IFS( I841&gt;=30, 5, I841&gt;=25, 4.8, I841&gt;=15, 4, I841&gt;=10, 3.8, I841&gt;=5, 3, I841&gt;=2, 2.5, I841&gt;=0, 1.8, TRUE, 1.3))</f>
        <v>5</v>
      </c>
      <c r="O841" s="2" t="s">
        <v>2053</v>
      </c>
      <c r="P841" s="10">
        <v>0.71</v>
      </c>
      <c r="Q841" s="10" t="str">
        <f>_xlfn.IFS(Table1[[#This Row],[Rating]]&gt;=4, "Top Performer", Table1[[#This Row],[Rating]]&gt;=3, "Average", TRUE, "Needs Imporovement")</f>
        <v>Top Performer</v>
      </c>
    </row>
    <row r="842" spans="1:17" x14ac:dyDescent="0.3">
      <c r="A842" s="2" t="s">
        <v>1723</v>
      </c>
      <c r="B842" s="2" t="s">
        <v>1724</v>
      </c>
      <c r="C842" s="2" t="s">
        <v>49</v>
      </c>
      <c r="D842" s="2">
        <v>38</v>
      </c>
      <c r="E842" s="2" t="str">
        <f>_xlfn.IFS(Table1[[#This Row],[Age]]&lt;30, "18-29", D842&lt;=45,"30-45", D842&lt;=55, "46-55", TRUE, "55+")</f>
        <v>30-45</v>
      </c>
      <c r="F842" s="2" t="s">
        <v>121</v>
      </c>
      <c r="G842" s="2" t="s">
        <v>122</v>
      </c>
      <c r="H842" s="2" t="s">
        <v>9</v>
      </c>
      <c r="I842" s="5">
        <v>14</v>
      </c>
      <c r="J842" s="5" t="str">
        <f>_xlfn.IFS(Table1[[#This Row],[Experience(Years)]]&lt;5, "Junior", I842&lt;=12, "Mid-Level", I842&lt;=20, "Senior", I842&lt;=30, "Super Senior", TRUE, "Expert")</f>
        <v>Senior</v>
      </c>
      <c r="K842" s="7">
        <v>20</v>
      </c>
      <c r="L842" s="7">
        <f>Table1[[#This Row],[Hourly Rate]]*1000</f>
        <v>20000</v>
      </c>
      <c r="M842" s="7" t="str">
        <f t="shared" si="13"/>
        <v>Budget</v>
      </c>
      <c r="N842" s="2">
        <f>IF(ISNUMBER(#REF!),#REF!, _xlfn.IFS( I842&gt;=30, 5, I842&gt;=25, 4.8, I842&gt;=15, 4, I842&gt;=10, 3.8, I842&gt;=5, 3, I842&gt;=2, 2.5, I842&gt;=0, 1.8, TRUE, 1.3))</f>
        <v>3.8</v>
      </c>
      <c r="O842" s="2" t="s">
        <v>2053</v>
      </c>
      <c r="P842" s="10">
        <v>0.76</v>
      </c>
      <c r="Q842" s="10" t="str">
        <f>_xlfn.IFS(Table1[[#This Row],[Rating]]&gt;=4, "Top Performer", Table1[[#This Row],[Rating]]&gt;=3, "Average", TRUE, "Needs Imporovement")</f>
        <v>Average</v>
      </c>
    </row>
    <row r="843" spans="1:17" x14ac:dyDescent="0.3">
      <c r="A843" s="2" t="s">
        <v>1725</v>
      </c>
      <c r="B843" s="2" t="s">
        <v>1726</v>
      </c>
      <c r="C843" s="2" t="s">
        <v>68</v>
      </c>
      <c r="D843" s="2">
        <v>24</v>
      </c>
      <c r="E843" s="2" t="str">
        <f>_xlfn.IFS(Table1[[#This Row],[Age]]&lt;30, "18-29", D843&lt;=45,"30-45", D843&lt;=55, "46-55", TRUE, "55+")</f>
        <v>18-29</v>
      </c>
      <c r="F843" s="2" t="s">
        <v>34</v>
      </c>
      <c r="G843" s="2" t="s">
        <v>8</v>
      </c>
      <c r="H843" s="2" t="s">
        <v>46</v>
      </c>
      <c r="I843" s="5">
        <v>6</v>
      </c>
      <c r="J843" s="5" t="str">
        <f>_xlfn.IFS(Table1[[#This Row],[Experience(Years)]]&lt;5, "Junior", I843&lt;=12, "Mid-Level", I843&lt;=20, "Senior", I843&lt;=30, "Super Senior", TRUE, "Expert")</f>
        <v>Mid-Level</v>
      </c>
      <c r="K843" s="7">
        <v>30</v>
      </c>
      <c r="L843" s="7">
        <f>Table1[[#This Row],[Hourly Rate]]*1000</f>
        <v>30000</v>
      </c>
      <c r="M843" s="7" t="str">
        <f t="shared" si="13"/>
        <v>Budget</v>
      </c>
      <c r="N843" s="2">
        <f>IF(ISNUMBER(#REF!),#REF!, _xlfn.IFS( I843&gt;=30, 5, I843&gt;=25, 4.8, I843&gt;=15, 4, I843&gt;=10, 3.8, I843&gt;=5, 3, I843&gt;=2, 2.5, I843&gt;=0, 1.8, TRUE, 1.3))</f>
        <v>3</v>
      </c>
      <c r="O843" s="2" t="s">
        <v>2053</v>
      </c>
      <c r="P843" s="10">
        <v>0.93</v>
      </c>
      <c r="Q843" s="10" t="str">
        <f>_xlfn.IFS(Table1[[#This Row],[Rating]]&gt;=4, "Top Performer", Table1[[#This Row],[Rating]]&gt;=3, "Average", TRUE, "Needs Imporovement")</f>
        <v>Average</v>
      </c>
    </row>
    <row r="844" spans="1:17" x14ac:dyDescent="0.3">
      <c r="A844" s="2" t="s">
        <v>1727</v>
      </c>
      <c r="B844" s="2" t="s">
        <v>1728</v>
      </c>
      <c r="C844" s="2" t="s">
        <v>49</v>
      </c>
      <c r="D844" s="2">
        <v>30</v>
      </c>
      <c r="E844" s="2" t="str">
        <f>_xlfn.IFS(Table1[[#This Row],[Age]]&lt;30, "18-29", D844&lt;=45,"30-45", D844&lt;=55, "46-55", TRUE, "55+")</f>
        <v>30-45</v>
      </c>
      <c r="F844" s="2" t="s">
        <v>37</v>
      </c>
      <c r="G844" s="2" t="s">
        <v>38</v>
      </c>
      <c r="H844" s="2" t="s">
        <v>4</v>
      </c>
      <c r="I844" s="5">
        <v>5</v>
      </c>
      <c r="J844" s="5" t="str">
        <f>_xlfn.IFS(Table1[[#This Row],[Experience(Years)]]&lt;5, "Junior", I844&lt;=12, "Mid-Level", I844&lt;=20, "Senior", I844&lt;=30, "Super Senior", TRUE, "Expert")</f>
        <v>Mid-Level</v>
      </c>
      <c r="K844" s="7">
        <v>30</v>
      </c>
      <c r="L844" s="7">
        <f>Table1[[#This Row],[Hourly Rate]]*1000</f>
        <v>30000</v>
      </c>
      <c r="M844" s="7" t="str">
        <f t="shared" si="13"/>
        <v>Budget</v>
      </c>
      <c r="N844" s="2">
        <f>IF(ISNUMBER(#REF!),#REF!, _xlfn.IFS( I844&gt;=30, 5, I844&gt;=25, 4.8, I844&gt;=15, 4, I844&gt;=10, 3.8, I844&gt;=5, 3, I844&gt;=2, 2.5, I844&gt;=0, 1.8, TRUE, 1.3))</f>
        <v>3</v>
      </c>
      <c r="O844" s="2" t="s">
        <v>2052</v>
      </c>
      <c r="P844" s="10">
        <v>0.6</v>
      </c>
      <c r="Q844" s="10" t="str">
        <f>_xlfn.IFS(Table1[[#This Row],[Rating]]&gt;=4, "Top Performer", Table1[[#This Row],[Rating]]&gt;=3, "Average", TRUE, "Needs Imporovement")</f>
        <v>Average</v>
      </c>
    </row>
    <row r="845" spans="1:17" x14ac:dyDescent="0.3">
      <c r="A845" s="2" t="s">
        <v>1729</v>
      </c>
      <c r="B845" s="2" t="s">
        <v>1730</v>
      </c>
      <c r="C845" s="2" t="s">
        <v>68</v>
      </c>
      <c r="D845" s="2">
        <v>25</v>
      </c>
      <c r="E845" s="2" t="str">
        <f>_xlfn.IFS(Table1[[#This Row],[Age]]&lt;30, "18-29", D845&lt;=45,"30-45", D845&lt;=55, "46-55", TRUE, "55+")</f>
        <v>18-29</v>
      </c>
      <c r="F845" s="2" t="s">
        <v>27</v>
      </c>
      <c r="G845" s="2" t="s">
        <v>28</v>
      </c>
      <c r="H845" s="2" t="s">
        <v>50</v>
      </c>
      <c r="I845" s="5">
        <v>3</v>
      </c>
      <c r="J845" s="5" t="str">
        <f>_xlfn.IFS(Table1[[#This Row],[Experience(Years)]]&lt;5, "Junior", I845&lt;=12, "Mid-Level", I845&lt;=20, "Senior", I845&lt;=30, "Super Senior", TRUE, "Expert")</f>
        <v>Junior</v>
      </c>
      <c r="K845" s="7">
        <v>75</v>
      </c>
      <c r="L845" s="7">
        <f>Table1[[#This Row],[Hourly Rate]]*1000</f>
        <v>75000</v>
      </c>
      <c r="M845" s="7" t="str">
        <f t="shared" si="13"/>
        <v>Standard</v>
      </c>
      <c r="N845" s="2">
        <f>IF(ISNUMBER(#REF!),#REF!, _xlfn.IFS( I845&gt;=30, 5, I845&gt;=25, 4.8, I845&gt;=15, 4, I845&gt;=10, 3.8, I845&gt;=5, 3, I845&gt;=2, 2.5, I845&gt;=0, 1.8, TRUE, 1.3))</f>
        <v>2.5</v>
      </c>
      <c r="O845" s="2" t="s">
        <v>2052</v>
      </c>
      <c r="P845" s="10">
        <v>0.83</v>
      </c>
      <c r="Q845" s="10" t="str">
        <f>_xlfn.IFS(Table1[[#This Row],[Rating]]&gt;=4, "Top Performer", Table1[[#This Row],[Rating]]&gt;=3, "Average", TRUE, "Needs Imporovement")</f>
        <v>Needs Imporovement</v>
      </c>
    </row>
    <row r="846" spans="1:17" x14ac:dyDescent="0.3">
      <c r="A846" s="2" t="s">
        <v>1731</v>
      </c>
      <c r="B846" s="2" t="s">
        <v>1732</v>
      </c>
      <c r="C846" s="2" t="s">
        <v>68</v>
      </c>
      <c r="D846" s="2">
        <v>54</v>
      </c>
      <c r="E846" s="2" t="str">
        <f>_xlfn.IFS(Table1[[#This Row],[Age]]&lt;30, "18-29", D846&lt;=45,"30-45", D846&lt;=55, "46-55", TRUE, "55+")</f>
        <v>46-55</v>
      </c>
      <c r="F846" s="2" t="s">
        <v>27</v>
      </c>
      <c r="G846" s="2" t="s">
        <v>28</v>
      </c>
      <c r="H846" s="2" t="s">
        <v>9</v>
      </c>
      <c r="I846" s="5">
        <v>17</v>
      </c>
      <c r="J846" s="5" t="str">
        <f>_xlfn.IFS(Table1[[#This Row],[Experience(Years)]]&lt;5, "Junior", I846&lt;=12, "Mid-Level", I846&lt;=20, "Senior", I846&lt;=30, "Super Senior", TRUE, "Expert")</f>
        <v>Senior</v>
      </c>
      <c r="K846" s="7">
        <v>100</v>
      </c>
      <c r="L846" s="7">
        <f>Table1[[#This Row],[Hourly Rate]]*1000</f>
        <v>100000</v>
      </c>
      <c r="M846" s="7" t="str">
        <f t="shared" si="13"/>
        <v>Premium</v>
      </c>
      <c r="N846" s="2">
        <f>IF(ISNUMBER(#REF!),#REF!, _xlfn.IFS( I846&gt;=30, 5, I846&gt;=25, 4.8, I846&gt;=15, 4, I846&gt;=10, 3.8, I846&gt;=5, 3, I846&gt;=2, 2.5, I846&gt;=0, 1.8, TRUE, 1.3))</f>
        <v>4</v>
      </c>
      <c r="O846" s="2" t="s">
        <v>2052</v>
      </c>
      <c r="P846" s="10">
        <v>0.71</v>
      </c>
      <c r="Q846" s="10" t="str">
        <f>_xlfn.IFS(Table1[[#This Row],[Rating]]&gt;=4, "Top Performer", Table1[[#This Row],[Rating]]&gt;=3, "Average", TRUE, "Needs Imporovement")</f>
        <v>Top Performer</v>
      </c>
    </row>
    <row r="847" spans="1:17" x14ac:dyDescent="0.3">
      <c r="A847" s="2" t="s">
        <v>1733</v>
      </c>
      <c r="B847" s="2" t="s">
        <v>1734</v>
      </c>
      <c r="C847" s="2" t="s">
        <v>68</v>
      </c>
      <c r="D847" s="2">
        <v>54</v>
      </c>
      <c r="E847" s="2" t="str">
        <f>_xlfn.IFS(Table1[[#This Row],[Age]]&lt;30, "18-29", D847&lt;=45,"30-45", D847&lt;=55, "46-55", TRUE, "55+")</f>
        <v>46-55</v>
      </c>
      <c r="F847" s="2" t="s">
        <v>2</v>
      </c>
      <c r="G847" s="2" t="s">
        <v>3</v>
      </c>
      <c r="H847" s="2" t="s">
        <v>50</v>
      </c>
      <c r="I847" s="5">
        <v>9</v>
      </c>
      <c r="J847" s="5" t="str">
        <f>_xlfn.IFS(Table1[[#This Row],[Experience(Years)]]&lt;5, "Junior", I847&lt;=12, "Mid-Level", I847&lt;=20, "Senior", I847&lt;=30, "Super Senior", TRUE, "Expert")</f>
        <v>Mid-Level</v>
      </c>
      <c r="K847" s="7">
        <v>20</v>
      </c>
      <c r="L847" s="7">
        <f>Table1[[#This Row],[Hourly Rate]]*1000</f>
        <v>20000</v>
      </c>
      <c r="M847" s="7" t="str">
        <f t="shared" si="13"/>
        <v>Budget</v>
      </c>
      <c r="N847" s="2">
        <f>IF(ISNUMBER(#REF!),#REF!, _xlfn.IFS( I847&gt;=30, 5, I847&gt;=25, 4.8, I847&gt;=15, 4, I847&gt;=10, 3.8, I847&gt;=5, 3, I847&gt;=2, 2.5, I847&gt;=0, 1.8, TRUE, 1.3))</f>
        <v>3</v>
      </c>
      <c r="O847" s="2" t="s">
        <v>2053</v>
      </c>
      <c r="P847" s="10">
        <v>0.96</v>
      </c>
      <c r="Q847" s="10" t="str">
        <f>_xlfn.IFS(Table1[[#This Row],[Rating]]&gt;=4, "Top Performer", Table1[[#This Row],[Rating]]&gt;=3, "Average", TRUE, "Needs Imporovement")</f>
        <v>Average</v>
      </c>
    </row>
    <row r="848" spans="1:17" x14ac:dyDescent="0.3">
      <c r="A848" s="2" t="s">
        <v>1735</v>
      </c>
      <c r="B848" s="2" t="s">
        <v>1736</v>
      </c>
      <c r="C848" s="2" t="s">
        <v>49</v>
      </c>
      <c r="D848" s="2">
        <v>53</v>
      </c>
      <c r="E848" s="2" t="str">
        <f>_xlfn.IFS(Table1[[#This Row],[Age]]&lt;30, "18-29", D848&lt;=45,"30-45", D848&lt;=55, "46-55", TRUE, "55+")</f>
        <v>46-55</v>
      </c>
      <c r="F848" s="2" t="s">
        <v>103</v>
      </c>
      <c r="G848" s="2" t="s">
        <v>104</v>
      </c>
      <c r="H848" s="2" t="s">
        <v>14</v>
      </c>
      <c r="I848" s="5">
        <v>16</v>
      </c>
      <c r="J848" s="5" t="str">
        <f>_xlfn.IFS(Table1[[#This Row],[Experience(Years)]]&lt;5, "Junior", I848&lt;=12, "Mid-Level", I848&lt;=20, "Senior", I848&lt;=30, "Super Senior", TRUE, "Expert")</f>
        <v>Senior</v>
      </c>
      <c r="K848" s="7">
        <v>40</v>
      </c>
      <c r="L848" s="7">
        <f>Table1[[#This Row],[Hourly Rate]]*1000</f>
        <v>40000</v>
      </c>
      <c r="M848" s="7" t="str">
        <f t="shared" si="13"/>
        <v>Standard</v>
      </c>
      <c r="N848" s="2">
        <f>IF(ISNUMBER(#REF!),#REF!, _xlfn.IFS( I848&gt;=30, 5, I848&gt;=25, 4.8, I848&gt;=15, 4, I848&gt;=10, 3.8, I848&gt;=5, 3, I848&gt;=2, 2.5, I848&gt;=0, 1.8, TRUE, 1.3))</f>
        <v>4</v>
      </c>
      <c r="O848" s="2" t="s">
        <v>2052</v>
      </c>
      <c r="P848" s="10">
        <v>0.85</v>
      </c>
      <c r="Q848" s="10" t="str">
        <f>_xlfn.IFS(Table1[[#This Row],[Rating]]&gt;=4, "Top Performer", Table1[[#This Row],[Rating]]&gt;=3, "Average", TRUE, "Needs Imporovement")</f>
        <v>Top Performer</v>
      </c>
    </row>
    <row r="849" spans="1:17" x14ac:dyDescent="0.3">
      <c r="A849" s="2" t="s">
        <v>1737</v>
      </c>
      <c r="B849" s="2" t="s">
        <v>1738</v>
      </c>
      <c r="C849" s="2" t="s">
        <v>68</v>
      </c>
      <c r="D849" s="2">
        <v>22</v>
      </c>
      <c r="E849" s="2" t="str">
        <f>_xlfn.IFS(Table1[[#This Row],[Age]]&lt;30, "18-29", D849&lt;=45,"30-45", D849&lt;=55, "46-55", TRUE, "55+")</f>
        <v>18-29</v>
      </c>
      <c r="F849" s="2" t="s">
        <v>92</v>
      </c>
      <c r="G849" s="2" t="s">
        <v>93</v>
      </c>
      <c r="H849" s="2" t="s">
        <v>24</v>
      </c>
      <c r="I849" s="5">
        <v>3</v>
      </c>
      <c r="J849" s="5" t="str">
        <f>_xlfn.IFS(Table1[[#This Row],[Experience(Years)]]&lt;5, "Junior", I849&lt;=12, "Mid-Level", I849&lt;=20, "Senior", I849&lt;=30, "Super Senior", TRUE, "Expert")</f>
        <v>Junior</v>
      </c>
      <c r="K849" s="7">
        <v>75</v>
      </c>
      <c r="L849" s="7">
        <f>Table1[[#This Row],[Hourly Rate]]*1000</f>
        <v>75000</v>
      </c>
      <c r="M849" s="7" t="str">
        <f t="shared" si="13"/>
        <v>Standard</v>
      </c>
      <c r="N849" s="2">
        <f>IF(ISNUMBER(#REF!),#REF!, _xlfn.IFS( I849&gt;=30, 5, I849&gt;=25, 4.8, I849&gt;=15, 4, I849&gt;=10, 3.8, I849&gt;=5, 3, I849&gt;=2, 2.5, I849&gt;=0, 1.8, TRUE, 1.3))</f>
        <v>2.5</v>
      </c>
      <c r="O849" s="2" t="s">
        <v>2053</v>
      </c>
      <c r="P849" s="10">
        <v>0.65</v>
      </c>
      <c r="Q849" s="10" t="str">
        <f>_xlfn.IFS(Table1[[#This Row],[Rating]]&gt;=4, "Top Performer", Table1[[#This Row],[Rating]]&gt;=3, "Average", TRUE, "Needs Imporovement")</f>
        <v>Needs Imporovement</v>
      </c>
    </row>
    <row r="850" spans="1:17" x14ac:dyDescent="0.3">
      <c r="A850" s="2" t="s">
        <v>1739</v>
      </c>
      <c r="B850" s="2" t="s">
        <v>1740</v>
      </c>
      <c r="C850" s="2" t="s">
        <v>49</v>
      </c>
      <c r="D850" s="2">
        <v>23</v>
      </c>
      <c r="E850" s="2" t="str">
        <f>_xlfn.IFS(Table1[[#This Row],[Age]]&lt;30, "18-29", D850&lt;=45,"30-45", D850&lt;=55, "46-55", TRUE, "55+")</f>
        <v>18-29</v>
      </c>
      <c r="F850" s="2" t="s">
        <v>145</v>
      </c>
      <c r="G850" s="2" t="s">
        <v>45</v>
      </c>
      <c r="H850" s="2" t="s">
        <v>29</v>
      </c>
      <c r="I850" s="5">
        <v>2</v>
      </c>
      <c r="J850" s="5" t="str">
        <f>_xlfn.IFS(Table1[[#This Row],[Experience(Years)]]&lt;5, "Junior", I850&lt;=12, "Mid-Level", I850&lt;=20, "Senior", I850&lt;=30, "Super Senior", TRUE, "Expert")</f>
        <v>Junior</v>
      </c>
      <c r="K850" s="7">
        <v>20</v>
      </c>
      <c r="L850" s="7">
        <f>Table1[[#This Row],[Hourly Rate]]*1000</f>
        <v>20000</v>
      </c>
      <c r="M850" s="7" t="str">
        <f t="shared" si="13"/>
        <v>Budget</v>
      </c>
      <c r="N850" s="2">
        <f>IF(ISNUMBER(#REF!),#REF!, _xlfn.IFS( I850&gt;=30, 5, I850&gt;=25, 4.8, I850&gt;=15, 4, I850&gt;=10, 3.8, I850&gt;=5, 3, I850&gt;=2, 2.5, I850&gt;=0, 1.8, TRUE, 1.3))</f>
        <v>2.5</v>
      </c>
      <c r="O850" s="2" t="s">
        <v>2052</v>
      </c>
      <c r="P850" s="10">
        <v>0.35</v>
      </c>
      <c r="Q850" s="10" t="str">
        <f>_xlfn.IFS(Table1[[#This Row],[Rating]]&gt;=4, "Top Performer", Table1[[#This Row],[Rating]]&gt;=3, "Average", TRUE, "Needs Imporovement")</f>
        <v>Needs Imporovement</v>
      </c>
    </row>
    <row r="851" spans="1:17" x14ac:dyDescent="0.3">
      <c r="A851" s="2" t="s">
        <v>1741</v>
      </c>
      <c r="B851" s="2" t="s">
        <v>1742</v>
      </c>
      <c r="C851" s="2" t="s">
        <v>49</v>
      </c>
      <c r="D851" s="2">
        <v>47</v>
      </c>
      <c r="E851" s="2" t="str">
        <f>_xlfn.IFS(Table1[[#This Row],[Age]]&lt;30, "18-29", D851&lt;=45,"30-45", D851&lt;=55, "46-55", TRUE, "55+")</f>
        <v>46-55</v>
      </c>
      <c r="F851" s="2" t="s">
        <v>103</v>
      </c>
      <c r="G851" s="2" t="s">
        <v>104</v>
      </c>
      <c r="H851" s="2" t="s">
        <v>50</v>
      </c>
      <c r="I851" s="5">
        <v>16</v>
      </c>
      <c r="J851" s="5" t="str">
        <f>_xlfn.IFS(Table1[[#This Row],[Experience(Years)]]&lt;5, "Junior", I851&lt;=12, "Mid-Level", I851&lt;=20, "Senior", I851&lt;=30, "Super Senior", TRUE, "Expert")</f>
        <v>Senior</v>
      </c>
      <c r="K851" s="7">
        <v>50</v>
      </c>
      <c r="L851" s="7">
        <f>Table1[[#This Row],[Hourly Rate]]*1000</f>
        <v>50000</v>
      </c>
      <c r="M851" s="7" t="str">
        <f t="shared" si="13"/>
        <v>Standard</v>
      </c>
      <c r="N851" s="2">
        <f>IF(ISNUMBER(#REF!),#REF!, _xlfn.IFS( I851&gt;=30, 5, I851&gt;=25, 4.8, I851&gt;=15, 4, I851&gt;=10, 3.8, I851&gt;=5, 3, I851&gt;=2, 2.5, I851&gt;=0, 1.8, TRUE, 1.3))</f>
        <v>4</v>
      </c>
      <c r="O851" s="2" t="s">
        <v>2052</v>
      </c>
      <c r="P851" s="10">
        <v>0.71</v>
      </c>
      <c r="Q851" s="10" t="str">
        <f>_xlfn.IFS(Table1[[#This Row],[Rating]]&gt;=4, "Top Performer", Table1[[#This Row],[Rating]]&gt;=3, "Average", TRUE, "Needs Imporovement")</f>
        <v>Top Performer</v>
      </c>
    </row>
    <row r="852" spans="1:17" x14ac:dyDescent="0.3">
      <c r="A852" s="2" t="s">
        <v>1743</v>
      </c>
      <c r="B852" s="2" t="s">
        <v>1744</v>
      </c>
      <c r="C852" s="2" t="s">
        <v>68</v>
      </c>
      <c r="D852" s="2">
        <v>24</v>
      </c>
      <c r="E852" s="2" t="str">
        <f>_xlfn.IFS(Table1[[#This Row],[Age]]&lt;30, "18-29", D852&lt;=45,"30-45", D852&lt;=55, "46-55", TRUE, "55+")</f>
        <v>18-29</v>
      </c>
      <c r="F852" s="2" t="s">
        <v>103</v>
      </c>
      <c r="G852" s="2" t="s">
        <v>104</v>
      </c>
      <c r="H852" s="2" t="s">
        <v>17</v>
      </c>
      <c r="I852" s="5">
        <v>6</v>
      </c>
      <c r="J852" s="5" t="str">
        <f>_xlfn.IFS(Table1[[#This Row],[Experience(Years)]]&lt;5, "Junior", I852&lt;=12, "Mid-Level", I852&lt;=20, "Senior", I852&lt;=30, "Super Senior", TRUE, "Expert")</f>
        <v>Mid-Level</v>
      </c>
      <c r="K852" s="7">
        <v>50</v>
      </c>
      <c r="L852" s="7">
        <f>Table1[[#This Row],[Hourly Rate]]*1000</f>
        <v>50000</v>
      </c>
      <c r="M852" s="7" t="str">
        <f t="shared" si="13"/>
        <v>Standard</v>
      </c>
      <c r="N852" s="2">
        <f>IF(ISNUMBER(#REF!),#REF!, _xlfn.IFS( I852&gt;=30, 5, I852&gt;=25, 4.8, I852&gt;=15, 4, I852&gt;=10, 3.8, I852&gt;=5, 3, I852&gt;=2, 2.5, I852&gt;=0, 1.8, TRUE, 1.3))</f>
        <v>3</v>
      </c>
      <c r="O852" s="2" t="s">
        <v>2053</v>
      </c>
      <c r="P852" s="10">
        <v>0.63</v>
      </c>
      <c r="Q852" s="10" t="str">
        <f>_xlfn.IFS(Table1[[#This Row],[Rating]]&gt;=4, "Top Performer", Table1[[#This Row],[Rating]]&gt;=3, "Average", TRUE, "Needs Imporovement")</f>
        <v>Average</v>
      </c>
    </row>
    <row r="853" spans="1:17" x14ac:dyDescent="0.3">
      <c r="A853" s="2" t="s">
        <v>1745</v>
      </c>
      <c r="B853" s="2" t="s">
        <v>1746</v>
      </c>
      <c r="C853" s="2" t="s">
        <v>49</v>
      </c>
      <c r="D853" s="2">
        <v>57</v>
      </c>
      <c r="E853" s="2" t="str">
        <f>_xlfn.IFS(Table1[[#This Row],[Age]]&lt;30, "18-29", D853&lt;=45,"30-45", D853&lt;=55, "46-55", TRUE, "55+")</f>
        <v>55+</v>
      </c>
      <c r="F853" s="2" t="s">
        <v>64</v>
      </c>
      <c r="G853" s="2" t="s">
        <v>65</v>
      </c>
      <c r="H853" s="2" t="s">
        <v>46</v>
      </c>
      <c r="I853" s="5">
        <v>10</v>
      </c>
      <c r="J853" s="5" t="str">
        <f>_xlfn.IFS(Table1[[#This Row],[Experience(Years)]]&lt;5, "Junior", I853&lt;=12, "Mid-Level", I853&lt;=20, "Senior", I853&lt;=30, "Super Senior", TRUE, "Expert")</f>
        <v>Mid-Level</v>
      </c>
      <c r="K853" s="7">
        <v>100</v>
      </c>
      <c r="L853" s="7">
        <f>Table1[[#This Row],[Hourly Rate]]*1000</f>
        <v>100000</v>
      </c>
      <c r="M853" s="7" t="str">
        <f t="shared" si="13"/>
        <v>Premium</v>
      </c>
      <c r="N853" s="2">
        <f>IF(ISNUMBER(#REF!),#REF!, _xlfn.IFS( I853&gt;=30, 5, I853&gt;=25, 4.8, I853&gt;=15, 4, I853&gt;=10, 3.8, I853&gt;=5, 3, I853&gt;=2, 2.5, I853&gt;=0, 1.8, TRUE, 1.3))</f>
        <v>3.8</v>
      </c>
      <c r="O853" s="2" t="s">
        <v>2052</v>
      </c>
      <c r="P853" s="10">
        <v>0.75</v>
      </c>
      <c r="Q853" s="10" t="str">
        <f>_xlfn.IFS(Table1[[#This Row],[Rating]]&gt;=4, "Top Performer", Table1[[#This Row],[Rating]]&gt;=3, "Average", TRUE, "Needs Imporovement")</f>
        <v>Average</v>
      </c>
    </row>
    <row r="854" spans="1:17" x14ac:dyDescent="0.3">
      <c r="A854" s="2" t="s">
        <v>1747</v>
      </c>
      <c r="B854" s="2" t="s">
        <v>1748</v>
      </c>
      <c r="C854" s="2" t="s">
        <v>68</v>
      </c>
      <c r="D854" s="2">
        <v>48</v>
      </c>
      <c r="E854" s="2" t="str">
        <f>_xlfn.IFS(Table1[[#This Row],[Age]]&lt;30, "18-29", D854&lt;=45,"30-45", D854&lt;=55, "46-55", TRUE, "55+")</f>
        <v>46-55</v>
      </c>
      <c r="F854" s="2" t="s">
        <v>156</v>
      </c>
      <c r="G854" s="2" t="s">
        <v>45</v>
      </c>
      <c r="H854" s="2" t="s">
        <v>14</v>
      </c>
      <c r="I854" s="5">
        <v>16</v>
      </c>
      <c r="J854" s="5" t="str">
        <f>_xlfn.IFS(Table1[[#This Row],[Experience(Years)]]&lt;5, "Junior", I854&lt;=12, "Mid-Level", I854&lt;=20, "Senior", I854&lt;=30, "Super Senior", TRUE, "Expert")</f>
        <v>Senior</v>
      </c>
      <c r="K854" s="7">
        <v>30</v>
      </c>
      <c r="L854" s="7">
        <f>Table1[[#This Row],[Hourly Rate]]*1000</f>
        <v>30000</v>
      </c>
      <c r="M854" s="7" t="str">
        <f t="shared" si="13"/>
        <v>Budget</v>
      </c>
      <c r="N854" s="2">
        <f>IF(ISNUMBER(#REF!),#REF!, _xlfn.IFS( I854&gt;=30, 5, I854&gt;=25, 4.8, I854&gt;=15, 4, I854&gt;=10, 3.8, I854&gt;=5, 3, I854&gt;=2, 2.5, I854&gt;=0, 1.8, TRUE, 1.3))</f>
        <v>4</v>
      </c>
      <c r="O854" s="2" t="s">
        <v>2052</v>
      </c>
      <c r="P854" s="10">
        <v>0.97</v>
      </c>
      <c r="Q854" s="10" t="str">
        <f>_xlfn.IFS(Table1[[#This Row],[Rating]]&gt;=4, "Top Performer", Table1[[#This Row],[Rating]]&gt;=3, "Average", TRUE, "Needs Imporovement")</f>
        <v>Top Performer</v>
      </c>
    </row>
    <row r="855" spans="1:17" x14ac:dyDescent="0.3">
      <c r="A855" s="2" t="s">
        <v>1749</v>
      </c>
      <c r="B855" s="2" t="s">
        <v>1750</v>
      </c>
      <c r="C855" s="2" t="s">
        <v>49</v>
      </c>
      <c r="D855" s="2">
        <v>21</v>
      </c>
      <c r="E855" s="2" t="str">
        <f>_xlfn.IFS(Table1[[#This Row],[Age]]&lt;30, "18-29", D855&lt;=45,"30-45", D855&lt;=55, "46-55", TRUE, "55+")</f>
        <v>18-29</v>
      </c>
      <c r="F855" s="2" t="s">
        <v>37</v>
      </c>
      <c r="G855" s="2" t="s">
        <v>38</v>
      </c>
      <c r="H855" s="2" t="s">
        <v>46</v>
      </c>
      <c r="I855" s="5">
        <v>0</v>
      </c>
      <c r="J855" s="5" t="str">
        <f>_xlfn.IFS(Table1[[#This Row],[Experience(Years)]]&lt;5, "Junior", I855&lt;=12, "Mid-Level", I855&lt;=20, "Senior", I855&lt;=30, "Super Senior", TRUE, "Expert")</f>
        <v>Junior</v>
      </c>
      <c r="K855" s="7">
        <v>100</v>
      </c>
      <c r="L855" s="7">
        <f>Table1[[#This Row],[Hourly Rate]]*1000</f>
        <v>100000</v>
      </c>
      <c r="M855" s="7" t="str">
        <f t="shared" si="13"/>
        <v>Premium</v>
      </c>
      <c r="N855" s="2">
        <f>IF(ISNUMBER(#REF!),#REF!, _xlfn.IFS( I855&gt;=30, 5, I855&gt;=25, 4.8, I855&gt;=15, 4, I855&gt;=10, 3.8, I855&gt;=5, 3, I855&gt;=2, 2.5, I855&gt;=0, 1.8, TRUE, 1.3))</f>
        <v>1.8</v>
      </c>
      <c r="O855" s="2" t="s">
        <v>2052</v>
      </c>
      <c r="P855" s="10">
        <v>0.3</v>
      </c>
      <c r="Q855" s="10" t="str">
        <f>_xlfn.IFS(Table1[[#This Row],[Rating]]&gt;=4, "Top Performer", Table1[[#This Row],[Rating]]&gt;=3, "Average", TRUE, "Needs Imporovement")</f>
        <v>Needs Imporovement</v>
      </c>
    </row>
    <row r="856" spans="1:17" x14ac:dyDescent="0.3">
      <c r="A856" s="2" t="s">
        <v>1751</v>
      </c>
      <c r="B856" s="2" t="s">
        <v>1752</v>
      </c>
      <c r="C856" s="2" t="s">
        <v>68</v>
      </c>
      <c r="D856" s="2">
        <v>33</v>
      </c>
      <c r="E856" s="2" t="str">
        <f>_xlfn.IFS(Table1[[#This Row],[Age]]&lt;30, "18-29", D856&lt;=45,"30-45", D856&lt;=55, "46-55", TRUE, "55+")</f>
        <v>30-45</v>
      </c>
      <c r="F856" s="2" t="s">
        <v>57</v>
      </c>
      <c r="G856" s="2" t="s">
        <v>58</v>
      </c>
      <c r="H856" s="2" t="s">
        <v>24</v>
      </c>
      <c r="I856" s="5">
        <v>13</v>
      </c>
      <c r="J856" s="5" t="str">
        <f>_xlfn.IFS(Table1[[#This Row],[Experience(Years)]]&lt;5, "Junior", I856&lt;=12, "Mid-Level", I856&lt;=20, "Senior", I856&lt;=30, "Super Senior", TRUE, "Expert")</f>
        <v>Senior</v>
      </c>
      <c r="K856" s="7">
        <v>75</v>
      </c>
      <c r="L856" s="7">
        <f>Table1[[#This Row],[Hourly Rate]]*1000</f>
        <v>75000</v>
      </c>
      <c r="M856" s="7" t="str">
        <f t="shared" si="13"/>
        <v>Standard</v>
      </c>
      <c r="N856" s="2">
        <f>IF(ISNUMBER(#REF!),#REF!, _xlfn.IFS( I856&gt;=30, 5, I856&gt;=25, 4.8, I856&gt;=15, 4, I856&gt;=10, 3.8, I856&gt;=5, 3, I856&gt;=2, 2.5, I856&gt;=0, 1.8, TRUE, 1.3))</f>
        <v>3.8</v>
      </c>
      <c r="O856" s="2" t="s">
        <v>2053</v>
      </c>
      <c r="P856" s="10">
        <v>0.75</v>
      </c>
      <c r="Q856" s="10" t="str">
        <f>_xlfn.IFS(Table1[[#This Row],[Rating]]&gt;=4, "Top Performer", Table1[[#This Row],[Rating]]&gt;=3, "Average", TRUE, "Needs Imporovement")</f>
        <v>Average</v>
      </c>
    </row>
    <row r="857" spans="1:17" x14ac:dyDescent="0.3">
      <c r="A857" s="2" t="s">
        <v>1753</v>
      </c>
      <c r="B857" s="2" t="s">
        <v>1754</v>
      </c>
      <c r="C857" s="2" t="s">
        <v>68</v>
      </c>
      <c r="D857" s="2">
        <v>41</v>
      </c>
      <c r="E857" s="2" t="str">
        <f>_xlfn.IFS(Table1[[#This Row],[Age]]&lt;30, "18-29", D857&lt;=45,"30-45", D857&lt;=55, "46-55", TRUE, "55+")</f>
        <v>30-45</v>
      </c>
      <c r="F857" s="2" t="s">
        <v>37</v>
      </c>
      <c r="G857" s="2" t="s">
        <v>38</v>
      </c>
      <c r="H857" s="2" t="s">
        <v>61</v>
      </c>
      <c r="I857" s="5">
        <v>12</v>
      </c>
      <c r="J857" s="5" t="str">
        <f>_xlfn.IFS(Table1[[#This Row],[Experience(Years)]]&lt;5, "Junior", I857&lt;=12, "Mid-Level", I857&lt;=20, "Senior", I857&lt;=30, "Super Senior", TRUE, "Expert")</f>
        <v>Mid-Level</v>
      </c>
      <c r="K857" s="7">
        <v>40</v>
      </c>
      <c r="L857" s="7">
        <f>Table1[[#This Row],[Hourly Rate]]*1000</f>
        <v>40000</v>
      </c>
      <c r="M857" s="7" t="str">
        <f t="shared" si="13"/>
        <v>Standard</v>
      </c>
      <c r="N857" s="2">
        <f>IF(ISNUMBER(#REF!),#REF!, _xlfn.IFS( I857&gt;=30, 5, I857&gt;=25, 4.8, I857&gt;=15, 4, I857&gt;=10, 3.8, I857&gt;=5, 3, I857&gt;=2, 2.5, I857&gt;=0, 1.8, TRUE, 1.3))</f>
        <v>3.8</v>
      </c>
      <c r="O857" s="2" t="s">
        <v>2052</v>
      </c>
      <c r="P857" s="10">
        <v>0.85</v>
      </c>
      <c r="Q857" s="10" t="str">
        <f>_xlfn.IFS(Table1[[#This Row],[Rating]]&gt;=4, "Top Performer", Table1[[#This Row],[Rating]]&gt;=3, "Average", TRUE, "Needs Imporovement")</f>
        <v>Average</v>
      </c>
    </row>
    <row r="858" spans="1:17" x14ac:dyDescent="0.3">
      <c r="A858" s="2" t="s">
        <v>1755</v>
      </c>
      <c r="B858" s="2" t="s">
        <v>1756</v>
      </c>
      <c r="C858" s="2" t="s">
        <v>68</v>
      </c>
      <c r="D858" s="2">
        <v>40</v>
      </c>
      <c r="E858" s="2" t="str">
        <f>_xlfn.IFS(Table1[[#This Row],[Age]]&lt;30, "18-29", D858&lt;=45,"30-45", D858&lt;=55, "46-55", TRUE, "55+")</f>
        <v>30-45</v>
      </c>
      <c r="F858" s="2" t="s">
        <v>7</v>
      </c>
      <c r="G858" s="2" t="s">
        <v>8</v>
      </c>
      <c r="H858" s="2" t="s">
        <v>50</v>
      </c>
      <c r="I858" s="5">
        <v>13</v>
      </c>
      <c r="J858" s="5" t="str">
        <f>_xlfn.IFS(Table1[[#This Row],[Experience(Years)]]&lt;5, "Junior", I858&lt;=12, "Mid-Level", I858&lt;=20, "Senior", I858&lt;=30, "Super Senior", TRUE, "Expert")</f>
        <v>Senior</v>
      </c>
      <c r="K858" s="7">
        <v>50</v>
      </c>
      <c r="L858" s="7">
        <f>Table1[[#This Row],[Hourly Rate]]*1000</f>
        <v>50000</v>
      </c>
      <c r="M858" s="7" t="str">
        <f t="shared" si="13"/>
        <v>Standard</v>
      </c>
      <c r="N858" s="2">
        <f>IF(ISNUMBER(#REF!),#REF!, _xlfn.IFS( I858&gt;=30, 5, I858&gt;=25, 4.8, I858&gt;=15, 4, I858&gt;=10, 3.8, I858&gt;=5, 3, I858&gt;=2, 2.5, I858&gt;=0, 1.8, TRUE, 1.3))</f>
        <v>3.8</v>
      </c>
      <c r="O858" s="2" t="s">
        <v>2052</v>
      </c>
      <c r="P858" s="10">
        <v>0.82</v>
      </c>
      <c r="Q858" s="10" t="str">
        <f>_xlfn.IFS(Table1[[#This Row],[Rating]]&gt;=4, "Top Performer", Table1[[#This Row],[Rating]]&gt;=3, "Average", TRUE, "Needs Imporovement")</f>
        <v>Average</v>
      </c>
    </row>
    <row r="859" spans="1:17" x14ac:dyDescent="0.3">
      <c r="A859" s="2" t="s">
        <v>1757</v>
      </c>
      <c r="B859" s="2" t="s">
        <v>1758</v>
      </c>
      <c r="C859" s="2" t="s">
        <v>49</v>
      </c>
      <c r="D859" s="2">
        <v>40</v>
      </c>
      <c r="E859" s="2" t="str">
        <f>_xlfn.IFS(Table1[[#This Row],[Age]]&lt;30, "18-29", D859&lt;=45,"30-45", D859&lt;=55, "46-55", TRUE, "55+")</f>
        <v>30-45</v>
      </c>
      <c r="F859" s="2" t="s">
        <v>145</v>
      </c>
      <c r="G859" s="2" t="s">
        <v>45</v>
      </c>
      <c r="H859" s="2" t="s">
        <v>14</v>
      </c>
      <c r="I859" s="5">
        <v>22</v>
      </c>
      <c r="J859" s="5" t="str">
        <f>_xlfn.IFS(Table1[[#This Row],[Experience(Years)]]&lt;5, "Junior", I859&lt;=12, "Mid-Level", I859&lt;=20, "Senior", I859&lt;=30, "Super Senior", TRUE, "Expert")</f>
        <v>Super Senior</v>
      </c>
      <c r="K859" s="7">
        <v>40</v>
      </c>
      <c r="L859" s="7">
        <f>Table1[[#This Row],[Hourly Rate]]*1000</f>
        <v>40000</v>
      </c>
      <c r="M859" s="7" t="str">
        <f t="shared" si="13"/>
        <v>Standard</v>
      </c>
      <c r="N859" s="2">
        <f>IF(ISNUMBER(#REF!),#REF!, _xlfn.IFS( I859&gt;=30, 5, I859&gt;=25, 4.8, I859&gt;=15, 4, I859&gt;=10, 3.8, I859&gt;=5, 3, I859&gt;=2, 2.5, I859&gt;=0, 1.8, TRUE, 1.3))</f>
        <v>4</v>
      </c>
      <c r="O859" s="2" t="s">
        <v>2052</v>
      </c>
      <c r="P859" s="10">
        <v>0.95</v>
      </c>
      <c r="Q859" s="10" t="str">
        <f>_xlfn.IFS(Table1[[#This Row],[Rating]]&gt;=4, "Top Performer", Table1[[#This Row],[Rating]]&gt;=3, "Average", TRUE, "Needs Imporovement")</f>
        <v>Top Performer</v>
      </c>
    </row>
    <row r="860" spans="1:17" x14ac:dyDescent="0.3">
      <c r="A860" s="2" t="s">
        <v>1759</v>
      </c>
      <c r="B860" s="2" t="s">
        <v>1760</v>
      </c>
      <c r="C860" s="2" t="s">
        <v>49</v>
      </c>
      <c r="D860" s="2">
        <v>20</v>
      </c>
      <c r="E860" s="2" t="str">
        <f>_xlfn.IFS(Table1[[#This Row],[Age]]&lt;30, "18-29", D860&lt;=45,"30-45", D860&lt;=55, "46-55", TRUE, "55+")</f>
        <v>18-29</v>
      </c>
      <c r="F860" s="2" t="s">
        <v>34</v>
      </c>
      <c r="G860" s="2" t="s">
        <v>8</v>
      </c>
      <c r="H860" s="2" t="s">
        <v>14</v>
      </c>
      <c r="I860" s="5">
        <v>1</v>
      </c>
      <c r="J860" s="5" t="str">
        <f>_xlfn.IFS(Table1[[#This Row],[Experience(Years)]]&lt;5, "Junior", I860&lt;=12, "Mid-Level", I860&lt;=20, "Senior", I860&lt;=30, "Super Senior", TRUE, "Expert")</f>
        <v>Junior</v>
      </c>
      <c r="K860" s="7">
        <v>20</v>
      </c>
      <c r="L860" s="7">
        <f>Table1[[#This Row],[Hourly Rate]]*1000</f>
        <v>20000</v>
      </c>
      <c r="M860" s="7" t="str">
        <f t="shared" si="13"/>
        <v>Budget</v>
      </c>
      <c r="N860" s="2">
        <f>IF(ISNUMBER(#REF!),#REF!, _xlfn.IFS( I860&gt;=30, 5, I860&gt;=25, 4.8, I860&gt;=15, 4, I860&gt;=10, 3.8, I860&gt;=5, 3, I860&gt;=2, 2.5, I860&gt;=0, 1.8, TRUE, 1.3))</f>
        <v>1.8</v>
      </c>
      <c r="O860" s="2" t="s">
        <v>2052</v>
      </c>
      <c r="P860" s="10">
        <v>0.94</v>
      </c>
      <c r="Q860" s="10" t="str">
        <f>_xlfn.IFS(Table1[[#This Row],[Rating]]&gt;=4, "Top Performer", Table1[[#This Row],[Rating]]&gt;=3, "Average", TRUE, "Needs Imporovement")</f>
        <v>Needs Imporovement</v>
      </c>
    </row>
    <row r="861" spans="1:17" x14ac:dyDescent="0.3">
      <c r="A861" s="2" t="s">
        <v>1761</v>
      </c>
      <c r="B861" s="2" t="s">
        <v>1762</v>
      </c>
      <c r="C861" s="2" t="s">
        <v>49</v>
      </c>
      <c r="D861" s="2">
        <v>42</v>
      </c>
      <c r="E861" s="2" t="str">
        <f>_xlfn.IFS(Table1[[#This Row],[Age]]&lt;30, "18-29", D861&lt;=45,"30-45", D861&lt;=55, "46-55", TRUE, "55+")</f>
        <v>30-45</v>
      </c>
      <c r="F861" s="2" t="s">
        <v>145</v>
      </c>
      <c r="G861" s="2" t="s">
        <v>45</v>
      </c>
      <c r="H861" s="2" t="s">
        <v>17</v>
      </c>
      <c r="I861" s="5">
        <v>7</v>
      </c>
      <c r="J861" s="5" t="str">
        <f>_xlfn.IFS(Table1[[#This Row],[Experience(Years)]]&lt;5, "Junior", I861&lt;=12, "Mid-Level", I861&lt;=20, "Senior", I861&lt;=30, "Super Senior", TRUE, "Expert")</f>
        <v>Mid-Level</v>
      </c>
      <c r="K861" s="7">
        <v>50</v>
      </c>
      <c r="L861" s="7">
        <f>Table1[[#This Row],[Hourly Rate]]*1000</f>
        <v>50000</v>
      </c>
      <c r="M861" s="7" t="str">
        <f t="shared" si="13"/>
        <v>Standard</v>
      </c>
      <c r="N861" s="2">
        <f>IF(ISNUMBER(#REF!),#REF!, _xlfn.IFS( I861&gt;=30, 5, I861&gt;=25, 4.8, I861&gt;=15, 4, I861&gt;=10, 3.8, I861&gt;=5, 3, I861&gt;=2, 2.5, I861&gt;=0, 1.8, TRUE, 1.3))</f>
        <v>3</v>
      </c>
      <c r="O861" s="2" t="str">
        <f>IF(AND( Table1[[#This Row],[Rating]]&gt;=3.5, Table1[[#This Row],[Experience(Years)]]&gt;=15), "Active", "Inactive")</f>
        <v>Inactive</v>
      </c>
      <c r="P861" s="10">
        <v>0.96</v>
      </c>
      <c r="Q861" s="10" t="str">
        <f>_xlfn.IFS(Table1[[#This Row],[Rating]]&gt;=4, "Top Performer", Table1[[#This Row],[Rating]]&gt;=3, "Average", TRUE, "Needs Imporovement")</f>
        <v>Average</v>
      </c>
    </row>
    <row r="862" spans="1:17" x14ac:dyDescent="0.3">
      <c r="A862" s="2" t="s">
        <v>1763</v>
      </c>
      <c r="B862" s="2" t="s">
        <v>1764</v>
      </c>
      <c r="C862" s="2" t="s">
        <v>68</v>
      </c>
      <c r="D862" s="2">
        <v>32</v>
      </c>
      <c r="E862" s="2" t="str">
        <f>_xlfn.IFS(Table1[[#This Row],[Age]]&lt;30, "18-29", D862&lt;=45,"30-45", D862&lt;=55, "46-55", TRUE, "55+")</f>
        <v>30-45</v>
      </c>
      <c r="F862" s="2" t="s">
        <v>96</v>
      </c>
      <c r="G862" s="2" t="s">
        <v>8</v>
      </c>
      <c r="H862" s="2" t="s">
        <v>4</v>
      </c>
      <c r="I862" s="5">
        <v>12</v>
      </c>
      <c r="J862" s="5" t="str">
        <f>_xlfn.IFS(Table1[[#This Row],[Experience(Years)]]&lt;5, "Junior", I862&lt;=12, "Mid-Level", I862&lt;=20, "Senior", I862&lt;=30, "Super Senior", TRUE, "Expert")</f>
        <v>Mid-Level</v>
      </c>
      <c r="K862" s="7">
        <v>40</v>
      </c>
      <c r="L862" s="7">
        <f>Table1[[#This Row],[Hourly Rate]]*1000</f>
        <v>40000</v>
      </c>
      <c r="M862" s="7" t="str">
        <f t="shared" si="13"/>
        <v>Standard</v>
      </c>
      <c r="N862" s="2">
        <f>IF(ISNUMBER(#REF!),#REF!, _xlfn.IFS( I862&gt;=30, 5, I862&gt;=25, 4.8, I862&gt;=15, 4, I862&gt;=10, 3.8, I862&gt;=5, 3, I862&gt;=2, 2.5, I862&gt;=0, 1.8, TRUE, 1.3))</f>
        <v>3.8</v>
      </c>
      <c r="O862" s="2" t="s">
        <v>2053</v>
      </c>
      <c r="P862" s="10">
        <v>0.63</v>
      </c>
      <c r="Q862" s="10" t="str">
        <f>_xlfn.IFS(Table1[[#This Row],[Rating]]&gt;=4, "Top Performer", Table1[[#This Row],[Rating]]&gt;=3, "Average", TRUE, "Needs Imporovement")</f>
        <v>Average</v>
      </c>
    </row>
    <row r="863" spans="1:17" x14ac:dyDescent="0.3">
      <c r="A863" s="2" t="s">
        <v>1765</v>
      </c>
      <c r="B863" s="2" t="s">
        <v>1766</v>
      </c>
      <c r="C863" s="2" t="s">
        <v>68</v>
      </c>
      <c r="D863" s="2">
        <v>60</v>
      </c>
      <c r="E863" s="2" t="str">
        <f>_xlfn.IFS(Table1[[#This Row],[Age]]&lt;30, "18-29", D863&lt;=45,"30-45", D863&lt;=55, "46-55", TRUE, "55+")</f>
        <v>55+</v>
      </c>
      <c r="F863" s="2" t="s">
        <v>57</v>
      </c>
      <c r="G863" s="2" t="s">
        <v>58</v>
      </c>
      <c r="H863" s="2" t="s">
        <v>24</v>
      </c>
      <c r="I863" s="5">
        <v>3</v>
      </c>
      <c r="J863" s="5" t="str">
        <f>_xlfn.IFS(Table1[[#This Row],[Experience(Years)]]&lt;5, "Junior", I863&lt;=12, "Mid-Level", I863&lt;=20, "Senior", I863&lt;=30, "Super Senior", TRUE, "Expert")</f>
        <v>Junior</v>
      </c>
      <c r="K863" s="7">
        <v>20</v>
      </c>
      <c r="L863" s="7">
        <f>Table1[[#This Row],[Hourly Rate]]*1000</f>
        <v>20000</v>
      </c>
      <c r="M863" s="7" t="str">
        <f t="shared" si="13"/>
        <v>Budget</v>
      </c>
      <c r="N863" s="2">
        <f>IF(ISNUMBER(#REF!),#REF!, _xlfn.IFS( I863&gt;=30, 5, I863&gt;=25, 4.8, I863&gt;=15, 4, I863&gt;=10, 3.8, I863&gt;=5, 3, I863&gt;=2, 2.5, I863&gt;=0, 1.8, TRUE, 1.3))</f>
        <v>2.5</v>
      </c>
      <c r="O863" s="2" t="s">
        <v>2052</v>
      </c>
      <c r="P863" s="10">
        <v>0.6</v>
      </c>
      <c r="Q863" s="10" t="str">
        <f>_xlfn.IFS(Table1[[#This Row],[Rating]]&gt;=4, "Top Performer", Table1[[#This Row],[Rating]]&gt;=3, "Average", TRUE, "Needs Imporovement")</f>
        <v>Needs Imporovement</v>
      </c>
    </row>
    <row r="864" spans="1:17" x14ac:dyDescent="0.3">
      <c r="A864" s="2" t="s">
        <v>1767</v>
      </c>
      <c r="B864" s="2" t="s">
        <v>1768</v>
      </c>
      <c r="C864" s="2" t="s">
        <v>68</v>
      </c>
      <c r="D864" s="2">
        <v>46</v>
      </c>
      <c r="E864" s="2" t="str">
        <f>_xlfn.IFS(Table1[[#This Row],[Age]]&lt;30, "18-29", D864&lt;=45,"30-45", D864&lt;=55, "46-55", TRUE, "55+")</f>
        <v>46-55</v>
      </c>
      <c r="F864" s="2" t="s">
        <v>107</v>
      </c>
      <c r="G864" s="2" t="s">
        <v>108</v>
      </c>
      <c r="H864" s="2" t="s">
        <v>83</v>
      </c>
      <c r="I864" s="5">
        <v>12</v>
      </c>
      <c r="J864" s="5" t="str">
        <f>_xlfn.IFS(Table1[[#This Row],[Experience(Years)]]&lt;5, "Junior", I864&lt;=12, "Mid-Level", I864&lt;=20, "Senior", I864&lt;=30, "Super Senior", TRUE, "Expert")</f>
        <v>Mid-Level</v>
      </c>
      <c r="K864" s="7">
        <v>50</v>
      </c>
      <c r="L864" s="7">
        <f>Table1[[#This Row],[Hourly Rate]]*1000</f>
        <v>50000</v>
      </c>
      <c r="M864" s="7" t="str">
        <f t="shared" si="13"/>
        <v>Standard</v>
      </c>
      <c r="N864" s="2">
        <f>IF(ISNUMBER(#REF!),#REF!, _xlfn.IFS( I864&gt;=30, 5, I864&gt;=25, 4.8, I864&gt;=15, 4, I864&gt;=10, 3.8, I864&gt;=5, 3, I864&gt;=2, 2.5, I864&gt;=0, 1.8, TRUE, 1.3))</f>
        <v>3.8</v>
      </c>
      <c r="O864" s="2" t="s">
        <v>2053</v>
      </c>
      <c r="P864" s="10">
        <v>0.77</v>
      </c>
      <c r="Q864" s="10" t="str">
        <f>_xlfn.IFS(Table1[[#This Row],[Rating]]&gt;=4, "Top Performer", Table1[[#This Row],[Rating]]&gt;=3, "Average", TRUE, "Needs Imporovement")</f>
        <v>Average</v>
      </c>
    </row>
    <row r="865" spans="1:17" x14ac:dyDescent="0.3">
      <c r="A865" s="2" t="s">
        <v>1769</v>
      </c>
      <c r="B865" s="2" t="s">
        <v>1770</v>
      </c>
      <c r="C865" s="2" t="s">
        <v>68</v>
      </c>
      <c r="D865" s="2">
        <v>29</v>
      </c>
      <c r="E865" s="2" t="str">
        <f>_xlfn.IFS(Table1[[#This Row],[Age]]&lt;30, "18-29", D865&lt;=45,"30-45", D865&lt;=55, "46-55", TRUE, "55+")</f>
        <v>18-29</v>
      </c>
      <c r="F865" s="2" t="s">
        <v>141</v>
      </c>
      <c r="G865" s="2" t="s">
        <v>142</v>
      </c>
      <c r="H865" s="2" t="s">
        <v>61</v>
      </c>
      <c r="I865" s="5">
        <v>0</v>
      </c>
      <c r="J865" s="5" t="str">
        <f>_xlfn.IFS(Table1[[#This Row],[Experience(Years)]]&lt;5, "Junior", I865&lt;=12, "Mid-Level", I865&lt;=20, "Senior", I865&lt;=30, "Super Senior", TRUE, "Expert")</f>
        <v>Junior</v>
      </c>
      <c r="K865" s="7">
        <v>30</v>
      </c>
      <c r="L865" s="7">
        <f>Table1[[#This Row],[Hourly Rate]]*1000</f>
        <v>30000</v>
      </c>
      <c r="M865" s="7" t="str">
        <f t="shared" si="13"/>
        <v>Budget</v>
      </c>
      <c r="N865" s="2">
        <f>IF(ISNUMBER(#REF!),#REF!, _xlfn.IFS( I865&gt;=30, 5, I865&gt;=25, 4.8, I865&gt;=15, 4, I865&gt;=10, 3.8, I865&gt;=5, 3, I865&gt;=2, 2.5, I865&gt;=0, 1.8, TRUE, 1.3))</f>
        <v>1.8</v>
      </c>
      <c r="O865" s="2" t="s">
        <v>2052</v>
      </c>
      <c r="P865" s="10">
        <v>0.63</v>
      </c>
      <c r="Q865" s="10" t="str">
        <f>_xlfn.IFS(Table1[[#This Row],[Rating]]&gt;=4, "Top Performer", Table1[[#This Row],[Rating]]&gt;=3, "Average", TRUE, "Needs Imporovement")</f>
        <v>Needs Imporovement</v>
      </c>
    </row>
    <row r="866" spans="1:17" x14ac:dyDescent="0.3">
      <c r="A866" s="2" t="s">
        <v>1771</v>
      </c>
      <c r="B866" s="2" t="s">
        <v>1772</v>
      </c>
      <c r="C866" s="2" t="s">
        <v>49</v>
      </c>
      <c r="D866" s="2">
        <v>39</v>
      </c>
      <c r="E866" s="2" t="str">
        <f>_xlfn.IFS(Table1[[#This Row],[Age]]&lt;30, "18-29", D866&lt;=45,"30-45", D866&lt;=55, "46-55", TRUE, "55+")</f>
        <v>30-45</v>
      </c>
      <c r="F866" s="2" t="s">
        <v>77</v>
      </c>
      <c r="G866" s="2" t="s">
        <v>78</v>
      </c>
      <c r="H866" s="2" t="s">
        <v>9</v>
      </c>
      <c r="I866" s="5">
        <v>18</v>
      </c>
      <c r="J866" s="5" t="str">
        <f>_xlfn.IFS(Table1[[#This Row],[Experience(Years)]]&lt;5, "Junior", I866&lt;=12, "Mid-Level", I866&lt;=20, "Senior", I866&lt;=30, "Super Senior", TRUE, "Expert")</f>
        <v>Senior</v>
      </c>
      <c r="K866" s="7">
        <v>20</v>
      </c>
      <c r="L866" s="7">
        <f>Table1[[#This Row],[Hourly Rate]]*1000</f>
        <v>20000</v>
      </c>
      <c r="M866" s="7" t="str">
        <f t="shared" si="13"/>
        <v>Budget</v>
      </c>
      <c r="N866" s="2">
        <f>IF(ISNUMBER(#REF!),#REF!, _xlfn.IFS( I866&gt;=30, 5, I866&gt;=25, 4.8, I866&gt;=15, 4, I866&gt;=10, 3.8, I866&gt;=5, 3, I866&gt;=2, 2.5, I866&gt;=0, 1.8, TRUE, 1.3))</f>
        <v>4</v>
      </c>
      <c r="O866" s="2" t="s">
        <v>2053</v>
      </c>
      <c r="P866" s="10">
        <v>0.61</v>
      </c>
      <c r="Q866" s="10" t="str">
        <f>_xlfn.IFS(Table1[[#This Row],[Rating]]&gt;=4, "Top Performer", Table1[[#This Row],[Rating]]&gt;=3, "Average", TRUE, "Needs Imporovement")</f>
        <v>Top Performer</v>
      </c>
    </row>
    <row r="867" spans="1:17" x14ac:dyDescent="0.3">
      <c r="A867" s="2" t="s">
        <v>1773</v>
      </c>
      <c r="B867" s="2" t="s">
        <v>1774</v>
      </c>
      <c r="C867" s="2" t="s">
        <v>68</v>
      </c>
      <c r="D867" s="2">
        <v>55</v>
      </c>
      <c r="E867" s="2" t="str">
        <f>_xlfn.IFS(Table1[[#This Row],[Age]]&lt;30, "18-29", D867&lt;=45,"30-45", D867&lt;=55, "46-55", TRUE, "55+")</f>
        <v>46-55</v>
      </c>
      <c r="F867" s="2" t="s">
        <v>92</v>
      </c>
      <c r="G867" s="2" t="s">
        <v>93</v>
      </c>
      <c r="H867" s="2" t="s">
        <v>9</v>
      </c>
      <c r="I867" s="5">
        <v>2</v>
      </c>
      <c r="J867" s="5" t="str">
        <f>_xlfn.IFS(Table1[[#This Row],[Experience(Years)]]&lt;5, "Junior", I867&lt;=12, "Mid-Level", I867&lt;=20, "Senior", I867&lt;=30, "Super Senior", TRUE, "Expert")</f>
        <v>Junior</v>
      </c>
      <c r="K867" s="7">
        <v>50</v>
      </c>
      <c r="L867" s="7">
        <f>Table1[[#This Row],[Hourly Rate]]*1000</f>
        <v>50000</v>
      </c>
      <c r="M867" s="7" t="str">
        <f t="shared" si="13"/>
        <v>Standard</v>
      </c>
      <c r="N867" s="2">
        <f>IF(ISNUMBER(#REF!),#REF!, _xlfn.IFS( I867&gt;=30, 5, I867&gt;=25, 4.8, I867&gt;=15, 4, I867&gt;=10, 3.8, I867&gt;=5, 3, I867&gt;=2, 2.5, I867&gt;=0, 1.8, TRUE, 1.3))</f>
        <v>2.5</v>
      </c>
      <c r="O867" s="2" t="s">
        <v>2053</v>
      </c>
      <c r="P867" s="10">
        <v>0.88</v>
      </c>
      <c r="Q867" s="10" t="str">
        <f>_xlfn.IFS(Table1[[#This Row],[Rating]]&gt;=4, "Top Performer", Table1[[#This Row],[Rating]]&gt;=3, "Average", TRUE, "Needs Imporovement")</f>
        <v>Needs Imporovement</v>
      </c>
    </row>
    <row r="868" spans="1:17" x14ac:dyDescent="0.3">
      <c r="A868" s="2" t="s">
        <v>1775</v>
      </c>
      <c r="B868" s="2" t="s">
        <v>1776</v>
      </c>
      <c r="C868" s="2" t="s">
        <v>68</v>
      </c>
      <c r="D868" s="2">
        <v>55</v>
      </c>
      <c r="E868" s="2" t="str">
        <f>_xlfn.IFS(Table1[[#This Row],[Age]]&lt;30, "18-29", D868&lt;=45,"30-45", D868&lt;=55, "46-55", TRUE, "55+")</f>
        <v>46-55</v>
      </c>
      <c r="F868" s="2" t="s">
        <v>37</v>
      </c>
      <c r="G868" s="2" t="s">
        <v>38</v>
      </c>
      <c r="H868" s="2" t="s">
        <v>50</v>
      </c>
      <c r="I868" s="5">
        <v>15</v>
      </c>
      <c r="J868" s="5" t="str">
        <f>_xlfn.IFS(Table1[[#This Row],[Experience(Years)]]&lt;5, "Junior", I868&lt;=12, "Mid-Level", I868&lt;=20, "Senior", I868&lt;=30, "Super Senior", TRUE, "Expert")</f>
        <v>Senior</v>
      </c>
      <c r="K868" s="7">
        <v>100</v>
      </c>
      <c r="L868" s="7">
        <f>Table1[[#This Row],[Hourly Rate]]*1000</f>
        <v>100000</v>
      </c>
      <c r="M868" s="7" t="str">
        <f t="shared" si="13"/>
        <v>Premium</v>
      </c>
      <c r="N868" s="2">
        <f>IF(ISNUMBER(#REF!),#REF!, _xlfn.IFS( I868&gt;=30, 5, I868&gt;=25, 4.8, I868&gt;=15, 4, I868&gt;=10, 3.8, I868&gt;=5, 3, I868&gt;=2, 2.5, I868&gt;=0, 1.8, TRUE, 1.3))</f>
        <v>4</v>
      </c>
      <c r="O868" s="2" t="s">
        <v>2053</v>
      </c>
      <c r="P868" s="10">
        <v>0.69</v>
      </c>
      <c r="Q868" s="10" t="str">
        <f>_xlfn.IFS(Table1[[#This Row],[Rating]]&gt;=4, "Top Performer", Table1[[#This Row],[Rating]]&gt;=3, "Average", TRUE, "Needs Imporovement")</f>
        <v>Top Performer</v>
      </c>
    </row>
    <row r="869" spans="1:17" x14ac:dyDescent="0.3">
      <c r="A869" s="2" t="s">
        <v>1777</v>
      </c>
      <c r="B869" s="2" t="s">
        <v>1778</v>
      </c>
      <c r="C869" s="2" t="s">
        <v>68</v>
      </c>
      <c r="D869" s="2">
        <v>40</v>
      </c>
      <c r="E869" s="2" t="str">
        <f>_xlfn.IFS(Table1[[#This Row],[Age]]&lt;30, "18-29", D869&lt;=45,"30-45", D869&lt;=55, "46-55", TRUE, "55+")</f>
        <v>30-45</v>
      </c>
      <c r="F869" s="2" t="s">
        <v>27</v>
      </c>
      <c r="G869" s="2" t="s">
        <v>28</v>
      </c>
      <c r="H869" s="2" t="s">
        <v>29</v>
      </c>
      <c r="I869" s="5">
        <v>2</v>
      </c>
      <c r="J869" s="5" t="str">
        <f>_xlfn.IFS(Table1[[#This Row],[Experience(Years)]]&lt;5, "Junior", I869&lt;=12, "Mid-Level", I869&lt;=20, "Senior", I869&lt;=30, "Super Senior", TRUE, "Expert")</f>
        <v>Junior</v>
      </c>
      <c r="K869" s="7">
        <v>75</v>
      </c>
      <c r="L869" s="7">
        <f>Table1[[#This Row],[Hourly Rate]]*1000</f>
        <v>75000</v>
      </c>
      <c r="M869" s="7" t="str">
        <f t="shared" si="13"/>
        <v>Standard</v>
      </c>
      <c r="N869" s="2">
        <f>IF(ISNUMBER(#REF!),#REF!, _xlfn.IFS( I869&gt;=30, 5, I869&gt;=25, 4.8, I869&gt;=15, 4, I869&gt;=10, 3.8, I869&gt;=5, 3, I869&gt;=2, 2.5, I869&gt;=0, 1.8, TRUE, 1.3))</f>
        <v>2.5</v>
      </c>
      <c r="O869" s="2" t="s">
        <v>2053</v>
      </c>
      <c r="P869" s="10">
        <v>0.35</v>
      </c>
      <c r="Q869" s="10" t="str">
        <f>_xlfn.IFS(Table1[[#This Row],[Rating]]&gt;=4, "Top Performer", Table1[[#This Row],[Rating]]&gt;=3, "Average", TRUE, "Needs Imporovement")</f>
        <v>Needs Imporovement</v>
      </c>
    </row>
    <row r="870" spans="1:17" x14ac:dyDescent="0.3">
      <c r="A870" s="2" t="s">
        <v>1779</v>
      </c>
      <c r="B870" s="2" t="s">
        <v>1780</v>
      </c>
      <c r="C870" s="2" t="s">
        <v>49</v>
      </c>
      <c r="D870" s="2">
        <v>56</v>
      </c>
      <c r="E870" s="2" t="str">
        <f>_xlfn.IFS(Table1[[#This Row],[Age]]&lt;30, "18-29", D870&lt;=45,"30-45", D870&lt;=55, "46-55", TRUE, "55+")</f>
        <v>55+</v>
      </c>
      <c r="F870" s="2" t="s">
        <v>141</v>
      </c>
      <c r="G870" s="2" t="s">
        <v>142</v>
      </c>
      <c r="H870" s="2" t="s">
        <v>46</v>
      </c>
      <c r="I870" s="5">
        <v>35</v>
      </c>
      <c r="J870" s="5" t="str">
        <f>_xlfn.IFS(Table1[[#This Row],[Experience(Years)]]&lt;5, "Junior", I870&lt;=12, "Mid-Level", I870&lt;=20, "Senior", I870&lt;=30, "Super Senior", TRUE, "Expert")</f>
        <v>Expert</v>
      </c>
      <c r="K870" s="7">
        <v>40</v>
      </c>
      <c r="L870" s="7">
        <f>Table1[[#This Row],[Hourly Rate]]*1000</f>
        <v>40000</v>
      </c>
      <c r="M870" s="7" t="str">
        <f t="shared" si="13"/>
        <v>Standard</v>
      </c>
      <c r="N870" s="2">
        <f>IF(ISNUMBER(#REF!),#REF!, _xlfn.IFS( I870&gt;=30, 5, I870&gt;=25, 4.8, I870&gt;=15, 4, I870&gt;=10, 3.8, I870&gt;=5, 3, I870&gt;=2, 2.5, I870&gt;=0, 1.8, TRUE, 1.3))</f>
        <v>5</v>
      </c>
      <c r="O870" s="2" t="s">
        <v>2053</v>
      </c>
      <c r="P870" s="10">
        <v>0.82</v>
      </c>
      <c r="Q870" s="10" t="str">
        <f>_xlfn.IFS(Table1[[#This Row],[Rating]]&gt;=4, "Top Performer", Table1[[#This Row],[Rating]]&gt;=3, "Average", TRUE, "Needs Imporovement")</f>
        <v>Top Performer</v>
      </c>
    </row>
    <row r="871" spans="1:17" x14ac:dyDescent="0.3">
      <c r="A871" s="2" t="s">
        <v>1781</v>
      </c>
      <c r="B871" s="2" t="s">
        <v>1782</v>
      </c>
      <c r="C871" s="2" t="s">
        <v>68</v>
      </c>
      <c r="D871" s="2">
        <v>57</v>
      </c>
      <c r="E871" s="2" t="str">
        <f>_xlfn.IFS(Table1[[#This Row],[Age]]&lt;30, "18-29", D871&lt;=45,"30-45", D871&lt;=55, "46-55", TRUE, "55+")</f>
        <v>55+</v>
      </c>
      <c r="F871" s="2" t="s">
        <v>145</v>
      </c>
      <c r="G871" s="2" t="s">
        <v>45</v>
      </c>
      <c r="H871" s="2" t="s">
        <v>9</v>
      </c>
      <c r="I871" s="5">
        <v>21</v>
      </c>
      <c r="J871" s="5" t="str">
        <f>_xlfn.IFS(Table1[[#This Row],[Experience(Years)]]&lt;5, "Junior", I871&lt;=12, "Mid-Level", I871&lt;=20, "Senior", I871&lt;=30, "Super Senior", TRUE, "Expert")</f>
        <v>Super Senior</v>
      </c>
      <c r="K871" s="7">
        <v>75</v>
      </c>
      <c r="L871" s="7">
        <f>Table1[[#This Row],[Hourly Rate]]*1000</f>
        <v>75000</v>
      </c>
      <c r="M871" s="7" t="str">
        <f t="shared" si="13"/>
        <v>Standard</v>
      </c>
      <c r="N871" s="2">
        <f>IF(ISNUMBER(#REF!),#REF!, _xlfn.IFS( I871&gt;=30, 5, I871&gt;=25, 4.8, I871&gt;=15, 4, I871&gt;=10, 3.8, I871&gt;=5, 3, I871&gt;=2, 2.5, I871&gt;=0, 1.8, TRUE, 1.3))</f>
        <v>4</v>
      </c>
      <c r="O871" s="2" t="s">
        <v>2052</v>
      </c>
      <c r="P871" s="10">
        <v>0.96</v>
      </c>
      <c r="Q871" s="10" t="str">
        <f>_xlfn.IFS(Table1[[#This Row],[Rating]]&gt;=4, "Top Performer", Table1[[#This Row],[Rating]]&gt;=3, "Average", TRUE, "Needs Imporovement")</f>
        <v>Top Performer</v>
      </c>
    </row>
    <row r="872" spans="1:17" x14ac:dyDescent="0.3">
      <c r="A872" s="2" t="s">
        <v>1783</v>
      </c>
      <c r="B872" s="2" t="s">
        <v>1784</v>
      </c>
      <c r="C872" s="2" t="s">
        <v>49</v>
      </c>
      <c r="D872" s="2">
        <v>56</v>
      </c>
      <c r="E872" s="2" t="str">
        <f>_xlfn.IFS(Table1[[#This Row],[Age]]&lt;30, "18-29", D872&lt;=45,"30-45", D872&lt;=55, "46-55", TRUE, "55+")</f>
        <v>55+</v>
      </c>
      <c r="F872" s="2" t="s">
        <v>92</v>
      </c>
      <c r="G872" s="2" t="s">
        <v>93</v>
      </c>
      <c r="H872" s="2" t="s">
        <v>61</v>
      </c>
      <c r="I872" s="5">
        <v>3</v>
      </c>
      <c r="J872" s="5" t="str">
        <f>_xlfn.IFS(Table1[[#This Row],[Experience(Years)]]&lt;5, "Junior", I872&lt;=12, "Mid-Level", I872&lt;=20, "Senior", I872&lt;=30, "Super Senior", TRUE, "Expert")</f>
        <v>Junior</v>
      </c>
      <c r="K872" s="7">
        <v>40</v>
      </c>
      <c r="L872" s="7">
        <f>Table1[[#This Row],[Hourly Rate]]*1000</f>
        <v>40000</v>
      </c>
      <c r="M872" s="7" t="str">
        <f t="shared" si="13"/>
        <v>Standard</v>
      </c>
      <c r="N872" s="2">
        <f>IF(ISNUMBER(#REF!),#REF!, _xlfn.IFS( I872&gt;=30, 5, I872&gt;=25, 4.8, I872&gt;=15, 4, I872&gt;=10, 3.8, I872&gt;=5, 3, I872&gt;=2, 2.5, I872&gt;=0, 1.8, TRUE, 1.3))</f>
        <v>2.5</v>
      </c>
      <c r="O872" s="2" t="s">
        <v>2052</v>
      </c>
      <c r="P872" s="10">
        <v>0.71</v>
      </c>
      <c r="Q872" s="10" t="str">
        <f>_xlfn.IFS(Table1[[#This Row],[Rating]]&gt;=4, "Top Performer", Table1[[#This Row],[Rating]]&gt;=3, "Average", TRUE, "Needs Imporovement")</f>
        <v>Needs Imporovement</v>
      </c>
    </row>
    <row r="873" spans="1:17" x14ac:dyDescent="0.3">
      <c r="A873" s="2" t="s">
        <v>1785</v>
      </c>
      <c r="B873" s="2" t="s">
        <v>1786</v>
      </c>
      <c r="C873" s="2" t="s">
        <v>49</v>
      </c>
      <c r="D873" s="2">
        <v>49</v>
      </c>
      <c r="E873" s="2" t="str">
        <f>_xlfn.IFS(Table1[[#This Row],[Age]]&lt;30, "18-29", D873&lt;=45,"30-45", D873&lt;=55, "46-55", TRUE, "55+")</f>
        <v>46-55</v>
      </c>
      <c r="F873" s="2" t="s">
        <v>12</v>
      </c>
      <c r="G873" s="2" t="s">
        <v>13</v>
      </c>
      <c r="H873" s="2" t="s">
        <v>9</v>
      </c>
      <c r="I873" s="5">
        <v>24</v>
      </c>
      <c r="J873" s="5" t="str">
        <f>_xlfn.IFS(Table1[[#This Row],[Experience(Years)]]&lt;5, "Junior", I873&lt;=12, "Mid-Level", I873&lt;=20, "Senior", I873&lt;=30, "Super Senior", TRUE, "Expert")</f>
        <v>Super Senior</v>
      </c>
      <c r="K873" s="7">
        <v>75</v>
      </c>
      <c r="L873" s="7">
        <f>Table1[[#This Row],[Hourly Rate]]*1000</f>
        <v>75000</v>
      </c>
      <c r="M873" s="7" t="str">
        <f t="shared" si="13"/>
        <v>Standard</v>
      </c>
      <c r="N873" s="2">
        <f>IF(ISNUMBER(#REF!),#REF!, _xlfn.IFS( I873&gt;=30, 5, I873&gt;=25, 4.8, I873&gt;=15, 4, I873&gt;=10, 3.8, I873&gt;=5, 3, I873&gt;=2, 2.5, I873&gt;=0, 1.8, TRUE, 1.3))</f>
        <v>4</v>
      </c>
      <c r="O873" s="2" t="s">
        <v>2053</v>
      </c>
      <c r="P873" s="10">
        <v>0.77</v>
      </c>
      <c r="Q873" s="10" t="str">
        <f>_xlfn.IFS(Table1[[#This Row],[Rating]]&gt;=4, "Top Performer", Table1[[#This Row],[Rating]]&gt;=3, "Average", TRUE, "Needs Imporovement")</f>
        <v>Top Performer</v>
      </c>
    </row>
    <row r="874" spans="1:17" x14ac:dyDescent="0.3">
      <c r="A874" s="2" t="s">
        <v>1787</v>
      </c>
      <c r="B874" s="2" t="s">
        <v>1788</v>
      </c>
      <c r="C874" s="2" t="s">
        <v>68</v>
      </c>
      <c r="D874" s="2">
        <v>26</v>
      </c>
      <c r="E874" s="2" t="str">
        <f>_xlfn.IFS(Table1[[#This Row],[Age]]&lt;30, "18-29", D874&lt;=45,"30-45", D874&lt;=55, "46-55", TRUE, "55+")</f>
        <v>18-29</v>
      </c>
      <c r="F874" s="2" t="s">
        <v>156</v>
      </c>
      <c r="G874" s="2" t="s">
        <v>45</v>
      </c>
      <c r="H874" s="2" t="s">
        <v>4</v>
      </c>
      <c r="I874" s="5">
        <v>3</v>
      </c>
      <c r="J874" s="5" t="str">
        <f>_xlfn.IFS(Table1[[#This Row],[Experience(Years)]]&lt;5, "Junior", I874&lt;=12, "Mid-Level", I874&lt;=20, "Senior", I874&lt;=30, "Super Senior", TRUE, "Expert")</f>
        <v>Junior</v>
      </c>
      <c r="K874" s="7">
        <v>75</v>
      </c>
      <c r="L874" s="7">
        <f>Table1[[#This Row],[Hourly Rate]]*1000</f>
        <v>75000</v>
      </c>
      <c r="M874" s="7" t="str">
        <f t="shared" si="13"/>
        <v>Standard</v>
      </c>
      <c r="N874" s="2">
        <f>IF(ISNUMBER(#REF!),#REF!, _xlfn.IFS( I874&gt;=30, 5, I874&gt;=25, 4.8, I874&gt;=15, 4, I874&gt;=10, 3.8, I874&gt;=5, 3, I874&gt;=2, 2.5, I874&gt;=0, 1.8, TRUE, 1.3))</f>
        <v>2.5</v>
      </c>
      <c r="O874" s="2" t="s">
        <v>2053</v>
      </c>
      <c r="P874" s="10">
        <v>0.35</v>
      </c>
      <c r="Q874" s="10" t="str">
        <f>_xlfn.IFS(Table1[[#This Row],[Rating]]&gt;=4, "Top Performer", Table1[[#This Row],[Rating]]&gt;=3, "Average", TRUE, "Needs Imporovement")</f>
        <v>Needs Imporovement</v>
      </c>
    </row>
    <row r="875" spans="1:17" x14ac:dyDescent="0.3">
      <c r="A875" s="2" t="s">
        <v>1789</v>
      </c>
      <c r="B875" s="2" t="s">
        <v>1790</v>
      </c>
      <c r="C875" s="2" t="s">
        <v>49</v>
      </c>
      <c r="D875" s="2">
        <v>36</v>
      </c>
      <c r="E875" s="2" t="str">
        <f>_xlfn.IFS(Table1[[#This Row],[Age]]&lt;30, "18-29", D875&lt;=45,"30-45", D875&lt;=55, "46-55", TRUE, "55+")</f>
        <v>30-45</v>
      </c>
      <c r="F875" s="2" t="s">
        <v>81</v>
      </c>
      <c r="G875" s="2" t="s">
        <v>82</v>
      </c>
      <c r="H875" s="2" t="s">
        <v>46</v>
      </c>
      <c r="I875" s="5">
        <v>0</v>
      </c>
      <c r="J875" s="5" t="str">
        <f>_xlfn.IFS(Table1[[#This Row],[Experience(Years)]]&lt;5, "Junior", I875&lt;=12, "Mid-Level", I875&lt;=20, "Senior", I875&lt;=30, "Super Senior", TRUE, "Expert")</f>
        <v>Junior</v>
      </c>
      <c r="K875" s="7">
        <v>75</v>
      </c>
      <c r="L875" s="7">
        <f>Table1[[#This Row],[Hourly Rate]]*1000</f>
        <v>75000</v>
      </c>
      <c r="M875" s="7" t="str">
        <f t="shared" si="13"/>
        <v>Standard</v>
      </c>
      <c r="N875" s="2">
        <f>IF(ISNUMBER(#REF!),#REF!, _xlfn.IFS( I875&gt;=30, 5, I875&gt;=25, 4.8, I875&gt;=15, 4, I875&gt;=10, 3.8, I875&gt;=5, 3, I875&gt;=2, 2.5, I875&gt;=0, 1.8, TRUE, 1.3))</f>
        <v>1.8</v>
      </c>
      <c r="O875" s="2" t="str">
        <f>IF(AND( Table1[[#This Row],[Rating]]&gt;=3.5, Table1[[#This Row],[Experience(Years)]]&gt;=15), "Active", "Inactive")</f>
        <v>Inactive</v>
      </c>
      <c r="P875" s="10">
        <v>0.73</v>
      </c>
      <c r="Q875" s="10" t="str">
        <f>_xlfn.IFS(Table1[[#This Row],[Rating]]&gt;=4, "Top Performer", Table1[[#This Row],[Rating]]&gt;=3, "Average", TRUE, "Needs Imporovement")</f>
        <v>Needs Imporovement</v>
      </c>
    </row>
    <row r="876" spans="1:17" x14ac:dyDescent="0.3">
      <c r="A876" s="2" t="s">
        <v>1791</v>
      </c>
      <c r="B876" s="2" t="s">
        <v>1792</v>
      </c>
      <c r="C876" s="2" t="s">
        <v>68</v>
      </c>
      <c r="D876" s="2">
        <v>20</v>
      </c>
      <c r="E876" s="2" t="str">
        <f>_xlfn.IFS(Table1[[#This Row],[Age]]&lt;30, "18-29", D876&lt;=45,"30-45", D876&lt;=55, "46-55", TRUE, "55+")</f>
        <v>18-29</v>
      </c>
      <c r="F876" s="2" t="s">
        <v>92</v>
      </c>
      <c r="G876" s="2" t="s">
        <v>93</v>
      </c>
      <c r="H876" s="2" t="s">
        <v>17</v>
      </c>
      <c r="I876" s="5">
        <v>2</v>
      </c>
      <c r="J876" s="5" t="str">
        <f>_xlfn.IFS(Table1[[#This Row],[Experience(Years)]]&lt;5, "Junior", I876&lt;=12, "Mid-Level", I876&lt;=20, "Senior", I876&lt;=30, "Super Senior", TRUE, "Expert")</f>
        <v>Junior</v>
      </c>
      <c r="K876" s="7">
        <v>30</v>
      </c>
      <c r="L876" s="7">
        <f>Table1[[#This Row],[Hourly Rate]]*1000</f>
        <v>30000</v>
      </c>
      <c r="M876" s="7" t="str">
        <f t="shared" si="13"/>
        <v>Budget</v>
      </c>
      <c r="N876" s="2">
        <f>IF(ISNUMBER(#REF!),#REF!, _xlfn.IFS( I876&gt;=30, 5, I876&gt;=25, 4.8, I876&gt;=15, 4, I876&gt;=10, 3.8, I876&gt;=5, 3, I876&gt;=2, 2.5, I876&gt;=0, 1.8, TRUE, 1.3))</f>
        <v>2.5</v>
      </c>
      <c r="O876" s="2" t="s">
        <v>2053</v>
      </c>
      <c r="P876" s="10">
        <v>0.6</v>
      </c>
      <c r="Q876" s="10" t="str">
        <f>_xlfn.IFS(Table1[[#This Row],[Rating]]&gt;=4, "Top Performer", Table1[[#This Row],[Rating]]&gt;=3, "Average", TRUE, "Needs Imporovement")</f>
        <v>Needs Imporovement</v>
      </c>
    </row>
    <row r="877" spans="1:17" x14ac:dyDescent="0.3">
      <c r="A877" s="2" t="s">
        <v>1793</v>
      </c>
      <c r="B877" s="2" t="s">
        <v>1794</v>
      </c>
      <c r="C877" s="2" t="s">
        <v>49</v>
      </c>
      <c r="D877" s="2">
        <v>40</v>
      </c>
      <c r="E877" s="2" t="str">
        <f>_xlfn.IFS(Table1[[#This Row],[Age]]&lt;30, "18-29", D877&lt;=45,"30-45", D877&lt;=55, "46-55", TRUE, "55+")</f>
        <v>30-45</v>
      </c>
      <c r="F877" s="2" t="s">
        <v>156</v>
      </c>
      <c r="G877" s="2" t="s">
        <v>45</v>
      </c>
      <c r="H877" s="2" t="s">
        <v>24</v>
      </c>
      <c r="I877" s="5">
        <v>10</v>
      </c>
      <c r="J877" s="5" t="str">
        <f>_xlfn.IFS(Table1[[#This Row],[Experience(Years)]]&lt;5, "Junior", I877&lt;=12, "Mid-Level", I877&lt;=20, "Senior", I877&lt;=30, "Super Senior", TRUE, "Expert")</f>
        <v>Mid-Level</v>
      </c>
      <c r="K877" s="7">
        <v>80</v>
      </c>
      <c r="L877" s="7">
        <f>Table1[[#This Row],[Hourly Rate]]*1000</f>
        <v>80000</v>
      </c>
      <c r="M877" s="7" t="str">
        <f t="shared" si="13"/>
        <v>Standard</v>
      </c>
      <c r="N877" s="2">
        <f>IF(ISNUMBER(#REF!),#REF!, _xlfn.IFS( I877&gt;=30, 5, I877&gt;=25, 4.8, I877&gt;=15, 4, I877&gt;=10, 3.8, I877&gt;=5, 3, I877&gt;=2, 2.5, I877&gt;=0, 1.8, TRUE, 1.3))</f>
        <v>3.8</v>
      </c>
      <c r="O877" s="2" t="s">
        <v>2053</v>
      </c>
      <c r="P877" s="10">
        <v>0.67</v>
      </c>
      <c r="Q877" s="10" t="str">
        <f>_xlfn.IFS(Table1[[#This Row],[Rating]]&gt;=4, "Top Performer", Table1[[#This Row],[Rating]]&gt;=3, "Average", TRUE, "Needs Imporovement")</f>
        <v>Average</v>
      </c>
    </row>
    <row r="878" spans="1:17" x14ac:dyDescent="0.3">
      <c r="A878" s="2" t="s">
        <v>1795</v>
      </c>
      <c r="B878" s="2" t="s">
        <v>1796</v>
      </c>
      <c r="C878" s="2" t="s">
        <v>49</v>
      </c>
      <c r="D878" s="2">
        <v>30</v>
      </c>
      <c r="E878" s="2" t="str">
        <f>_xlfn.IFS(Table1[[#This Row],[Age]]&lt;30, "18-29", D878&lt;=45,"30-45", D878&lt;=55, "46-55", TRUE, "55+")</f>
        <v>30-45</v>
      </c>
      <c r="F878" s="2" t="s">
        <v>64</v>
      </c>
      <c r="G878" s="2" t="s">
        <v>65</v>
      </c>
      <c r="H878" s="2" t="s">
        <v>9</v>
      </c>
      <c r="I878" s="5">
        <v>6</v>
      </c>
      <c r="J878" s="5" t="str">
        <f>_xlfn.IFS(Table1[[#This Row],[Experience(Years)]]&lt;5, "Junior", I878&lt;=12, "Mid-Level", I878&lt;=20, "Senior", I878&lt;=30, "Super Senior", TRUE, "Expert")</f>
        <v>Mid-Level</v>
      </c>
      <c r="K878" s="7">
        <v>75</v>
      </c>
      <c r="L878" s="7">
        <f>Table1[[#This Row],[Hourly Rate]]*1000</f>
        <v>75000</v>
      </c>
      <c r="M878" s="7" t="str">
        <f t="shared" si="13"/>
        <v>Standard</v>
      </c>
      <c r="N878" s="2">
        <f>IF(ISNUMBER(#REF!),#REF!, _xlfn.IFS( I878&gt;=30, 5, I878&gt;=25, 4.8, I878&gt;=15, 4, I878&gt;=10, 3.8, I878&gt;=5, 3, I878&gt;=2, 2.5, I878&gt;=0, 1.8, TRUE, 1.3))</f>
        <v>3</v>
      </c>
      <c r="O878" s="2" t="s">
        <v>2052</v>
      </c>
      <c r="P878" s="10">
        <v>0.8</v>
      </c>
      <c r="Q878" s="10" t="str">
        <f>_xlfn.IFS(Table1[[#This Row],[Rating]]&gt;=4, "Top Performer", Table1[[#This Row],[Rating]]&gt;=3, "Average", TRUE, "Needs Imporovement")</f>
        <v>Average</v>
      </c>
    </row>
    <row r="879" spans="1:17" x14ac:dyDescent="0.3">
      <c r="A879" s="2" t="s">
        <v>1797</v>
      </c>
      <c r="B879" s="2" t="s">
        <v>1798</v>
      </c>
      <c r="C879" s="2" t="s">
        <v>68</v>
      </c>
      <c r="D879" s="2">
        <v>51</v>
      </c>
      <c r="E879" s="2" t="str">
        <f>_xlfn.IFS(Table1[[#This Row],[Age]]&lt;30, "18-29", D879&lt;=45,"30-45", D879&lt;=55, "46-55", TRUE, "55+")</f>
        <v>46-55</v>
      </c>
      <c r="F879" s="2" t="s">
        <v>7</v>
      </c>
      <c r="G879" s="2" t="s">
        <v>8</v>
      </c>
      <c r="H879" s="2" t="s">
        <v>14</v>
      </c>
      <c r="I879" s="5">
        <v>21</v>
      </c>
      <c r="J879" s="5" t="str">
        <f>_xlfn.IFS(Table1[[#This Row],[Experience(Years)]]&lt;5, "Junior", I879&lt;=12, "Mid-Level", I879&lt;=20, "Senior", I879&lt;=30, "Super Senior", TRUE, "Expert")</f>
        <v>Super Senior</v>
      </c>
      <c r="K879" s="7">
        <v>20</v>
      </c>
      <c r="L879" s="7">
        <f>Table1[[#This Row],[Hourly Rate]]*1000</f>
        <v>20000</v>
      </c>
      <c r="M879" s="7" t="str">
        <f t="shared" si="13"/>
        <v>Budget</v>
      </c>
      <c r="N879" s="2">
        <f>IF(ISNUMBER(#REF!),#REF!, _xlfn.IFS( I879&gt;=30, 5, I879&gt;=25, 4.8, I879&gt;=15, 4, I879&gt;=10, 3.8, I879&gt;=5, 3, I879&gt;=2, 2.5, I879&gt;=0, 1.8, TRUE, 1.3))</f>
        <v>4</v>
      </c>
      <c r="O879" s="2" t="s">
        <v>2053</v>
      </c>
      <c r="P879" s="10">
        <v>0.85</v>
      </c>
      <c r="Q879" s="10" t="str">
        <f>_xlfn.IFS(Table1[[#This Row],[Rating]]&gt;=4, "Top Performer", Table1[[#This Row],[Rating]]&gt;=3, "Average", TRUE, "Needs Imporovement")</f>
        <v>Top Performer</v>
      </c>
    </row>
    <row r="880" spans="1:17" x14ac:dyDescent="0.3">
      <c r="A880" s="2" t="s">
        <v>1799</v>
      </c>
      <c r="B880" s="2" t="s">
        <v>1800</v>
      </c>
      <c r="C880" s="2" t="s">
        <v>68</v>
      </c>
      <c r="D880" s="2">
        <v>46</v>
      </c>
      <c r="E880" s="2" t="str">
        <f>_xlfn.IFS(Table1[[#This Row],[Age]]&lt;30, "18-29", D880&lt;=45,"30-45", D880&lt;=55, "46-55", TRUE, "55+")</f>
        <v>46-55</v>
      </c>
      <c r="F880" s="2" t="s">
        <v>34</v>
      </c>
      <c r="G880" s="2" t="s">
        <v>8</v>
      </c>
      <c r="H880" s="2" t="s">
        <v>46</v>
      </c>
      <c r="I880" s="5">
        <v>24</v>
      </c>
      <c r="J880" s="5" t="str">
        <f>_xlfn.IFS(Table1[[#This Row],[Experience(Years)]]&lt;5, "Junior", I880&lt;=12, "Mid-Level", I880&lt;=20, "Senior", I880&lt;=30, "Super Senior", TRUE, "Expert")</f>
        <v>Super Senior</v>
      </c>
      <c r="K880" s="7">
        <v>40</v>
      </c>
      <c r="L880" s="7">
        <f>Table1[[#This Row],[Hourly Rate]]*1000</f>
        <v>40000</v>
      </c>
      <c r="M880" s="7" t="str">
        <f t="shared" si="13"/>
        <v>Standard</v>
      </c>
      <c r="N880" s="2">
        <f>IF(ISNUMBER(#REF!),#REF!, _xlfn.IFS( I880&gt;=30, 5, I880&gt;=25, 4.8, I880&gt;=15, 4, I880&gt;=10, 3.8, I880&gt;=5, 3, I880&gt;=2, 2.5, I880&gt;=0, 1.8, TRUE, 1.3))</f>
        <v>4</v>
      </c>
      <c r="O880" s="2" t="s">
        <v>2053</v>
      </c>
      <c r="P880" s="10">
        <v>0.87</v>
      </c>
      <c r="Q880" s="10" t="str">
        <f>_xlfn.IFS(Table1[[#This Row],[Rating]]&gt;=4, "Top Performer", Table1[[#This Row],[Rating]]&gt;=3, "Average", TRUE, "Needs Imporovement")</f>
        <v>Top Performer</v>
      </c>
    </row>
    <row r="881" spans="1:17" x14ac:dyDescent="0.3">
      <c r="A881" s="2" t="s">
        <v>1801</v>
      </c>
      <c r="B881" s="2" t="s">
        <v>1802</v>
      </c>
      <c r="C881" s="2" t="s">
        <v>49</v>
      </c>
      <c r="D881" s="2">
        <v>25</v>
      </c>
      <c r="E881" s="2" t="str">
        <f>_xlfn.IFS(Table1[[#This Row],[Age]]&lt;30, "18-29", D881&lt;=45,"30-45", D881&lt;=55, "46-55", TRUE, "55+")</f>
        <v>18-29</v>
      </c>
      <c r="F881" s="2" t="s">
        <v>81</v>
      </c>
      <c r="G881" s="2" t="s">
        <v>82</v>
      </c>
      <c r="H881" s="2" t="s">
        <v>24</v>
      </c>
      <c r="I881" s="5">
        <v>6</v>
      </c>
      <c r="J881" s="5" t="str">
        <f>_xlfn.IFS(Table1[[#This Row],[Experience(Years)]]&lt;5, "Junior", I881&lt;=12, "Mid-Level", I881&lt;=20, "Senior", I881&lt;=30, "Super Senior", TRUE, "Expert")</f>
        <v>Mid-Level</v>
      </c>
      <c r="K881" s="7">
        <v>20</v>
      </c>
      <c r="L881" s="7">
        <f>Table1[[#This Row],[Hourly Rate]]*1000</f>
        <v>20000</v>
      </c>
      <c r="M881" s="7" t="str">
        <f t="shared" si="13"/>
        <v>Budget</v>
      </c>
      <c r="N881" s="2">
        <f>IF(ISNUMBER(#REF!),#REF!, _xlfn.IFS( I881&gt;=30, 5, I881&gt;=25, 4.8, I881&gt;=15, 4, I881&gt;=10, 3.8, I881&gt;=5, 3, I881&gt;=2, 2.5, I881&gt;=0, 1.8, TRUE, 1.3))</f>
        <v>3</v>
      </c>
      <c r="O881" s="2" t="s">
        <v>2052</v>
      </c>
      <c r="P881" s="10">
        <v>0.6</v>
      </c>
      <c r="Q881" s="10" t="str">
        <f>_xlfn.IFS(Table1[[#This Row],[Rating]]&gt;=4, "Top Performer", Table1[[#This Row],[Rating]]&gt;=3, "Average", TRUE, "Needs Imporovement")</f>
        <v>Average</v>
      </c>
    </row>
    <row r="882" spans="1:17" x14ac:dyDescent="0.3">
      <c r="A882" s="2" t="s">
        <v>1803</v>
      </c>
      <c r="B882" s="2" t="s">
        <v>1804</v>
      </c>
      <c r="C882" s="2" t="s">
        <v>68</v>
      </c>
      <c r="D882" s="2">
        <v>53</v>
      </c>
      <c r="E882" s="2" t="str">
        <f>_xlfn.IFS(Table1[[#This Row],[Age]]&lt;30, "18-29", D882&lt;=45,"30-45", D882&lt;=55, "46-55", TRUE, "55+")</f>
        <v>46-55</v>
      </c>
      <c r="F882" s="2" t="s">
        <v>22</v>
      </c>
      <c r="G882" s="2" t="s">
        <v>23</v>
      </c>
      <c r="H882" s="2" t="s">
        <v>17</v>
      </c>
      <c r="I882" s="5">
        <v>32</v>
      </c>
      <c r="J882" s="5" t="str">
        <f>_xlfn.IFS(Table1[[#This Row],[Experience(Years)]]&lt;5, "Junior", I882&lt;=12, "Mid-Level", I882&lt;=20, "Senior", I882&lt;=30, "Super Senior", TRUE, "Expert")</f>
        <v>Expert</v>
      </c>
      <c r="K882" s="7">
        <v>50</v>
      </c>
      <c r="L882" s="7">
        <f>Table1[[#This Row],[Hourly Rate]]*1000</f>
        <v>50000</v>
      </c>
      <c r="M882" s="7" t="str">
        <f t="shared" si="13"/>
        <v>Standard</v>
      </c>
      <c r="N882" s="2">
        <f>IF(ISNUMBER(#REF!),#REF!, _xlfn.IFS( I882&gt;=30, 5, I882&gt;=25, 4.8, I882&gt;=15, 4, I882&gt;=10, 3.8, I882&gt;=5, 3, I882&gt;=2, 2.5, I882&gt;=0, 1.8, TRUE, 1.3))</f>
        <v>5</v>
      </c>
      <c r="O882" s="2" t="s">
        <v>2053</v>
      </c>
      <c r="P882" s="10">
        <v>1</v>
      </c>
      <c r="Q882" s="10" t="str">
        <f>_xlfn.IFS(Table1[[#This Row],[Rating]]&gt;=4, "Top Performer", Table1[[#This Row],[Rating]]&gt;=3, "Average", TRUE, "Needs Imporovement")</f>
        <v>Top Performer</v>
      </c>
    </row>
    <row r="883" spans="1:17" x14ac:dyDescent="0.3">
      <c r="A883" s="2" t="s">
        <v>1805</v>
      </c>
      <c r="B883" s="2" t="s">
        <v>1806</v>
      </c>
      <c r="C883" s="2" t="s">
        <v>49</v>
      </c>
      <c r="D883" s="2">
        <v>50</v>
      </c>
      <c r="E883" s="2" t="str">
        <f>_xlfn.IFS(Table1[[#This Row],[Age]]&lt;30, "18-29", D883&lt;=45,"30-45", D883&lt;=55, "46-55", TRUE, "55+")</f>
        <v>46-55</v>
      </c>
      <c r="F883" s="2" t="s">
        <v>107</v>
      </c>
      <c r="G883" s="2" t="s">
        <v>108</v>
      </c>
      <c r="H883" s="2" t="s">
        <v>9</v>
      </c>
      <c r="I883" s="5">
        <v>31</v>
      </c>
      <c r="J883" s="5" t="str">
        <f>_xlfn.IFS(Table1[[#This Row],[Experience(Years)]]&lt;5, "Junior", I883&lt;=12, "Mid-Level", I883&lt;=20, "Senior", I883&lt;=30, "Super Senior", TRUE, "Expert")</f>
        <v>Expert</v>
      </c>
      <c r="K883" s="7">
        <v>100</v>
      </c>
      <c r="L883" s="7">
        <f>Table1[[#This Row],[Hourly Rate]]*1000</f>
        <v>100000</v>
      </c>
      <c r="M883" s="7" t="str">
        <f t="shared" si="13"/>
        <v>Premium</v>
      </c>
      <c r="N883" s="2">
        <f>IF(ISNUMBER(#REF!),#REF!, _xlfn.IFS( I883&gt;=30, 5, I883&gt;=25, 4.8, I883&gt;=15, 4, I883&gt;=10, 3.8, I883&gt;=5, 3, I883&gt;=2, 2.5, I883&gt;=0, 1.8, TRUE, 1.3))</f>
        <v>5</v>
      </c>
      <c r="O883" s="2" t="s">
        <v>2053</v>
      </c>
      <c r="P883" s="10">
        <v>0.89</v>
      </c>
      <c r="Q883" s="10" t="str">
        <f>_xlfn.IFS(Table1[[#This Row],[Rating]]&gt;=4, "Top Performer", Table1[[#This Row],[Rating]]&gt;=3, "Average", TRUE, "Needs Imporovement")</f>
        <v>Top Performer</v>
      </c>
    </row>
    <row r="884" spans="1:17" x14ac:dyDescent="0.3">
      <c r="A884" s="2" t="s">
        <v>1807</v>
      </c>
      <c r="B884" s="2" t="s">
        <v>1808</v>
      </c>
      <c r="C884" s="2" t="s">
        <v>68</v>
      </c>
      <c r="D884" s="2">
        <v>45</v>
      </c>
      <c r="E884" s="2" t="str">
        <f>_xlfn.IFS(Table1[[#This Row],[Age]]&lt;30, "18-29", D884&lt;=45,"30-45", D884&lt;=55, "46-55", TRUE, "55+")</f>
        <v>30-45</v>
      </c>
      <c r="F884" s="2" t="s">
        <v>81</v>
      </c>
      <c r="G884" s="2" t="s">
        <v>82</v>
      </c>
      <c r="H884" s="2" t="s">
        <v>24</v>
      </c>
      <c r="I884" s="5">
        <v>12</v>
      </c>
      <c r="J884" s="5" t="str">
        <f>_xlfn.IFS(Table1[[#This Row],[Experience(Years)]]&lt;5, "Junior", I884&lt;=12, "Mid-Level", I884&lt;=20, "Senior", I884&lt;=30, "Super Senior", TRUE, "Expert")</f>
        <v>Mid-Level</v>
      </c>
      <c r="K884" s="7">
        <v>20</v>
      </c>
      <c r="L884" s="7">
        <f>Table1[[#This Row],[Hourly Rate]]*1000</f>
        <v>20000</v>
      </c>
      <c r="M884" s="7" t="str">
        <f t="shared" si="13"/>
        <v>Budget</v>
      </c>
      <c r="N884" s="2">
        <f>IF(ISNUMBER(#REF!),#REF!, _xlfn.IFS( I884&gt;=30, 5, I884&gt;=25, 4.8, I884&gt;=15, 4, I884&gt;=10, 3.8, I884&gt;=5, 3, I884&gt;=2, 2.5, I884&gt;=0, 1.8, TRUE, 1.3))</f>
        <v>3.8</v>
      </c>
      <c r="O884" s="2" t="s">
        <v>2053</v>
      </c>
      <c r="P884" s="10">
        <v>0.93</v>
      </c>
      <c r="Q884" s="10" t="str">
        <f>_xlfn.IFS(Table1[[#This Row],[Rating]]&gt;=4, "Top Performer", Table1[[#This Row],[Rating]]&gt;=3, "Average", TRUE, "Needs Imporovement")</f>
        <v>Average</v>
      </c>
    </row>
    <row r="885" spans="1:17" x14ac:dyDescent="0.3">
      <c r="A885" s="2" t="s">
        <v>1809</v>
      </c>
      <c r="B885" s="2" t="s">
        <v>1810</v>
      </c>
      <c r="C885" s="2" t="s">
        <v>49</v>
      </c>
      <c r="D885" s="2">
        <v>48</v>
      </c>
      <c r="E885" s="2" t="str">
        <f>_xlfn.IFS(Table1[[#This Row],[Age]]&lt;30, "18-29", D885&lt;=45,"30-45", D885&lt;=55, "46-55", TRUE, "55+")</f>
        <v>46-55</v>
      </c>
      <c r="F885" s="2" t="s">
        <v>96</v>
      </c>
      <c r="G885" s="2" t="s">
        <v>8</v>
      </c>
      <c r="H885" s="2" t="s">
        <v>50</v>
      </c>
      <c r="I885" s="5">
        <v>24</v>
      </c>
      <c r="J885" s="5" t="str">
        <f>_xlfn.IFS(Table1[[#This Row],[Experience(Years)]]&lt;5, "Junior", I885&lt;=12, "Mid-Level", I885&lt;=20, "Senior", I885&lt;=30, "Super Senior", TRUE, "Expert")</f>
        <v>Super Senior</v>
      </c>
      <c r="K885" s="7">
        <v>100</v>
      </c>
      <c r="L885" s="7">
        <f>Table1[[#This Row],[Hourly Rate]]*1000</f>
        <v>100000</v>
      </c>
      <c r="M885" s="7" t="str">
        <f t="shared" si="13"/>
        <v>Premium</v>
      </c>
      <c r="N885" s="2">
        <f>IF(ISNUMBER(#REF!),#REF!, _xlfn.IFS( I885&gt;=30, 5, I885&gt;=25, 4.8, I885&gt;=15, 4, I885&gt;=10, 3.8, I885&gt;=5, 3, I885&gt;=2, 2.5, I885&gt;=0, 1.8, TRUE, 1.3))</f>
        <v>4</v>
      </c>
      <c r="O885" s="2" t="s">
        <v>2053</v>
      </c>
      <c r="P885" s="10">
        <v>0.84</v>
      </c>
      <c r="Q885" s="10" t="str">
        <f>_xlfn.IFS(Table1[[#This Row],[Rating]]&gt;=4, "Top Performer", Table1[[#This Row],[Rating]]&gt;=3, "Average", TRUE, "Needs Imporovement")</f>
        <v>Top Performer</v>
      </c>
    </row>
    <row r="886" spans="1:17" x14ac:dyDescent="0.3">
      <c r="A886" s="2" t="s">
        <v>1811</v>
      </c>
      <c r="B886" s="2" t="s">
        <v>1812</v>
      </c>
      <c r="C886" s="2" t="s">
        <v>68</v>
      </c>
      <c r="D886" s="2">
        <v>30</v>
      </c>
      <c r="E886" s="2" t="str">
        <f>_xlfn.IFS(Table1[[#This Row],[Age]]&lt;30, "18-29", D886&lt;=45,"30-45", D886&lt;=55, "46-55", TRUE, "55+")</f>
        <v>30-45</v>
      </c>
      <c r="F886" s="2" t="s">
        <v>27</v>
      </c>
      <c r="G886" s="2" t="s">
        <v>28</v>
      </c>
      <c r="H886" s="2" t="s">
        <v>61</v>
      </c>
      <c r="I886" s="5">
        <v>9</v>
      </c>
      <c r="J886" s="5" t="str">
        <f>_xlfn.IFS(Table1[[#This Row],[Experience(Years)]]&lt;5, "Junior", I886&lt;=12, "Mid-Level", I886&lt;=20, "Senior", I886&lt;=30, "Super Senior", TRUE, "Expert")</f>
        <v>Mid-Level</v>
      </c>
      <c r="K886" s="7">
        <v>100</v>
      </c>
      <c r="L886" s="7">
        <f>Table1[[#This Row],[Hourly Rate]]*1000</f>
        <v>100000</v>
      </c>
      <c r="M886" s="7" t="str">
        <f t="shared" si="13"/>
        <v>Premium</v>
      </c>
      <c r="N886" s="2">
        <f>IF(ISNUMBER(#REF!),#REF!, _xlfn.IFS( I886&gt;=30, 5, I886&gt;=25, 4.8, I886&gt;=15, 4, I886&gt;=10, 3.8, I886&gt;=5, 3, I886&gt;=2, 2.5, I886&gt;=0, 1.8, TRUE, 1.3))</f>
        <v>3</v>
      </c>
      <c r="O886" s="2" t="str">
        <f>IF(AND( Table1[[#This Row],[Rating]]&gt;=3.5, Table1[[#This Row],[Experience(Years)]]&gt;=15), "Active", "Inactive")</f>
        <v>Inactive</v>
      </c>
      <c r="P886" s="10">
        <v>0.78</v>
      </c>
      <c r="Q886" s="10" t="str">
        <f>_xlfn.IFS(Table1[[#This Row],[Rating]]&gt;=4, "Top Performer", Table1[[#This Row],[Rating]]&gt;=3, "Average", TRUE, "Needs Imporovement")</f>
        <v>Average</v>
      </c>
    </row>
    <row r="887" spans="1:17" x14ac:dyDescent="0.3">
      <c r="A887" s="2" t="s">
        <v>1813</v>
      </c>
      <c r="B887" s="2" t="s">
        <v>531</v>
      </c>
      <c r="C887" s="2" t="s">
        <v>49</v>
      </c>
      <c r="D887" s="2">
        <v>33</v>
      </c>
      <c r="E887" s="2" t="str">
        <f>_xlfn.IFS(Table1[[#This Row],[Age]]&lt;30, "18-29", D887&lt;=45,"30-45", D887&lt;=55, "46-55", TRUE, "55+")</f>
        <v>30-45</v>
      </c>
      <c r="F887" s="2" t="s">
        <v>22</v>
      </c>
      <c r="G887" s="2" t="s">
        <v>23</v>
      </c>
      <c r="H887" s="2" t="s">
        <v>46</v>
      </c>
      <c r="I887" s="5">
        <v>6</v>
      </c>
      <c r="J887" s="5" t="str">
        <f>_xlfn.IFS(Table1[[#This Row],[Experience(Years)]]&lt;5, "Junior", I887&lt;=12, "Mid-Level", I887&lt;=20, "Senior", I887&lt;=30, "Super Senior", TRUE, "Expert")</f>
        <v>Mid-Level</v>
      </c>
      <c r="K887" s="7">
        <v>50</v>
      </c>
      <c r="L887" s="7">
        <f>Table1[[#This Row],[Hourly Rate]]*1000</f>
        <v>50000</v>
      </c>
      <c r="M887" s="7" t="str">
        <f t="shared" si="13"/>
        <v>Standard</v>
      </c>
      <c r="N887" s="2">
        <f>IF(ISNUMBER(#REF!),#REF!, _xlfn.IFS( I887&gt;=30, 5, I887&gt;=25, 4.8, I887&gt;=15, 4, I887&gt;=10, 3.8, I887&gt;=5, 3, I887&gt;=2, 2.5, I887&gt;=0, 1.8, TRUE, 1.3))</f>
        <v>3</v>
      </c>
      <c r="O887" s="2" t="s">
        <v>2052</v>
      </c>
      <c r="P887" s="10">
        <v>0.9</v>
      </c>
      <c r="Q887" s="10" t="str">
        <f>_xlfn.IFS(Table1[[#This Row],[Rating]]&gt;=4, "Top Performer", Table1[[#This Row],[Rating]]&gt;=3, "Average", TRUE, "Needs Imporovement")</f>
        <v>Average</v>
      </c>
    </row>
    <row r="888" spans="1:17" x14ac:dyDescent="0.3">
      <c r="A888" s="2" t="s">
        <v>1814</v>
      </c>
      <c r="B888" s="2" t="s">
        <v>1815</v>
      </c>
      <c r="C888" s="2" t="s">
        <v>49</v>
      </c>
      <c r="D888" s="2">
        <v>50</v>
      </c>
      <c r="E888" s="2" t="str">
        <f>_xlfn.IFS(Table1[[#This Row],[Age]]&lt;30, "18-29", D888&lt;=45,"30-45", D888&lt;=55, "46-55", TRUE, "55+")</f>
        <v>46-55</v>
      </c>
      <c r="F888" s="2" t="s">
        <v>41</v>
      </c>
      <c r="G888" s="2" t="s">
        <v>8</v>
      </c>
      <c r="H888" s="2" t="s">
        <v>61</v>
      </c>
      <c r="I888" s="5">
        <v>11</v>
      </c>
      <c r="J888" s="5" t="str">
        <f>_xlfn.IFS(Table1[[#This Row],[Experience(Years)]]&lt;5, "Junior", I888&lt;=12, "Mid-Level", I888&lt;=20, "Senior", I888&lt;=30, "Super Senior", TRUE, "Expert")</f>
        <v>Mid-Level</v>
      </c>
      <c r="K888" s="7">
        <v>30</v>
      </c>
      <c r="L888" s="7">
        <f>Table1[[#This Row],[Hourly Rate]]*1000</f>
        <v>30000</v>
      </c>
      <c r="M888" s="7" t="str">
        <f t="shared" si="13"/>
        <v>Budget</v>
      </c>
      <c r="N888" s="2">
        <f>IF(ISNUMBER(#REF!),#REF!, _xlfn.IFS( I888&gt;=30, 5, I888&gt;=25, 4.8, I888&gt;=15, 4, I888&gt;=10, 3.8, I888&gt;=5, 3, I888&gt;=2, 2.5, I888&gt;=0, 1.8, TRUE, 1.3))</f>
        <v>3.8</v>
      </c>
      <c r="O888" s="2" t="s">
        <v>2053</v>
      </c>
      <c r="P888" s="10">
        <v>0.88</v>
      </c>
      <c r="Q888" s="10" t="str">
        <f>_xlfn.IFS(Table1[[#This Row],[Rating]]&gt;=4, "Top Performer", Table1[[#This Row],[Rating]]&gt;=3, "Average", TRUE, "Needs Imporovement")</f>
        <v>Average</v>
      </c>
    </row>
    <row r="889" spans="1:17" x14ac:dyDescent="0.3">
      <c r="A889" s="2" t="s">
        <v>1816</v>
      </c>
      <c r="B889" s="2" t="s">
        <v>1817</v>
      </c>
      <c r="C889" s="2" t="s">
        <v>49</v>
      </c>
      <c r="D889" s="2">
        <v>24</v>
      </c>
      <c r="E889" s="2" t="str">
        <f>_xlfn.IFS(Table1[[#This Row],[Age]]&lt;30, "18-29", D889&lt;=45,"30-45", D889&lt;=55, "46-55", TRUE, "55+")</f>
        <v>18-29</v>
      </c>
      <c r="F889" s="2" t="s">
        <v>27</v>
      </c>
      <c r="G889" s="2" t="s">
        <v>28</v>
      </c>
      <c r="H889" s="2" t="s">
        <v>29</v>
      </c>
      <c r="I889" s="5">
        <v>2</v>
      </c>
      <c r="J889" s="5" t="str">
        <f>_xlfn.IFS(Table1[[#This Row],[Experience(Years)]]&lt;5, "Junior", I889&lt;=12, "Mid-Level", I889&lt;=20, "Senior", I889&lt;=30, "Super Senior", TRUE, "Expert")</f>
        <v>Junior</v>
      </c>
      <c r="K889" s="7">
        <v>20</v>
      </c>
      <c r="L889" s="7">
        <f>Table1[[#This Row],[Hourly Rate]]*1000</f>
        <v>20000</v>
      </c>
      <c r="M889" s="7" t="str">
        <f t="shared" si="13"/>
        <v>Budget</v>
      </c>
      <c r="N889" s="2">
        <f>IF(ISNUMBER(#REF!),#REF!, _xlfn.IFS( I889&gt;=30, 5, I889&gt;=25, 4.8, I889&gt;=15, 4, I889&gt;=10, 3.8, I889&gt;=5, 3, I889&gt;=2, 2.5, I889&gt;=0, 1.8, TRUE, 1.3))</f>
        <v>2.5</v>
      </c>
      <c r="O889" s="2" t="s">
        <v>2052</v>
      </c>
      <c r="P889" s="10">
        <v>0.76</v>
      </c>
      <c r="Q889" s="10" t="str">
        <f>_xlfn.IFS(Table1[[#This Row],[Rating]]&gt;=4, "Top Performer", Table1[[#This Row],[Rating]]&gt;=3, "Average", TRUE, "Needs Imporovement")</f>
        <v>Needs Imporovement</v>
      </c>
    </row>
    <row r="890" spans="1:17" x14ac:dyDescent="0.3">
      <c r="A890" s="2" t="s">
        <v>1818</v>
      </c>
      <c r="B890" s="2" t="s">
        <v>1819</v>
      </c>
      <c r="C890" s="2" t="s">
        <v>68</v>
      </c>
      <c r="D890" s="2">
        <v>38</v>
      </c>
      <c r="E890" s="2" t="str">
        <f>_xlfn.IFS(Table1[[#This Row],[Age]]&lt;30, "18-29", D890&lt;=45,"30-45", D890&lt;=55, "46-55", TRUE, "55+")</f>
        <v>30-45</v>
      </c>
      <c r="F890" s="2" t="s">
        <v>2</v>
      </c>
      <c r="G890" s="2" t="s">
        <v>3</v>
      </c>
      <c r="H890" s="2" t="s">
        <v>17</v>
      </c>
      <c r="I890" s="5">
        <v>14</v>
      </c>
      <c r="J890" s="5" t="str">
        <f>_xlfn.IFS(Table1[[#This Row],[Experience(Years)]]&lt;5, "Junior", I890&lt;=12, "Mid-Level", I890&lt;=20, "Senior", I890&lt;=30, "Super Senior", TRUE, "Expert")</f>
        <v>Senior</v>
      </c>
      <c r="K890" s="7">
        <v>75</v>
      </c>
      <c r="L890" s="7">
        <f>Table1[[#This Row],[Hourly Rate]]*1000</f>
        <v>75000</v>
      </c>
      <c r="M890" s="7" t="str">
        <f t="shared" si="13"/>
        <v>Standard</v>
      </c>
      <c r="N890" s="2">
        <f>IF(ISNUMBER(#REF!),#REF!, _xlfn.IFS( I890&gt;=30, 5, I890&gt;=25, 4.8, I890&gt;=15, 4, I890&gt;=10, 3.8, I890&gt;=5, 3, I890&gt;=2, 2.5, I890&gt;=0, 1.8, TRUE, 1.3))</f>
        <v>3.8</v>
      </c>
      <c r="O890" s="2" t="s">
        <v>2052</v>
      </c>
      <c r="P890" s="10">
        <v>0.62</v>
      </c>
      <c r="Q890" s="10" t="str">
        <f>_xlfn.IFS(Table1[[#This Row],[Rating]]&gt;=4, "Top Performer", Table1[[#This Row],[Rating]]&gt;=3, "Average", TRUE, "Needs Imporovement")</f>
        <v>Average</v>
      </c>
    </row>
    <row r="891" spans="1:17" x14ac:dyDescent="0.3">
      <c r="A891" s="2" t="s">
        <v>1820</v>
      </c>
      <c r="B891" s="2" t="s">
        <v>1821</v>
      </c>
      <c r="C891" s="2" t="s">
        <v>68</v>
      </c>
      <c r="D891" s="2">
        <v>56</v>
      </c>
      <c r="E891" s="2" t="str">
        <f>_xlfn.IFS(Table1[[#This Row],[Age]]&lt;30, "18-29", D891&lt;=45,"30-45", D891&lt;=55, "46-55", TRUE, "55+")</f>
        <v>55+</v>
      </c>
      <c r="F891" s="2" t="s">
        <v>57</v>
      </c>
      <c r="G891" s="2" t="s">
        <v>58</v>
      </c>
      <c r="H891" s="2" t="s">
        <v>61</v>
      </c>
      <c r="I891" s="5">
        <v>2</v>
      </c>
      <c r="J891" s="5" t="str">
        <f>_xlfn.IFS(Table1[[#This Row],[Experience(Years)]]&lt;5, "Junior", I891&lt;=12, "Mid-Level", I891&lt;=20, "Senior", I891&lt;=30, "Super Senior", TRUE, "Expert")</f>
        <v>Junior</v>
      </c>
      <c r="K891" s="7">
        <v>75</v>
      </c>
      <c r="L891" s="7">
        <f>Table1[[#This Row],[Hourly Rate]]*1000</f>
        <v>75000</v>
      </c>
      <c r="M891" s="7" t="str">
        <f t="shared" si="13"/>
        <v>Standard</v>
      </c>
      <c r="N891" s="2">
        <f>IF(ISNUMBER(#REF!),#REF!, _xlfn.IFS( I891&gt;=30, 5, I891&gt;=25, 4.8, I891&gt;=15, 4, I891&gt;=10, 3.8, I891&gt;=5, 3, I891&gt;=2, 2.5, I891&gt;=0, 1.8, TRUE, 1.3))</f>
        <v>2.5</v>
      </c>
      <c r="O891" s="2" t="s">
        <v>2052</v>
      </c>
      <c r="P891" s="10">
        <v>0.35</v>
      </c>
      <c r="Q891" s="10" t="str">
        <f>_xlfn.IFS(Table1[[#This Row],[Rating]]&gt;=4, "Top Performer", Table1[[#This Row],[Rating]]&gt;=3, "Average", TRUE, "Needs Imporovement")</f>
        <v>Needs Imporovement</v>
      </c>
    </row>
    <row r="892" spans="1:17" x14ac:dyDescent="0.3">
      <c r="A892" s="2" t="s">
        <v>1822</v>
      </c>
      <c r="B892" s="2" t="s">
        <v>1823</v>
      </c>
      <c r="C892" s="2" t="s">
        <v>49</v>
      </c>
      <c r="D892" s="2">
        <v>41</v>
      </c>
      <c r="E892" s="2" t="str">
        <f>_xlfn.IFS(Table1[[#This Row],[Age]]&lt;30, "18-29", D892&lt;=45,"30-45", D892&lt;=55, "46-55", TRUE, "55+")</f>
        <v>30-45</v>
      </c>
      <c r="F892" s="2" t="s">
        <v>92</v>
      </c>
      <c r="G892" s="2" t="s">
        <v>93</v>
      </c>
      <c r="H892" s="2" t="s">
        <v>61</v>
      </c>
      <c r="I892" s="5">
        <v>2</v>
      </c>
      <c r="J892" s="5" t="str">
        <f>_xlfn.IFS(Table1[[#This Row],[Experience(Years)]]&lt;5, "Junior", I892&lt;=12, "Mid-Level", I892&lt;=20, "Senior", I892&lt;=30, "Super Senior", TRUE, "Expert")</f>
        <v>Junior</v>
      </c>
      <c r="K892" s="7">
        <v>100</v>
      </c>
      <c r="L892" s="7">
        <f>Table1[[#This Row],[Hourly Rate]]*1000</f>
        <v>100000</v>
      </c>
      <c r="M892" s="7" t="str">
        <f t="shared" si="13"/>
        <v>Premium</v>
      </c>
      <c r="N892" s="2">
        <f>IF(ISNUMBER(#REF!),#REF!, _xlfn.IFS( I892&gt;=30, 5, I892&gt;=25, 4.8, I892&gt;=15, 4, I892&gt;=10, 3.8, I892&gt;=5, 3, I892&gt;=2, 2.5, I892&gt;=0, 1.8, TRUE, 1.3))</f>
        <v>2.5</v>
      </c>
      <c r="O892" s="2" t="s">
        <v>2052</v>
      </c>
      <c r="P892" s="10">
        <v>0.75</v>
      </c>
      <c r="Q892" s="10" t="str">
        <f>_xlfn.IFS(Table1[[#This Row],[Rating]]&gt;=4, "Top Performer", Table1[[#This Row],[Rating]]&gt;=3, "Average", TRUE, "Needs Imporovement")</f>
        <v>Needs Imporovement</v>
      </c>
    </row>
    <row r="893" spans="1:17" x14ac:dyDescent="0.3">
      <c r="A893" s="2" t="s">
        <v>1824</v>
      </c>
      <c r="B893" s="2" t="s">
        <v>1825</v>
      </c>
      <c r="C893" s="2" t="s">
        <v>68</v>
      </c>
      <c r="D893" s="2">
        <v>44</v>
      </c>
      <c r="E893" s="2" t="str">
        <f>_xlfn.IFS(Table1[[#This Row],[Age]]&lt;30, "18-29", D893&lt;=45,"30-45", D893&lt;=55, "46-55", TRUE, "55+")</f>
        <v>30-45</v>
      </c>
      <c r="F893" s="2" t="s">
        <v>2</v>
      </c>
      <c r="G893" s="2" t="s">
        <v>3</v>
      </c>
      <c r="H893" s="2" t="s">
        <v>46</v>
      </c>
      <c r="I893" s="5">
        <v>11</v>
      </c>
      <c r="J893" s="5" t="str">
        <f>_xlfn.IFS(Table1[[#This Row],[Experience(Years)]]&lt;5, "Junior", I893&lt;=12, "Mid-Level", I893&lt;=20, "Senior", I893&lt;=30, "Super Senior", TRUE, "Expert")</f>
        <v>Mid-Level</v>
      </c>
      <c r="K893" s="7">
        <v>100</v>
      </c>
      <c r="L893" s="7">
        <f>Table1[[#This Row],[Hourly Rate]]*1000</f>
        <v>100000</v>
      </c>
      <c r="M893" s="7" t="str">
        <f t="shared" si="13"/>
        <v>Premium</v>
      </c>
      <c r="N893" s="2">
        <f>IF(ISNUMBER(#REF!),#REF!, _xlfn.IFS( I893&gt;=30, 5, I893&gt;=25, 4.8, I893&gt;=15, 4, I893&gt;=10, 3.8, I893&gt;=5, 3, I893&gt;=2, 2.5, I893&gt;=0, 1.8, TRUE, 1.3))</f>
        <v>3.8</v>
      </c>
      <c r="O893" s="2" t="s">
        <v>2053</v>
      </c>
      <c r="P893" s="10">
        <v>0.8</v>
      </c>
      <c r="Q893" s="10" t="str">
        <f>_xlfn.IFS(Table1[[#This Row],[Rating]]&gt;=4, "Top Performer", Table1[[#This Row],[Rating]]&gt;=3, "Average", TRUE, "Needs Imporovement")</f>
        <v>Average</v>
      </c>
    </row>
    <row r="894" spans="1:17" x14ac:dyDescent="0.3">
      <c r="A894" s="2" t="s">
        <v>1826</v>
      </c>
      <c r="B894" s="2" t="s">
        <v>1827</v>
      </c>
      <c r="C894" s="2" t="s">
        <v>49</v>
      </c>
      <c r="D894" s="2">
        <v>42</v>
      </c>
      <c r="E894" s="2" t="str">
        <f>_xlfn.IFS(Table1[[#This Row],[Age]]&lt;30, "18-29", D894&lt;=45,"30-45", D894&lt;=55, "46-55", TRUE, "55+")</f>
        <v>30-45</v>
      </c>
      <c r="F894" s="2" t="s">
        <v>12</v>
      </c>
      <c r="G894" s="2" t="s">
        <v>13</v>
      </c>
      <c r="H894" s="2" t="s">
        <v>14</v>
      </c>
      <c r="I894" s="5">
        <v>13</v>
      </c>
      <c r="J894" s="5" t="str">
        <f>_xlfn.IFS(Table1[[#This Row],[Experience(Years)]]&lt;5, "Junior", I894&lt;=12, "Mid-Level", I894&lt;=20, "Senior", I894&lt;=30, "Super Senior", TRUE, "Expert")</f>
        <v>Senior</v>
      </c>
      <c r="K894" s="7">
        <v>30</v>
      </c>
      <c r="L894" s="7">
        <f>Table1[[#This Row],[Hourly Rate]]*1000</f>
        <v>30000</v>
      </c>
      <c r="M894" s="7" t="str">
        <f t="shared" si="13"/>
        <v>Budget</v>
      </c>
      <c r="N894" s="2">
        <f>IF(ISNUMBER(#REF!),#REF!, _xlfn.IFS( I894&gt;=30, 5, I894&gt;=25, 4.8, I894&gt;=15, 4, I894&gt;=10, 3.8, I894&gt;=5, 3, I894&gt;=2, 2.5, I894&gt;=0, 1.8, TRUE, 1.3))</f>
        <v>3.8</v>
      </c>
      <c r="O894" s="2" t="str">
        <f>IF(AND( Table1[[#This Row],[Rating]]&gt;=3.5, Table1[[#This Row],[Experience(Years)]]&gt;=15), "Active", "Inactive")</f>
        <v>Inactive</v>
      </c>
      <c r="P894" s="10">
        <v>0.63</v>
      </c>
      <c r="Q894" s="10" t="str">
        <f>_xlfn.IFS(Table1[[#This Row],[Rating]]&gt;=4, "Top Performer", Table1[[#This Row],[Rating]]&gt;=3, "Average", TRUE, "Needs Imporovement")</f>
        <v>Average</v>
      </c>
    </row>
    <row r="895" spans="1:17" x14ac:dyDescent="0.3">
      <c r="A895" s="2" t="s">
        <v>1828</v>
      </c>
      <c r="B895" s="2" t="s">
        <v>1829</v>
      </c>
      <c r="C895" s="2" t="s">
        <v>68</v>
      </c>
      <c r="D895" s="2">
        <v>26</v>
      </c>
      <c r="E895" s="2" t="str">
        <f>_xlfn.IFS(Table1[[#This Row],[Age]]&lt;30, "18-29", D895&lt;=45,"30-45", D895&lt;=55, "46-55", TRUE, "55+")</f>
        <v>18-29</v>
      </c>
      <c r="F895" s="2" t="s">
        <v>64</v>
      </c>
      <c r="G895" s="2" t="s">
        <v>65</v>
      </c>
      <c r="H895" s="2" t="s">
        <v>4</v>
      </c>
      <c r="I895" s="5">
        <v>7</v>
      </c>
      <c r="J895" s="5" t="str">
        <f>_xlfn.IFS(Table1[[#This Row],[Experience(Years)]]&lt;5, "Junior", I895&lt;=12, "Mid-Level", I895&lt;=20, "Senior", I895&lt;=30, "Super Senior", TRUE, "Expert")</f>
        <v>Mid-Level</v>
      </c>
      <c r="K895" s="7">
        <v>75</v>
      </c>
      <c r="L895" s="7">
        <f>Table1[[#This Row],[Hourly Rate]]*1000</f>
        <v>75000</v>
      </c>
      <c r="M895" s="7" t="str">
        <f t="shared" si="13"/>
        <v>Standard</v>
      </c>
      <c r="N895" s="2">
        <f>IF(ISNUMBER(#REF!),#REF!, _xlfn.IFS( I895&gt;=30, 5, I895&gt;=25, 4.8, I895&gt;=15, 4, I895&gt;=10, 3.8, I895&gt;=5, 3, I895&gt;=2, 2.5, I895&gt;=0, 1.8, TRUE, 1.3))</f>
        <v>3</v>
      </c>
      <c r="O895" s="2" t="str">
        <f>IF(AND( Table1[[#This Row],[Rating]]&gt;=3.5, Table1[[#This Row],[Experience(Years)]]&gt;=15), "Active", "Inactive")</f>
        <v>Inactive</v>
      </c>
      <c r="P895" s="10">
        <v>0.84</v>
      </c>
      <c r="Q895" s="10" t="str">
        <f>_xlfn.IFS(Table1[[#This Row],[Rating]]&gt;=4, "Top Performer", Table1[[#This Row],[Rating]]&gt;=3, "Average", TRUE, "Needs Imporovement")</f>
        <v>Average</v>
      </c>
    </row>
    <row r="896" spans="1:17" x14ac:dyDescent="0.3">
      <c r="A896" s="2" t="s">
        <v>1830</v>
      </c>
      <c r="B896" s="2" t="s">
        <v>1831</v>
      </c>
      <c r="C896" s="2" t="s">
        <v>49</v>
      </c>
      <c r="D896" s="2">
        <v>44</v>
      </c>
      <c r="E896" s="2" t="str">
        <f>_xlfn.IFS(Table1[[#This Row],[Age]]&lt;30, "18-29", D896&lt;=45,"30-45", D896&lt;=55, "46-55", TRUE, "55+")</f>
        <v>30-45</v>
      </c>
      <c r="F896" s="2" t="s">
        <v>96</v>
      </c>
      <c r="G896" s="2" t="s">
        <v>8</v>
      </c>
      <c r="H896" s="2" t="s">
        <v>50</v>
      </c>
      <c r="I896" s="5">
        <v>25</v>
      </c>
      <c r="J896" s="5" t="str">
        <f>_xlfn.IFS(Table1[[#This Row],[Experience(Years)]]&lt;5, "Junior", I896&lt;=12, "Mid-Level", I896&lt;=20, "Senior", I896&lt;=30, "Super Senior", TRUE, "Expert")</f>
        <v>Super Senior</v>
      </c>
      <c r="K896" s="7">
        <v>75</v>
      </c>
      <c r="L896" s="7">
        <f>Table1[[#This Row],[Hourly Rate]]*1000</f>
        <v>75000</v>
      </c>
      <c r="M896" s="7" t="str">
        <f t="shared" si="13"/>
        <v>Standard</v>
      </c>
      <c r="N896" s="2">
        <f>IF(ISNUMBER(#REF!),#REF!, _xlfn.IFS( I896&gt;=30, 5, I896&gt;=25, 4.8, I896&gt;=15, 4, I896&gt;=10, 3.8, I896&gt;=5, 3, I896&gt;=2, 2.5, I896&gt;=0, 1.8, TRUE, 1.3))</f>
        <v>4.8</v>
      </c>
      <c r="O896" s="2" t="s">
        <v>2053</v>
      </c>
      <c r="P896" s="10">
        <v>0.78</v>
      </c>
      <c r="Q896" s="10" t="str">
        <f>_xlfn.IFS(Table1[[#This Row],[Rating]]&gt;=4, "Top Performer", Table1[[#This Row],[Rating]]&gt;=3, "Average", TRUE, "Needs Imporovement")</f>
        <v>Top Performer</v>
      </c>
    </row>
    <row r="897" spans="1:17" x14ac:dyDescent="0.3">
      <c r="A897" s="2" t="s">
        <v>1832</v>
      </c>
      <c r="B897" s="2" t="s">
        <v>1833</v>
      </c>
      <c r="C897" s="2" t="s">
        <v>68</v>
      </c>
      <c r="D897" s="2">
        <v>46</v>
      </c>
      <c r="E897" s="2" t="str">
        <f>_xlfn.IFS(Table1[[#This Row],[Age]]&lt;30, "18-29", D897&lt;=45,"30-45", D897&lt;=55, "46-55", TRUE, "55+")</f>
        <v>46-55</v>
      </c>
      <c r="F897" s="2" t="s">
        <v>96</v>
      </c>
      <c r="G897" s="2" t="s">
        <v>8</v>
      </c>
      <c r="H897" s="2" t="s">
        <v>14</v>
      </c>
      <c r="I897" s="5">
        <v>20</v>
      </c>
      <c r="J897" s="5" t="str">
        <f>_xlfn.IFS(Table1[[#This Row],[Experience(Years)]]&lt;5, "Junior", I897&lt;=12, "Mid-Level", I897&lt;=20, "Senior", I897&lt;=30, "Super Senior", TRUE, "Expert")</f>
        <v>Senior</v>
      </c>
      <c r="K897" s="7">
        <v>20</v>
      </c>
      <c r="L897" s="7">
        <f>Table1[[#This Row],[Hourly Rate]]*1000</f>
        <v>20000</v>
      </c>
      <c r="M897" s="7" t="str">
        <f t="shared" si="13"/>
        <v>Budget</v>
      </c>
      <c r="N897" s="2">
        <f>IF(ISNUMBER(#REF!),#REF!, _xlfn.IFS( I897&gt;=30, 5, I897&gt;=25, 4.8, I897&gt;=15, 4, I897&gt;=10, 3.8, I897&gt;=5, 3, I897&gt;=2, 2.5, I897&gt;=0, 1.8, TRUE, 1.3))</f>
        <v>4</v>
      </c>
      <c r="O897" s="2" t="s">
        <v>2052</v>
      </c>
      <c r="P897" s="10">
        <v>0.74</v>
      </c>
      <c r="Q897" s="10" t="str">
        <f>_xlfn.IFS(Table1[[#This Row],[Rating]]&gt;=4, "Top Performer", Table1[[#This Row],[Rating]]&gt;=3, "Average", TRUE, "Needs Imporovement")</f>
        <v>Top Performer</v>
      </c>
    </row>
    <row r="898" spans="1:17" x14ac:dyDescent="0.3">
      <c r="A898" s="2" t="s">
        <v>1834</v>
      </c>
      <c r="B898" s="2" t="s">
        <v>1835</v>
      </c>
      <c r="C898" s="2" t="s">
        <v>49</v>
      </c>
      <c r="D898" s="2">
        <v>36</v>
      </c>
      <c r="E898" s="2" t="str">
        <f>_xlfn.IFS(Table1[[#This Row],[Age]]&lt;30, "18-29", D898&lt;=45,"30-45", D898&lt;=55, "46-55", TRUE, "55+")</f>
        <v>30-45</v>
      </c>
      <c r="F898" s="2" t="s">
        <v>34</v>
      </c>
      <c r="G898" s="2" t="s">
        <v>8</v>
      </c>
      <c r="H898" s="2" t="s">
        <v>46</v>
      </c>
      <c r="I898" s="5">
        <v>8</v>
      </c>
      <c r="J898" s="5" t="str">
        <f>_xlfn.IFS(Table1[[#This Row],[Experience(Years)]]&lt;5, "Junior", I898&lt;=12, "Mid-Level", I898&lt;=20, "Senior", I898&lt;=30, "Super Senior", TRUE, "Expert")</f>
        <v>Mid-Level</v>
      </c>
      <c r="K898" s="7">
        <v>50</v>
      </c>
      <c r="L898" s="7">
        <f>Table1[[#This Row],[Hourly Rate]]*1000</f>
        <v>50000</v>
      </c>
      <c r="M898" s="7" t="str">
        <f t="shared" ref="M898:M961" si="14">_xlfn.IFS(K898&lt;40, "Budget", K898&lt;=80, "Standard", TRUE, "Premium")</f>
        <v>Standard</v>
      </c>
      <c r="N898" s="2">
        <f>IF(ISNUMBER(#REF!),#REF!, _xlfn.IFS( I898&gt;=30, 5, I898&gt;=25, 4.8, I898&gt;=15, 4, I898&gt;=10, 3.8, I898&gt;=5, 3, I898&gt;=2, 2.5, I898&gt;=0, 1.8, TRUE, 1.3))</f>
        <v>3</v>
      </c>
      <c r="O898" s="2" t="s">
        <v>2052</v>
      </c>
      <c r="P898" s="10">
        <v>0.9</v>
      </c>
      <c r="Q898" s="10" t="str">
        <f>_xlfn.IFS(Table1[[#This Row],[Rating]]&gt;=4, "Top Performer", Table1[[#This Row],[Rating]]&gt;=3, "Average", TRUE, "Needs Imporovement")</f>
        <v>Average</v>
      </c>
    </row>
    <row r="899" spans="1:17" x14ac:dyDescent="0.3">
      <c r="A899" s="2" t="s">
        <v>1836</v>
      </c>
      <c r="B899" s="2" t="s">
        <v>1837</v>
      </c>
      <c r="C899" s="2" t="s">
        <v>68</v>
      </c>
      <c r="D899" s="2">
        <v>26</v>
      </c>
      <c r="E899" s="2" t="str">
        <f>_xlfn.IFS(Table1[[#This Row],[Age]]&lt;30, "18-29", D899&lt;=45,"30-45", D899&lt;=55, "46-55", TRUE, "55+")</f>
        <v>18-29</v>
      </c>
      <c r="F899" s="2" t="s">
        <v>22</v>
      </c>
      <c r="G899" s="2" t="s">
        <v>23</v>
      </c>
      <c r="H899" s="2" t="s">
        <v>24</v>
      </c>
      <c r="I899" s="5">
        <v>6</v>
      </c>
      <c r="J899" s="5" t="str">
        <f>_xlfn.IFS(Table1[[#This Row],[Experience(Years)]]&lt;5, "Junior", I899&lt;=12, "Mid-Level", I899&lt;=20, "Senior", I899&lt;=30, "Super Senior", TRUE, "Expert")</f>
        <v>Mid-Level</v>
      </c>
      <c r="K899" s="7">
        <v>40</v>
      </c>
      <c r="L899" s="7">
        <f>Table1[[#This Row],[Hourly Rate]]*1000</f>
        <v>40000</v>
      </c>
      <c r="M899" s="7" t="str">
        <f t="shared" si="14"/>
        <v>Standard</v>
      </c>
      <c r="N899" s="2">
        <f>IF(ISNUMBER(#REF!),#REF!, _xlfn.IFS( I899&gt;=30, 5, I899&gt;=25, 4.8, I899&gt;=15, 4, I899&gt;=10, 3.8, I899&gt;=5, 3, I899&gt;=2, 2.5, I899&gt;=0, 1.8, TRUE, 1.3))</f>
        <v>3</v>
      </c>
      <c r="O899" s="2" t="s">
        <v>2052</v>
      </c>
      <c r="P899" s="10">
        <v>0.6</v>
      </c>
      <c r="Q899" s="10" t="str">
        <f>_xlfn.IFS(Table1[[#This Row],[Rating]]&gt;=4, "Top Performer", Table1[[#This Row],[Rating]]&gt;=3, "Average", TRUE, "Needs Imporovement")</f>
        <v>Average</v>
      </c>
    </row>
    <row r="900" spans="1:17" x14ac:dyDescent="0.3">
      <c r="A900" s="2" t="s">
        <v>1838</v>
      </c>
      <c r="B900" s="2" t="s">
        <v>1839</v>
      </c>
      <c r="C900" s="2" t="s">
        <v>68</v>
      </c>
      <c r="D900" s="2">
        <v>21</v>
      </c>
      <c r="E900" s="2" t="str">
        <f>_xlfn.IFS(Table1[[#This Row],[Age]]&lt;30, "18-29", D900&lt;=45,"30-45", D900&lt;=55, "46-55", TRUE, "55+")</f>
        <v>18-29</v>
      </c>
      <c r="F900" s="2" t="s">
        <v>12</v>
      </c>
      <c r="G900" s="2" t="s">
        <v>13</v>
      </c>
      <c r="H900" s="2" t="s">
        <v>46</v>
      </c>
      <c r="I900" s="5">
        <v>3</v>
      </c>
      <c r="J900" s="5" t="str">
        <f>_xlfn.IFS(Table1[[#This Row],[Experience(Years)]]&lt;5, "Junior", I900&lt;=12, "Mid-Level", I900&lt;=20, "Senior", I900&lt;=30, "Super Senior", TRUE, "Expert")</f>
        <v>Junior</v>
      </c>
      <c r="K900" s="7">
        <v>50</v>
      </c>
      <c r="L900" s="7">
        <f>Table1[[#This Row],[Hourly Rate]]*1000</f>
        <v>50000</v>
      </c>
      <c r="M900" s="7" t="str">
        <f t="shared" si="14"/>
        <v>Standard</v>
      </c>
      <c r="N900" s="2">
        <f>IF(ISNUMBER(#REF!),#REF!, _xlfn.IFS( I900&gt;=30, 5, I900&gt;=25, 4.8, I900&gt;=15, 4, I900&gt;=10, 3.8, I900&gt;=5, 3, I900&gt;=2, 2.5, I900&gt;=0, 1.8, TRUE, 1.3))</f>
        <v>2.5</v>
      </c>
      <c r="O900" s="2" t="s">
        <v>2053</v>
      </c>
      <c r="P900" s="10">
        <v>0.35</v>
      </c>
      <c r="Q900" s="10" t="str">
        <f>_xlfn.IFS(Table1[[#This Row],[Rating]]&gt;=4, "Top Performer", Table1[[#This Row],[Rating]]&gt;=3, "Average", TRUE, "Needs Imporovement")</f>
        <v>Needs Imporovement</v>
      </c>
    </row>
    <row r="901" spans="1:17" x14ac:dyDescent="0.3">
      <c r="A901" s="2" t="s">
        <v>1840</v>
      </c>
      <c r="B901" s="2" t="s">
        <v>1841</v>
      </c>
      <c r="C901" s="2" t="s">
        <v>49</v>
      </c>
      <c r="D901" s="2">
        <v>39</v>
      </c>
      <c r="E901" s="2" t="str">
        <f>_xlfn.IFS(Table1[[#This Row],[Age]]&lt;30, "18-29", D901&lt;=45,"30-45", D901&lt;=55, "46-55", TRUE, "55+")</f>
        <v>30-45</v>
      </c>
      <c r="F901" s="2" t="s">
        <v>27</v>
      </c>
      <c r="G901" s="2" t="s">
        <v>28</v>
      </c>
      <c r="H901" s="2" t="s">
        <v>46</v>
      </c>
      <c r="I901" s="5">
        <v>18</v>
      </c>
      <c r="J901" s="5" t="str">
        <f>_xlfn.IFS(Table1[[#This Row],[Experience(Years)]]&lt;5, "Junior", I901&lt;=12, "Mid-Level", I901&lt;=20, "Senior", I901&lt;=30, "Super Senior", TRUE, "Expert")</f>
        <v>Senior</v>
      </c>
      <c r="K901" s="7">
        <v>50</v>
      </c>
      <c r="L901" s="7">
        <f>Table1[[#This Row],[Hourly Rate]]*1000</f>
        <v>50000</v>
      </c>
      <c r="M901" s="7" t="str">
        <f t="shared" si="14"/>
        <v>Standard</v>
      </c>
      <c r="N901" s="2">
        <f>IF(ISNUMBER(#REF!),#REF!, _xlfn.IFS( I901&gt;=30, 5, I901&gt;=25, 4.8, I901&gt;=15, 4, I901&gt;=10, 3.8, I901&gt;=5, 3, I901&gt;=2, 2.5, I901&gt;=0, 1.8, TRUE, 1.3))</f>
        <v>4</v>
      </c>
      <c r="O901" s="2" t="s">
        <v>2052</v>
      </c>
      <c r="P901" s="10">
        <v>0.75</v>
      </c>
      <c r="Q901" s="10" t="str">
        <f>_xlfn.IFS(Table1[[#This Row],[Rating]]&gt;=4, "Top Performer", Table1[[#This Row],[Rating]]&gt;=3, "Average", TRUE, "Needs Imporovement")</f>
        <v>Top Performer</v>
      </c>
    </row>
    <row r="902" spans="1:17" x14ac:dyDescent="0.3">
      <c r="A902" s="2" t="s">
        <v>1842</v>
      </c>
      <c r="B902" s="2" t="s">
        <v>1843</v>
      </c>
      <c r="C902" s="2" t="s">
        <v>49</v>
      </c>
      <c r="D902" s="2">
        <v>37</v>
      </c>
      <c r="E902" s="2" t="str">
        <f>_xlfn.IFS(Table1[[#This Row],[Age]]&lt;30, "18-29", D902&lt;=45,"30-45", D902&lt;=55, "46-55", TRUE, "55+")</f>
        <v>30-45</v>
      </c>
      <c r="F902" s="2" t="s">
        <v>34</v>
      </c>
      <c r="G902" s="2" t="s">
        <v>8</v>
      </c>
      <c r="H902" s="2" t="s">
        <v>4</v>
      </c>
      <c r="I902" s="5">
        <v>18</v>
      </c>
      <c r="J902" s="5" t="str">
        <f>_xlfn.IFS(Table1[[#This Row],[Experience(Years)]]&lt;5, "Junior", I902&lt;=12, "Mid-Level", I902&lt;=20, "Senior", I902&lt;=30, "Super Senior", TRUE, "Expert")</f>
        <v>Senior</v>
      </c>
      <c r="K902" s="7">
        <v>40</v>
      </c>
      <c r="L902" s="7">
        <f>Table1[[#This Row],[Hourly Rate]]*1000</f>
        <v>40000</v>
      </c>
      <c r="M902" s="7" t="str">
        <f t="shared" si="14"/>
        <v>Standard</v>
      </c>
      <c r="N902" s="2">
        <f>IF(ISNUMBER(#REF!),#REF!, _xlfn.IFS( I902&gt;=30, 5, I902&gt;=25, 4.8, I902&gt;=15, 4, I902&gt;=10, 3.8, I902&gt;=5, 3, I902&gt;=2, 2.5, I902&gt;=0, 1.8, TRUE, 1.3))</f>
        <v>4</v>
      </c>
      <c r="O902" s="2" t="s">
        <v>2052</v>
      </c>
      <c r="P902" s="10">
        <v>0.72</v>
      </c>
      <c r="Q902" s="10" t="str">
        <f>_xlfn.IFS(Table1[[#This Row],[Rating]]&gt;=4, "Top Performer", Table1[[#This Row],[Rating]]&gt;=3, "Average", TRUE, "Needs Imporovement")</f>
        <v>Top Performer</v>
      </c>
    </row>
    <row r="903" spans="1:17" x14ac:dyDescent="0.3">
      <c r="A903" s="2" t="s">
        <v>1844</v>
      </c>
      <c r="B903" s="2" t="s">
        <v>1845</v>
      </c>
      <c r="C903" s="2" t="s">
        <v>49</v>
      </c>
      <c r="D903" s="2">
        <v>47</v>
      </c>
      <c r="E903" s="2" t="str">
        <f>_xlfn.IFS(Table1[[#This Row],[Age]]&lt;30, "18-29", D903&lt;=45,"30-45", D903&lt;=55, "46-55", TRUE, "55+")</f>
        <v>46-55</v>
      </c>
      <c r="F903" s="2" t="s">
        <v>92</v>
      </c>
      <c r="G903" s="2" t="s">
        <v>93</v>
      </c>
      <c r="H903" s="2" t="s">
        <v>46</v>
      </c>
      <c r="I903" s="5">
        <v>3</v>
      </c>
      <c r="J903" s="5" t="str">
        <f>_xlfn.IFS(Table1[[#This Row],[Experience(Years)]]&lt;5, "Junior", I903&lt;=12, "Mid-Level", I903&lt;=20, "Senior", I903&lt;=30, "Super Senior", TRUE, "Expert")</f>
        <v>Junior</v>
      </c>
      <c r="K903" s="7">
        <v>40</v>
      </c>
      <c r="L903" s="7">
        <f>Table1[[#This Row],[Hourly Rate]]*1000</f>
        <v>40000</v>
      </c>
      <c r="M903" s="7" t="str">
        <f t="shared" si="14"/>
        <v>Standard</v>
      </c>
      <c r="N903" s="2">
        <f>IF(ISNUMBER(#REF!),#REF!, _xlfn.IFS( I903&gt;=30, 5, I903&gt;=25, 4.8, I903&gt;=15, 4, I903&gt;=10, 3.8, I903&gt;=5, 3, I903&gt;=2, 2.5, I903&gt;=0, 1.8, TRUE, 1.3))</f>
        <v>2.5</v>
      </c>
      <c r="O903" s="2" t="s">
        <v>2053</v>
      </c>
      <c r="P903" s="10">
        <v>0.92</v>
      </c>
      <c r="Q903" s="10" t="str">
        <f>_xlfn.IFS(Table1[[#This Row],[Rating]]&gt;=4, "Top Performer", Table1[[#This Row],[Rating]]&gt;=3, "Average", TRUE, "Needs Imporovement")</f>
        <v>Needs Imporovement</v>
      </c>
    </row>
    <row r="904" spans="1:17" x14ac:dyDescent="0.3">
      <c r="A904" s="2" t="s">
        <v>1846</v>
      </c>
      <c r="B904" s="2" t="s">
        <v>1847</v>
      </c>
      <c r="C904" s="2" t="s">
        <v>49</v>
      </c>
      <c r="D904" s="2">
        <v>53</v>
      </c>
      <c r="E904" s="2" t="str">
        <f>_xlfn.IFS(Table1[[#This Row],[Age]]&lt;30, "18-29", D904&lt;=45,"30-45", D904&lt;=55, "46-55", TRUE, "55+")</f>
        <v>46-55</v>
      </c>
      <c r="F904" s="2" t="s">
        <v>92</v>
      </c>
      <c r="G904" s="2" t="s">
        <v>93</v>
      </c>
      <c r="H904" s="2" t="s">
        <v>14</v>
      </c>
      <c r="I904" s="5">
        <v>32</v>
      </c>
      <c r="J904" s="5" t="str">
        <f>_xlfn.IFS(Table1[[#This Row],[Experience(Years)]]&lt;5, "Junior", I904&lt;=12, "Mid-Level", I904&lt;=20, "Senior", I904&lt;=30, "Super Senior", TRUE, "Expert")</f>
        <v>Expert</v>
      </c>
      <c r="K904" s="7">
        <v>20</v>
      </c>
      <c r="L904" s="7">
        <f>Table1[[#This Row],[Hourly Rate]]*1000</f>
        <v>20000</v>
      </c>
      <c r="M904" s="7" t="str">
        <f t="shared" si="14"/>
        <v>Budget</v>
      </c>
      <c r="N904" s="2">
        <f>IF(ISNUMBER(#REF!),#REF!, _xlfn.IFS( I904&gt;=30, 5, I904&gt;=25, 4.8, I904&gt;=15, 4, I904&gt;=10, 3.8, I904&gt;=5, 3, I904&gt;=2, 2.5, I904&gt;=0, 1.8, TRUE, 1.3))</f>
        <v>5</v>
      </c>
      <c r="O904" s="2" t="s">
        <v>2052</v>
      </c>
      <c r="P904" s="10">
        <v>1</v>
      </c>
      <c r="Q904" s="10" t="str">
        <f>_xlfn.IFS(Table1[[#This Row],[Rating]]&gt;=4, "Top Performer", Table1[[#This Row],[Rating]]&gt;=3, "Average", TRUE, "Needs Imporovement")</f>
        <v>Top Performer</v>
      </c>
    </row>
    <row r="905" spans="1:17" x14ac:dyDescent="0.3">
      <c r="A905" s="2" t="s">
        <v>1848</v>
      </c>
      <c r="B905" s="2" t="s">
        <v>1849</v>
      </c>
      <c r="C905" s="2" t="s">
        <v>49</v>
      </c>
      <c r="D905" s="2">
        <v>53</v>
      </c>
      <c r="E905" s="2" t="str">
        <f>_xlfn.IFS(Table1[[#This Row],[Age]]&lt;30, "18-29", D905&lt;=45,"30-45", D905&lt;=55, "46-55", TRUE, "55+")</f>
        <v>46-55</v>
      </c>
      <c r="F905" s="2" t="s">
        <v>44</v>
      </c>
      <c r="G905" s="2" t="s">
        <v>45</v>
      </c>
      <c r="H905" s="2" t="s">
        <v>9</v>
      </c>
      <c r="I905" s="5">
        <v>19</v>
      </c>
      <c r="J905" s="5" t="str">
        <f>_xlfn.IFS(Table1[[#This Row],[Experience(Years)]]&lt;5, "Junior", I905&lt;=12, "Mid-Level", I905&lt;=20, "Senior", I905&lt;=30, "Super Senior", TRUE, "Expert")</f>
        <v>Senior</v>
      </c>
      <c r="K905" s="7">
        <v>20</v>
      </c>
      <c r="L905" s="7">
        <f>Table1[[#This Row],[Hourly Rate]]*1000</f>
        <v>20000</v>
      </c>
      <c r="M905" s="7" t="str">
        <f t="shared" si="14"/>
        <v>Budget</v>
      </c>
      <c r="N905" s="2">
        <f>IF(ISNUMBER(#REF!),#REF!, _xlfn.IFS( I905&gt;=30, 5, I905&gt;=25, 4.8, I905&gt;=15, 4, I905&gt;=10, 3.8, I905&gt;=5, 3, I905&gt;=2, 2.5, I905&gt;=0, 1.8, TRUE, 1.3))</f>
        <v>4</v>
      </c>
      <c r="O905" s="2" t="s">
        <v>2052</v>
      </c>
      <c r="P905" s="10">
        <v>0.85</v>
      </c>
      <c r="Q905" s="10" t="str">
        <f>_xlfn.IFS(Table1[[#This Row],[Rating]]&gt;=4, "Top Performer", Table1[[#This Row],[Rating]]&gt;=3, "Average", TRUE, "Needs Imporovement")</f>
        <v>Top Performer</v>
      </c>
    </row>
    <row r="906" spans="1:17" x14ac:dyDescent="0.3">
      <c r="A906" s="2" t="s">
        <v>1850</v>
      </c>
      <c r="B906" s="2" t="s">
        <v>1851</v>
      </c>
      <c r="C906" s="2" t="s">
        <v>68</v>
      </c>
      <c r="D906" s="2">
        <v>21</v>
      </c>
      <c r="E906" s="2" t="str">
        <f>_xlfn.IFS(Table1[[#This Row],[Age]]&lt;30, "18-29", D906&lt;=45,"30-45", D906&lt;=55, "46-55", TRUE, "55+")</f>
        <v>18-29</v>
      </c>
      <c r="F906" s="2" t="s">
        <v>64</v>
      </c>
      <c r="G906" s="2" t="s">
        <v>65</v>
      </c>
      <c r="H906" s="2" t="s">
        <v>29</v>
      </c>
      <c r="I906" s="5">
        <v>2</v>
      </c>
      <c r="J906" s="5" t="str">
        <f>_xlfn.IFS(Table1[[#This Row],[Experience(Years)]]&lt;5, "Junior", I906&lt;=12, "Mid-Level", I906&lt;=20, "Senior", I906&lt;=30, "Super Senior", TRUE, "Expert")</f>
        <v>Junior</v>
      </c>
      <c r="K906" s="7">
        <v>50</v>
      </c>
      <c r="L906" s="7">
        <f>Table1[[#This Row],[Hourly Rate]]*1000</f>
        <v>50000</v>
      </c>
      <c r="M906" s="7" t="str">
        <f t="shared" si="14"/>
        <v>Standard</v>
      </c>
      <c r="N906" s="2">
        <f>IF(ISNUMBER(#REF!),#REF!, _xlfn.IFS( I906&gt;=30, 5, I906&gt;=25, 4.8, I906&gt;=15, 4, I906&gt;=10, 3.8, I906&gt;=5, 3, I906&gt;=2, 2.5, I906&gt;=0, 1.8, TRUE, 1.3))</f>
        <v>2.5</v>
      </c>
      <c r="O906" s="2" t="s">
        <v>2052</v>
      </c>
      <c r="P906" s="10">
        <v>0.86</v>
      </c>
      <c r="Q906" s="10" t="str">
        <f>_xlfn.IFS(Table1[[#This Row],[Rating]]&gt;=4, "Top Performer", Table1[[#This Row],[Rating]]&gt;=3, "Average", TRUE, "Needs Imporovement")</f>
        <v>Needs Imporovement</v>
      </c>
    </row>
    <row r="907" spans="1:17" x14ac:dyDescent="0.3">
      <c r="A907" s="2" t="s">
        <v>1852</v>
      </c>
      <c r="B907" s="2" t="s">
        <v>1853</v>
      </c>
      <c r="C907" s="2" t="s">
        <v>49</v>
      </c>
      <c r="D907" s="2">
        <v>35</v>
      </c>
      <c r="E907" s="2" t="str">
        <f>_xlfn.IFS(Table1[[#This Row],[Age]]&lt;30, "18-29", D907&lt;=45,"30-45", D907&lt;=55, "46-55", TRUE, "55+")</f>
        <v>30-45</v>
      </c>
      <c r="F907" s="2" t="s">
        <v>41</v>
      </c>
      <c r="G907" s="2" t="s">
        <v>8</v>
      </c>
      <c r="H907" s="2" t="s">
        <v>4</v>
      </c>
      <c r="I907" s="5">
        <v>0</v>
      </c>
      <c r="J907" s="5" t="str">
        <f>_xlfn.IFS(Table1[[#This Row],[Experience(Years)]]&lt;5, "Junior", I907&lt;=12, "Mid-Level", I907&lt;=20, "Senior", I907&lt;=30, "Super Senior", TRUE, "Expert")</f>
        <v>Junior</v>
      </c>
      <c r="K907" s="7">
        <v>20</v>
      </c>
      <c r="L907" s="7">
        <f>Table1[[#This Row],[Hourly Rate]]*1000</f>
        <v>20000</v>
      </c>
      <c r="M907" s="7" t="str">
        <f t="shared" si="14"/>
        <v>Budget</v>
      </c>
      <c r="N907" s="2">
        <f>IF(ISNUMBER(#REF!),#REF!, _xlfn.IFS( I907&gt;=30, 5, I907&gt;=25, 4.8, I907&gt;=15, 4, I907&gt;=10, 3.8, I907&gt;=5, 3, I907&gt;=2, 2.5, I907&gt;=0, 1.8, TRUE, 1.3))</f>
        <v>1.8</v>
      </c>
      <c r="O907" s="2" t="s">
        <v>2053</v>
      </c>
      <c r="P907" s="10">
        <v>0.85</v>
      </c>
      <c r="Q907" s="10" t="str">
        <f>_xlfn.IFS(Table1[[#This Row],[Rating]]&gt;=4, "Top Performer", Table1[[#This Row],[Rating]]&gt;=3, "Average", TRUE, "Needs Imporovement")</f>
        <v>Needs Imporovement</v>
      </c>
    </row>
    <row r="908" spans="1:17" x14ac:dyDescent="0.3">
      <c r="A908" s="2" t="s">
        <v>1854</v>
      </c>
      <c r="B908" s="2" t="s">
        <v>1855</v>
      </c>
      <c r="C908" s="2" t="s">
        <v>68</v>
      </c>
      <c r="D908" s="2">
        <v>31</v>
      </c>
      <c r="E908" s="2" t="str">
        <f>_xlfn.IFS(Table1[[#This Row],[Age]]&lt;30, "18-29", D908&lt;=45,"30-45", D908&lt;=55, "46-55", TRUE, "55+")</f>
        <v>30-45</v>
      </c>
      <c r="F908" s="2" t="s">
        <v>44</v>
      </c>
      <c r="G908" s="2" t="s">
        <v>45</v>
      </c>
      <c r="H908" s="2" t="s">
        <v>83</v>
      </c>
      <c r="I908" s="5">
        <v>13</v>
      </c>
      <c r="J908" s="5" t="str">
        <f>_xlfn.IFS(Table1[[#This Row],[Experience(Years)]]&lt;5, "Junior", I908&lt;=12, "Mid-Level", I908&lt;=20, "Senior", I908&lt;=30, "Super Senior", TRUE, "Expert")</f>
        <v>Senior</v>
      </c>
      <c r="K908" s="7">
        <v>40</v>
      </c>
      <c r="L908" s="7">
        <f>Table1[[#This Row],[Hourly Rate]]*1000</f>
        <v>40000</v>
      </c>
      <c r="M908" s="7" t="str">
        <f t="shared" si="14"/>
        <v>Standard</v>
      </c>
      <c r="N908" s="2">
        <f>IF(ISNUMBER(#REF!),#REF!, _xlfn.IFS( I908&gt;=30, 5, I908&gt;=25, 4.8, I908&gt;=15, 4, I908&gt;=10, 3.8, I908&gt;=5, 3, I908&gt;=2, 2.5, I908&gt;=0, 1.8, TRUE, 1.3))</f>
        <v>3.8</v>
      </c>
      <c r="O908" s="2" t="s">
        <v>2052</v>
      </c>
      <c r="P908" s="10">
        <v>0.62</v>
      </c>
      <c r="Q908" s="10" t="str">
        <f>_xlfn.IFS(Table1[[#This Row],[Rating]]&gt;=4, "Top Performer", Table1[[#This Row],[Rating]]&gt;=3, "Average", TRUE, "Needs Imporovement")</f>
        <v>Average</v>
      </c>
    </row>
    <row r="909" spans="1:17" x14ac:dyDescent="0.3">
      <c r="A909" s="2" t="s">
        <v>1856</v>
      </c>
      <c r="B909" s="2" t="s">
        <v>1857</v>
      </c>
      <c r="C909" s="2" t="s">
        <v>49</v>
      </c>
      <c r="D909" s="2">
        <v>55</v>
      </c>
      <c r="E909" s="2" t="str">
        <f>_xlfn.IFS(Table1[[#This Row],[Age]]&lt;30, "18-29", D909&lt;=45,"30-45", D909&lt;=55, "46-55", TRUE, "55+")</f>
        <v>46-55</v>
      </c>
      <c r="F909" s="2" t="s">
        <v>81</v>
      </c>
      <c r="G909" s="2" t="s">
        <v>82</v>
      </c>
      <c r="H909" s="2" t="s">
        <v>24</v>
      </c>
      <c r="I909" s="5">
        <v>2</v>
      </c>
      <c r="J909" s="5" t="str">
        <f>_xlfn.IFS(Table1[[#This Row],[Experience(Years)]]&lt;5, "Junior", I909&lt;=12, "Mid-Level", I909&lt;=20, "Senior", I909&lt;=30, "Super Senior", TRUE, "Expert")</f>
        <v>Junior</v>
      </c>
      <c r="K909" s="7">
        <v>30</v>
      </c>
      <c r="L909" s="7">
        <f>Table1[[#This Row],[Hourly Rate]]*1000</f>
        <v>30000</v>
      </c>
      <c r="M909" s="7" t="str">
        <f t="shared" si="14"/>
        <v>Budget</v>
      </c>
      <c r="N909" s="2">
        <f>IF(ISNUMBER(#REF!),#REF!, _xlfn.IFS( I909&gt;=30, 5, I909&gt;=25, 4.8, I909&gt;=15, 4, I909&gt;=10, 3.8, I909&gt;=5, 3, I909&gt;=2, 2.5, I909&gt;=0, 1.8, TRUE, 1.3))</f>
        <v>2.5</v>
      </c>
      <c r="O909" s="2" t="s">
        <v>2053</v>
      </c>
      <c r="P909" s="10">
        <v>0.91</v>
      </c>
      <c r="Q909" s="10" t="str">
        <f>_xlfn.IFS(Table1[[#This Row],[Rating]]&gt;=4, "Top Performer", Table1[[#This Row],[Rating]]&gt;=3, "Average", TRUE, "Needs Imporovement")</f>
        <v>Needs Imporovement</v>
      </c>
    </row>
    <row r="910" spans="1:17" x14ac:dyDescent="0.3">
      <c r="A910" s="2" t="s">
        <v>1858</v>
      </c>
      <c r="B910" s="2" t="s">
        <v>1859</v>
      </c>
      <c r="C910" s="2" t="s">
        <v>49</v>
      </c>
      <c r="D910" s="2">
        <v>59</v>
      </c>
      <c r="E910" s="2" t="str">
        <f>_xlfn.IFS(Table1[[#This Row],[Age]]&lt;30, "18-29", D910&lt;=45,"30-45", D910&lt;=55, "46-55", TRUE, "55+")</f>
        <v>55+</v>
      </c>
      <c r="F910" s="2" t="s">
        <v>37</v>
      </c>
      <c r="G910" s="2" t="s">
        <v>38</v>
      </c>
      <c r="H910" s="2" t="s">
        <v>17</v>
      </c>
      <c r="I910" s="5">
        <v>11</v>
      </c>
      <c r="J910" s="5" t="str">
        <f>_xlfn.IFS(Table1[[#This Row],[Experience(Years)]]&lt;5, "Junior", I910&lt;=12, "Mid-Level", I910&lt;=20, "Senior", I910&lt;=30, "Super Senior", TRUE, "Expert")</f>
        <v>Mid-Level</v>
      </c>
      <c r="K910" s="7">
        <v>75</v>
      </c>
      <c r="L910" s="7">
        <f>Table1[[#This Row],[Hourly Rate]]*1000</f>
        <v>75000</v>
      </c>
      <c r="M910" s="7" t="str">
        <f t="shared" si="14"/>
        <v>Standard</v>
      </c>
      <c r="N910" s="2">
        <f>IF(ISNUMBER(#REF!),#REF!, _xlfn.IFS( I910&gt;=30, 5, I910&gt;=25, 4.8, I910&gt;=15, 4, I910&gt;=10, 3.8, I910&gt;=5, 3, I910&gt;=2, 2.5, I910&gt;=0, 1.8, TRUE, 1.3))</f>
        <v>3.8</v>
      </c>
      <c r="O910" s="2" t="s">
        <v>2053</v>
      </c>
      <c r="P910" s="10">
        <v>0.8</v>
      </c>
      <c r="Q910" s="10" t="str">
        <f>_xlfn.IFS(Table1[[#This Row],[Rating]]&gt;=4, "Top Performer", Table1[[#This Row],[Rating]]&gt;=3, "Average", TRUE, "Needs Imporovement")</f>
        <v>Average</v>
      </c>
    </row>
    <row r="911" spans="1:17" x14ac:dyDescent="0.3">
      <c r="A911" s="2" t="s">
        <v>1860</v>
      </c>
      <c r="B911" s="2" t="s">
        <v>1861</v>
      </c>
      <c r="C911" s="2" t="s">
        <v>68</v>
      </c>
      <c r="D911" s="2">
        <v>59</v>
      </c>
      <c r="E911" s="2" t="str">
        <f>_xlfn.IFS(Table1[[#This Row],[Age]]&lt;30, "18-29", D911&lt;=45,"30-45", D911&lt;=55, "46-55", TRUE, "55+")</f>
        <v>55+</v>
      </c>
      <c r="F911" s="2" t="s">
        <v>103</v>
      </c>
      <c r="G911" s="2" t="s">
        <v>104</v>
      </c>
      <c r="H911" s="2" t="s">
        <v>50</v>
      </c>
      <c r="I911" s="5">
        <v>17</v>
      </c>
      <c r="J911" s="5" t="str">
        <f>_xlfn.IFS(Table1[[#This Row],[Experience(Years)]]&lt;5, "Junior", I911&lt;=12, "Mid-Level", I911&lt;=20, "Senior", I911&lt;=30, "Super Senior", TRUE, "Expert")</f>
        <v>Senior</v>
      </c>
      <c r="K911" s="7">
        <v>100</v>
      </c>
      <c r="L911" s="7">
        <f>Table1[[#This Row],[Hourly Rate]]*1000</f>
        <v>100000</v>
      </c>
      <c r="M911" s="7" t="str">
        <f t="shared" si="14"/>
        <v>Premium</v>
      </c>
      <c r="N911" s="2">
        <f>IF(ISNUMBER(#REF!),#REF!, _xlfn.IFS( I911&gt;=30, 5, I911&gt;=25, 4.8, I911&gt;=15, 4, I911&gt;=10, 3.8, I911&gt;=5, 3, I911&gt;=2, 2.5, I911&gt;=0, 1.8, TRUE, 1.3))</f>
        <v>4</v>
      </c>
      <c r="O911" s="2" t="s">
        <v>2052</v>
      </c>
      <c r="P911" s="10">
        <v>0.72</v>
      </c>
      <c r="Q911" s="10" t="str">
        <f>_xlfn.IFS(Table1[[#This Row],[Rating]]&gt;=4, "Top Performer", Table1[[#This Row],[Rating]]&gt;=3, "Average", TRUE, "Needs Imporovement")</f>
        <v>Top Performer</v>
      </c>
    </row>
    <row r="912" spans="1:17" x14ac:dyDescent="0.3">
      <c r="A912" s="2" t="s">
        <v>1862</v>
      </c>
      <c r="B912" s="2" t="s">
        <v>1863</v>
      </c>
      <c r="C912" s="2" t="s">
        <v>68</v>
      </c>
      <c r="D912" s="2">
        <v>47</v>
      </c>
      <c r="E912" s="2" t="str">
        <f>_xlfn.IFS(Table1[[#This Row],[Age]]&lt;30, "18-29", D912&lt;=45,"30-45", D912&lt;=55, "46-55", TRUE, "55+")</f>
        <v>46-55</v>
      </c>
      <c r="F912" s="2" t="s">
        <v>64</v>
      </c>
      <c r="G912" s="2" t="s">
        <v>65</v>
      </c>
      <c r="H912" s="2" t="s">
        <v>4</v>
      </c>
      <c r="I912" s="5">
        <v>10</v>
      </c>
      <c r="J912" s="5" t="str">
        <f>_xlfn.IFS(Table1[[#This Row],[Experience(Years)]]&lt;5, "Junior", I912&lt;=12, "Mid-Level", I912&lt;=20, "Senior", I912&lt;=30, "Super Senior", TRUE, "Expert")</f>
        <v>Mid-Level</v>
      </c>
      <c r="K912" s="7">
        <v>75</v>
      </c>
      <c r="L912" s="7">
        <f>Table1[[#This Row],[Hourly Rate]]*1000</f>
        <v>75000</v>
      </c>
      <c r="M912" s="7" t="str">
        <f t="shared" si="14"/>
        <v>Standard</v>
      </c>
      <c r="N912" s="2">
        <f>IF(ISNUMBER(#REF!),#REF!, _xlfn.IFS( I912&gt;=30, 5, I912&gt;=25, 4.8, I912&gt;=15, 4, I912&gt;=10, 3.8, I912&gt;=5, 3, I912&gt;=2, 2.5, I912&gt;=0, 1.8, TRUE, 1.3))</f>
        <v>3.8</v>
      </c>
      <c r="O912" s="2" t="str">
        <f>IF(AND( Table1[[#This Row],[Rating]]&gt;=3.5, Table1[[#This Row],[Experience(Years)]]&gt;=15), "Active", "Inactive")</f>
        <v>Inactive</v>
      </c>
      <c r="P912" s="10">
        <v>0.75</v>
      </c>
      <c r="Q912" s="10" t="str">
        <f>_xlfn.IFS(Table1[[#This Row],[Rating]]&gt;=4, "Top Performer", Table1[[#This Row],[Rating]]&gt;=3, "Average", TRUE, "Needs Imporovement")</f>
        <v>Average</v>
      </c>
    </row>
    <row r="913" spans="1:17" x14ac:dyDescent="0.3">
      <c r="A913" s="2" t="s">
        <v>1864</v>
      </c>
      <c r="B913" s="2" t="s">
        <v>1865</v>
      </c>
      <c r="C913" s="2" t="s">
        <v>49</v>
      </c>
      <c r="D913" s="2">
        <v>53</v>
      </c>
      <c r="E913" s="2" t="str">
        <f>_xlfn.IFS(Table1[[#This Row],[Age]]&lt;30, "18-29", D913&lt;=45,"30-45", D913&lt;=55, "46-55", TRUE, "55+")</f>
        <v>46-55</v>
      </c>
      <c r="F913" s="2" t="s">
        <v>121</v>
      </c>
      <c r="G913" s="2" t="s">
        <v>122</v>
      </c>
      <c r="H913" s="2" t="s">
        <v>83</v>
      </c>
      <c r="I913" s="5">
        <v>26</v>
      </c>
      <c r="J913" s="5" t="str">
        <f>_xlfn.IFS(Table1[[#This Row],[Experience(Years)]]&lt;5, "Junior", I913&lt;=12, "Mid-Level", I913&lt;=20, "Senior", I913&lt;=30, "Super Senior", TRUE, "Expert")</f>
        <v>Super Senior</v>
      </c>
      <c r="K913" s="7">
        <v>75</v>
      </c>
      <c r="L913" s="7">
        <f>Table1[[#This Row],[Hourly Rate]]*1000</f>
        <v>75000</v>
      </c>
      <c r="M913" s="7" t="str">
        <f t="shared" si="14"/>
        <v>Standard</v>
      </c>
      <c r="N913" s="2">
        <f>IF(ISNUMBER(#REF!),#REF!, _xlfn.IFS( I913&gt;=30, 5, I913&gt;=25, 4.8, I913&gt;=15, 4, I913&gt;=10, 3.8, I913&gt;=5, 3, I913&gt;=2, 2.5, I913&gt;=0, 1.8, TRUE, 1.3))</f>
        <v>4.8</v>
      </c>
      <c r="O913" s="2" t="s">
        <v>2053</v>
      </c>
      <c r="P913" s="10">
        <v>0.9</v>
      </c>
      <c r="Q913" s="10" t="str">
        <f>_xlfn.IFS(Table1[[#This Row],[Rating]]&gt;=4, "Top Performer", Table1[[#This Row],[Rating]]&gt;=3, "Average", TRUE, "Needs Imporovement")</f>
        <v>Top Performer</v>
      </c>
    </row>
    <row r="914" spans="1:17" x14ac:dyDescent="0.3">
      <c r="A914" s="2" t="s">
        <v>1866</v>
      </c>
      <c r="B914" s="2" t="s">
        <v>483</v>
      </c>
      <c r="C914" s="2" t="s">
        <v>68</v>
      </c>
      <c r="D914" s="2">
        <v>49</v>
      </c>
      <c r="E914" s="2" t="str">
        <f>_xlfn.IFS(Table1[[#This Row],[Age]]&lt;30, "18-29", D914&lt;=45,"30-45", D914&lt;=55, "46-55", TRUE, "55+")</f>
        <v>46-55</v>
      </c>
      <c r="F914" s="2" t="s">
        <v>121</v>
      </c>
      <c r="G914" s="2" t="s">
        <v>122</v>
      </c>
      <c r="H914" s="2" t="s">
        <v>29</v>
      </c>
      <c r="I914" s="5">
        <v>10</v>
      </c>
      <c r="J914" s="5" t="str">
        <f>_xlfn.IFS(Table1[[#This Row],[Experience(Years)]]&lt;5, "Junior", I914&lt;=12, "Mid-Level", I914&lt;=20, "Senior", I914&lt;=30, "Super Senior", TRUE, "Expert")</f>
        <v>Mid-Level</v>
      </c>
      <c r="K914" s="7">
        <v>30</v>
      </c>
      <c r="L914" s="7">
        <f>Table1[[#This Row],[Hourly Rate]]*1000</f>
        <v>30000</v>
      </c>
      <c r="M914" s="7" t="str">
        <f t="shared" si="14"/>
        <v>Budget</v>
      </c>
      <c r="N914" s="2">
        <f>IF(ISNUMBER(#REF!),#REF!, _xlfn.IFS( I914&gt;=30, 5, I914&gt;=25, 4.8, I914&gt;=15, 4, I914&gt;=10, 3.8, I914&gt;=5, 3, I914&gt;=2, 2.5, I914&gt;=0, 1.8, TRUE, 1.3))</f>
        <v>3.8</v>
      </c>
      <c r="O914" s="2" t="s">
        <v>2053</v>
      </c>
      <c r="P914" s="10">
        <v>0.74</v>
      </c>
      <c r="Q914" s="10" t="str">
        <f>_xlfn.IFS(Table1[[#This Row],[Rating]]&gt;=4, "Top Performer", Table1[[#This Row],[Rating]]&gt;=3, "Average", TRUE, "Needs Imporovement")</f>
        <v>Average</v>
      </c>
    </row>
    <row r="915" spans="1:17" x14ac:dyDescent="0.3">
      <c r="A915" s="2" t="s">
        <v>1867</v>
      </c>
      <c r="B915" s="2" t="s">
        <v>1868</v>
      </c>
      <c r="C915" s="2" t="s">
        <v>49</v>
      </c>
      <c r="D915" s="2">
        <v>50</v>
      </c>
      <c r="E915" s="2" t="str">
        <f>_xlfn.IFS(Table1[[#This Row],[Age]]&lt;30, "18-29", D915&lt;=45,"30-45", D915&lt;=55, "46-55", TRUE, "55+")</f>
        <v>46-55</v>
      </c>
      <c r="F915" s="2" t="s">
        <v>121</v>
      </c>
      <c r="G915" s="2" t="s">
        <v>122</v>
      </c>
      <c r="H915" s="2" t="s">
        <v>9</v>
      </c>
      <c r="I915" s="5">
        <v>8</v>
      </c>
      <c r="J915" s="5" t="str">
        <f>_xlfn.IFS(Table1[[#This Row],[Experience(Years)]]&lt;5, "Junior", I915&lt;=12, "Mid-Level", I915&lt;=20, "Senior", I915&lt;=30, "Super Senior", TRUE, "Expert")</f>
        <v>Mid-Level</v>
      </c>
      <c r="K915" s="7">
        <v>50</v>
      </c>
      <c r="L915" s="7">
        <f>Table1[[#This Row],[Hourly Rate]]*1000</f>
        <v>50000</v>
      </c>
      <c r="M915" s="7" t="str">
        <f t="shared" si="14"/>
        <v>Standard</v>
      </c>
      <c r="N915" s="2">
        <f>IF(ISNUMBER(#REF!),#REF!, _xlfn.IFS( I915&gt;=30, 5, I915&gt;=25, 4.8, I915&gt;=15, 4, I915&gt;=10, 3.8, I915&gt;=5, 3, I915&gt;=2, 2.5, I915&gt;=0, 1.8, TRUE, 1.3))</f>
        <v>3</v>
      </c>
      <c r="O915" s="2" t="s">
        <v>2053</v>
      </c>
      <c r="P915" s="10">
        <v>0.82</v>
      </c>
      <c r="Q915" s="10" t="str">
        <f>_xlfn.IFS(Table1[[#This Row],[Rating]]&gt;=4, "Top Performer", Table1[[#This Row],[Rating]]&gt;=3, "Average", TRUE, "Needs Imporovement")</f>
        <v>Average</v>
      </c>
    </row>
    <row r="916" spans="1:17" x14ac:dyDescent="0.3">
      <c r="A916" s="2" t="s">
        <v>1869</v>
      </c>
      <c r="B916" s="2" t="s">
        <v>1870</v>
      </c>
      <c r="C916" s="2" t="s">
        <v>49</v>
      </c>
      <c r="D916" s="2">
        <v>59</v>
      </c>
      <c r="E916" s="2" t="str">
        <f>_xlfn.IFS(Table1[[#This Row],[Age]]&lt;30, "18-29", D916&lt;=45,"30-45", D916&lt;=55, "46-55", TRUE, "55+")</f>
        <v>55+</v>
      </c>
      <c r="F916" s="2" t="s">
        <v>81</v>
      </c>
      <c r="G916" s="2" t="s">
        <v>82</v>
      </c>
      <c r="H916" s="2" t="s">
        <v>83</v>
      </c>
      <c r="I916" s="5">
        <v>22</v>
      </c>
      <c r="J916" s="5" t="str">
        <f>_xlfn.IFS(Table1[[#This Row],[Experience(Years)]]&lt;5, "Junior", I916&lt;=12, "Mid-Level", I916&lt;=20, "Senior", I916&lt;=30, "Super Senior", TRUE, "Expert")</f>
        <v>Super Senior</v>
      </c>
      <c r="K916" s="7">
        <v>100</v>
      </c>
      <c r="L916" s="7">
        <f>Table1[[#This Row],[Hourly Rate]]*1000</f>
        <v>100000</v>
      </c>
      <c r="M916" s="7" t="str">
        <f t="shared" si="14"/>
        <v>Premium</v>
      </c>
      <c r="N916" s="2">
        <f>IF(ISNUMBER(#REF!),#REF!, _xlfn.IFS( I916&gt;=30, 5, I916&gt;=25, 4.8, I916&gt;=15, 4, I916&gt;=10, 3.8, I916&gt;=5, 3, I916&gt;=2, 2.5, I916&gt;=0, 1.8, TRUE, 1.3))</f>
        <v>4</v>
      </c>
      <c r="O916" s="2" t="s">
        <v>2052</v>
      </c>
      <c r="P916" s="10">
        <v>0.85</v>
      </c>
      <c r="Q916" s="10" t="str">
        <f>_xlfn.IFS(Table1[[#This Row],[Rating]]&gt;=4, "Top Performer", Table1[[#This Row],[Rating]]&gt;=3, "Average", TRUE, "Needs Imporovement")</f>
        <v>Top Performer</v>
      </c>
    </row>
    <row r="917" spans="1:17" x14ac:dyDescent="0.3">
      <c r="A917" s="2" t="s">
        <v>1871</v>
      </c>
      <c r="B917" s="2" t="s">
        <v>1872</v>
      </c>
      <c r="C917" s="2" t="s">
        <v>68</v>
      </c>
      <c r="D917" s="2">
        <v>33</v>
      </c>
      <c r="E917" s="2" t="str">
        <f>_xlfn.IFS(Table1[[#This Row],[Age]]&lt;30, "18-29", D917&lt;=45,"30-45", D917&lt;=55, "46-55", TRUE, "55+")</f>
        <v>30-45</v>
      </c>
      <c r="F917" s="2" t="s">
        <v>37</v>
      </c>
      <c r="G917" s="2" t="s">
        <v>38</v>
      </c>
      <c r="H917" s="2" t="s">
        <v>29</v>
      </c>
      <c r="I917" s="5">
        <v>8</v>
      </c>
      <c r="J917" s="5" t="str">
        <f>_xlfn.IFS(Table1[[#This Row],[Experience(Years)]]&lt;5, "Junior", I917&lt;=12, "Mid-Level", I917&lt;=20, "Senior", I917&lt;=30, "Super Senior", TRUE, "Expert")</f>
        <v>Mid-Level</v>
      </c>
      <c r="K917" s="7">
        <v>75</v>
      </c>
      <c r="L917" s="7">
        <f>Table1[[#This Row],[Hourly Rate]]*1000</f>
        <v>75000</v>
      </c>
      <c r="M917" s="7" t="str">
        <f t="shared" si="14"/>
        <v>Standard</v>
      </c>
      <c r="N917" s="2">
        <f>IF(ISNUMBER(#REF!),#REF!, _xlfn.IFS( I917&gt;=30, 5, I917&gt;=25, 4.8, I917&gt;=15, 4, I917&gt;=10, 3.8, I917&gt;=5, 3, I917&gt;=2, 2.5, I917&gt;=0, 1.8, TRUE, 1.3))</f>
        <v>3</v>
      </c>
      <c r="O917" s="2" t="s">
        <v>2053</v>
      </c>
      <c r="P917" s="10">
        <v>0.68</v>
      </c>
      <c r="Q917" s="10" t="str">
        <f>_xlfn.IFS(Table1[[#This Row],[Rating]]&gt;=4, "Top Performer", Table1[[#This Row],[Rating]]&gt;=3, "Average", TRUE, "Needs Imporovement")</f>
        <v>Average</v>
      </c>
    </row>
    <row r="918" spans="1:17" x14ac:dyDescent="0.3">
      <c r="A918" s="2" t="s">
        <v>1873</v>
      </c>
      <c r="B918" s="2" t="s">
        <v>1874</v>
      </c>
      <c r="C918" s="2" t="s">
        <v>49</v>
      </c>
      <c r="D918" s="2">
        <v>45</v>
      </c>
      <c r="E918" s="2" t="str">
        <f>_xlfn.IFS(Table1[[#This Row],[Age]]&lt;30, "18-29", D918&lt;=45,"30-45", D918&lt;=55, "46-55", TRUE, "55+")</f>
        <v>30-45</v>
      </c>
      <c r="F918" s="2" t="s">
        <v>96</v>
      </c>
      <c r="G918" s="2" t="s">
        <v>8</v>
      </c>
      <c r="H918" s="2" t="s">
        <v>17</v>
      </c>
      <c r="I918" s="5">
        <v>22</v>
      </c>
      <c r="J918" s="5" t="str">
        <f>_xlfn.IFS(Table1[[#This Row],[Experience(Years)]]&lt;5, "Junior", I918&lt;=12, "Mid-Level", I918&lt;=20, "Senior", I918&lt;=30, "Super Senior", TRUE, "Expert")</f>
        <v>Super Senior</v>
      </c>
      <c r="K918" s="7">
        <v>40</v>
      </c>
      <c r="L918" s="7">
        <f>Table1[[#This Row],[Hourly Rate]]*1000</f>
        <v>40000</v>
      </c>
      <c r="M918" s="7" t="str">
        <f t="shared" si="14"/>
        <v>Standard</v>
      </c>
      <c r="N918" s="2">
        <f>IF(ISNUMBER(#REF!),#REF!, _xlfn.IFS( I918&gt;=30, 5, I918&gt;=25, 4.8, I918&gt;=15, 4, I918&gt;=10, 3.8, I918&gt;=5, 3, I918&gt;=2, 2.5, I918&gt;=0, 1.8, TRUE, 1.3))</f>
        <v>4</v>
      </c>
      <c r="O918" s="2" t="s">
        <v>2053</v>
      </c>
      <c r="P918" s="10">
        <v>0.99</v>
      </c>
      <c r="Q918" s="10" t="str">
        <f>_xlfn.IFS(Table1[[#This Row],[Rating]]&gt;=4, "Top Performer", Table1[[#This Row],[Rating]]&gt;=3, "Average", TRUE, "Needs Imporovement")</f>
        <v>Top Performer</v>
      </c>
    </row>
    <row r="919" spans="1:17" x14ac:dyDescent="0.3">
      <c r="A919" s="2" t="s">
        <v>1875</v>
      </c>
      <c r="B919" s="2" t="s">
        <v>1876</v>
      </c>
      <c r="C919" s="2" t="s">
        <v>49</v>
      </c>
      <c r="D919" s="2">
        <v>36</v>
      </c>
      <c r="E919" s="2" t="str">
        <f>_xlfn.IFS(Table1[[#This Row],[Age]]&lt;30, "18-29", D919&lt;=45,"30-45", D919&lt;=55, "46-55", TRUE, "55+")</f>
        <v>30-45</v>
      </c>
      <c r="F919" s="2" t="s">
        <v>2</v>
      </c>
      <c r="G919" s="2" t="s">
        <v>3</v>
      </c>
      <c r="H919" s="2" t="s">
        <v>14</v>
      </c>
      <c r="I919" s="5">
        <v>14</v>
      </c>
      <c r="J919" s="5" t="str">
        <f>_xlfn.IFS(Table1[[#This Row],[Experience(Years)]]&lt;5, "Junior", I919&lt;=12, "Mid-Level", I919&lt;=20, "Senior", I919&lt;=30, "Super Senior", TRUE, "Expert")</f>
        <v>Senior</v>
      </c>
      <c r="K919" s="7">
        <v>30</v>
      </c>
      <c r="L919" s="7">
        <f>Table1[[#This Row],[Hourly Rate]]*1000</f>
        <v>30000</v>
      </c>
      <c r="M919" s="7" t="str">
        <f t="shared" si="14"/>
        <v>Budget</v>
      </c>
      <c r="N919" s="2">
        <f>IF(ISNUMBER(#REF!),#REF!, _xlfn.IFS( I919&gt;=30, 5, I919&gt;=25, 4.8, I919&gt;=15, 4, I919&gt;=10, 3.8, I919&gt;=5, 3, I919&gt;=2, 2.5, I919&gt;=0, 1.8, TRUE, 1.3))</f>
        <v>3.8</v>
      </c>
      <c r="O919" s="2" t="s">
        <v>2052</v>
      </c>
      <c r="P919" s="10">
        <v>0.62</v>
      </c>
      <c r="Q919" s="10" t="str">
        <f>_xlfn.IFS(Table1[[#This Row],[Rating]]&gt;=4, "Top Performer", Table1[[#This Row],[Rating]]&gt;=3, "Average", TRUE, "Needs Imporovement")</f>
        <v>Average</v>
      </c>
    </row>
    <row r="920" spans="1:17" x14ac:dyDescent="0.3">
      <c r="A920" s="2" t="s">
        <v>1877</v>
      </c>
      <c r="B920" s="2" t="s">
        <v>1878</v>
      </c>
      <c r="C920" s="2" t="s">
        <v>68</v>
      </c>
      <c r="D920" s="2">
        <v>46</v>
      </c>
      <c r="E920" s="2" t="str">
        <f>_xlfn.IFS(Table1[[#This Row],[Age]]&lt;30, "18-29", D920&lt;=45,"30-45", D920&lt;=55, "46-55", TRUE, "55+")</f>
        <v>46-55</v>
      </c>
      <c r="F920" s="2" t="s">
        <v>121</v>
      </c>
      <c r="G920" s="2" t="s">
        <v>122</v>
      </c>
      <c r="H920" s="2" t="s">
        <v>46</v>
      </c>
      <c r="I920" s="5">
        <v>6</v>
      </c>
      <c r="J920" s="5" t="str">
        <f>_xlfn.IFS(Table1[[#This Row],[Experience(Years)]]&lt;5, "Junior", I920&lt;=12, "Mid-Level", I920&lt;=20, "Senior", I920&lt;=30, "Super Senior", TRUE, "Expert")</f>
        <v>Mid-Level</v>
      </c>
      <c r="K920" s="7">
        <v>30</v>
      </c>
      <c r="L920" s="7">
        <f>Table1[[#This Row],[Hourly Rate]]*1000</f>
        <v>30000</v>
      </c>
      <c r="M920" s="7" t="str">
        <f t="shared" si="14"/>
        <v>Budget</v>
      </c>
      <c r="N920" s="2">
        <f>IF(ISNUMBER(#REF!),#REF!, _xlfn.IFS( I920&gt;=30, 5, I920&gt;=25, 4.8, I920&gt;=15, 4, I920&gt;=10, 3.8, I920&gt;=5, 3, I920&gt;=2, 2.5, I920&gt;=0, 1.8, TRUE, 1.3))</f>
        <v>3</v>
      </c>
      <c r="O920" s="2" t="s">
        <v>2052</v>
      </c>
      <c r="P920" s="10">
        <v>0.6</v>
      </c>
      <c r="Q920" s="10" t="str">
        <f>_xlfn.IFS(Table1[[#This Row],[Rating]]&gt;=4, "Top Performer", Table1[[#This Row],[Rating]]&gt;=3, "Average", TRUE, "Needs Imporovement")</f>
        <v>Average</v>
      </c>
    </row>
    <row r="921" spans="1:17" x14ac:dyDescent="0.3">
      <c r="A921" s="2" t="s">
        <v>1879</v>
      </c>
      <c r="B921" s="2" t="s">
        <v>1880</v>
      </c>
      <c r="C921" s="2" t="s">
        <v>49</v>
      </c>
      <c r="D921" s="2">
        <v>53</v>
      </c>
      <c r="E921" s="2" t="str">
        <f>_xlfn.IFS(Table1[[#This Row],[Age]]&lt;30, "18-29", D921&lt;=45,"30-45", D921&lt;=55, "46-55", TRUE, "55+")</f>
        <v>46-55</v>
      </c>
      <c r="F921" s="2" t="s">
        <v>37</v>
      </c>
      <c r="G921" s="2" t="s">
        <v>38</v>
      </c>
      <c r="H921" s="2" t="s">
        <v>14</v>
      </c>
      <c r="I921" s="5">
        <v>14</v>
      </c>
      <c r="J921" s="5" t="str">
        <f>_xlfn.IFS(Table1[[#This Row],[Experience(Years)]]&lt;5, "Junior", I921&lt;=12, "Mid-Level", I921&lt;=20, "Senior", I921&lt;=30, "Super Senior", TRUE, "Expert")</f>
        <v>Senior</v>
      </c>
      <c r="K921" s="7">
        <v>30</v>
      </c>
      <c r="L921" s="7">
        <f>Table1[[#This Row],[Hourly Rate]]*1000</f>
        <v>30000</v>
      </c>
      <c r="M921" s="7" t="str">
        <f t="shared" si="14"/>
        <v>Budget</v>
      </c>
      <c r="N921" s="2">
        <f>IF(ISNUMBER(#REF!),#REF!, _xlfn.IFS( I921&gt;=30, 5, I921&gt;=25, 4.8, I921&gt;=15, 4, I921&gt;=10, 3.8, I921&gt;=5, 3, I921&gt;=2, 2.5, I921&gt;=0, 1.8, TRUE, 1.3))</f>
        <v>3.8</v>
      </c>
      <c r="O921" s="2" t="s">
        <v>2052</v>
      </c>
      <c r="P921" s="10">
        <v>0.83</v>
      </c>
      <c r="Q921" s="10" t="str">
        <f>_xlfn.IFS(Table1[[#This Row],[Rating]]&gt;=4, "Top Performer", Table1[[#This Row],[Rating]]&gt;=3, "Average", TRUE, "Needs Imporovement")</f>
        <v>Average</v>
      </c>
    </row>
    <row r="922" spans="1:17" x14ac:dyDescent="0.3">
      <c r="A922" s="2" t="s">
        <v>1881</v>
      </c>
      <c r="B922" s="2" t="s">
        <v>1882</v>
      </c>
      <c r="C922" s="2" t="s">
        <v>49</v>
      </c>
      <c r="D922" s="2">
        <v>24</v>
      </c>
      <c r="E922" s="2" t="str">
        <f>_xlfn.IFS(Table1[[#This Row],[Age]]&lt;30, "18-29", D922&lt;=45,"30-45", D922&lt;=55, "46-55", TRUE, "55+")</f>
        <v>18-29</v>
      </c>
      <c r="F922" s="2" t="s">
        <v>34</v>
      </c>
      <c r="G922" s="2" t="s">
        <v>8</v>
      </c>
      <c r="H922" s="2" t="s">
        <v>17</v>
      </c>
      <c r="I922" s="5">
        <v>2</v>
      </c>
      <c r="J922" s="5" t="str">
        <f>_xlfn.IFS(Table1[[#This Row],[Experience(Years)]]&lt;5, "Junior", I922&lt;=12, "Mid-Level", I922&lt;=20, "Senior", I922&lt;=30, "Super Senior", TRUE, "Expert")</f>
        <v>Junior</v>
      </c>
      <c r="K922" s="7">
        <v>30</v>
      </c>
      <c r="L922" s="7">
        <f>Table1[[#This Row],[Hourly Rate]]*1000</f>
        <v>30000</v>
      </c>
      <c r="M922" s="7" t="str">
        <f t="shared" si="14"/>
        <v>Budget</v>
      </c>
      <c r="N922" s="2">
        <f>IF(ISNUMBER(#REF!),#REF!, _xlfn.IFS( I922&gt;=30, 5, I922&gt;=25, 4.8, I922&gt;=15, 4, I922&gt;=10, 3.8, I922&gt;=5, 3, I922&gt;=2, 2.5, I922&gt;=0, 1.8, TRUE, 1.3))</f>
        <v>2.5</v>
      </c>
      <c r="O922" s="2" t="str">
        <f>IF(AND( Table1[[#This Row],[Rating]]&gt;=3.5, Table1[[#This Row],[Experience(Years)]]&gt;=15), "Active", "Inactive")</f>
        <v>Inactive</v>
      </c>
      <c r="P922" s="10">
        <v>0.92</v>
      </c>
      <c r="Q922" s="10" t="str">
        <f>_xlfn.IFS(Table1[[#This Row],[Rating]]&gt;=4, "Top Performer", Table1[[#This Row],[Rating]]&gt;=3, "Average", TRUE, "Needs Imporovement")</f>
        <v>Needs Imporovement</v>
      </c>
    </row>
    <row r="923" spans="1:17" x14ac:dyDescent="0.3">
      <c r="A923" s="2" t="s">
        <v>1883</v>
      </c>
      <c r="B923" s="2" t="s">
        <v>1884</v>
      </c>
      <c r="C923" s="2" t="s">
        <v>49</v>
      </c>
      <c r="D923" s="2">
        <v>49</v>
      </c>
      <c r="E923" s="2" t="str">
        <f>_xlfn.IFS(Table1[[#This Row],[Age]]&lt;30, "18-29", D923&lt;=45,"30-45", D923&lt;=55, "46-55", TRUE, "55+")</f>
        <v>46-55</v>
      </c>
      <c r="F923" s="2" t="s">
        <v>156</v>
      </c>
      <c r="G923" s="2" t="s">
        <v>45</v>
      </c>
      <c r="H923" s="2" t="s">
        <v>61</v>
      </c>
      <c r="I923" s="5">
        <v>4</v>
      </c>
      <c r="J923" s="5" t="str">
        <f>_xlfn.IFS(Table1[[#This Row],[Experience(Years)]]&lt;5, "Junior", I923&lt;=12, "Mid-Level", I923&lt;=20, "Senior", I923&lt;=30, "Super Senior", TRUE, "Expert")</f>
        <v>Junior</v>
      </c>
      <c r="K923" s="7">
        <v>75</v>
      </c>
      <c r="L923" s="7">
        <f>Table1[[#This Row],[Hourly Rate]]*1000</f>
        <v>75000</v>
      </c>
      <c r="M923" s="7" t="str">
        <f t="shared" si="14"/>
        <v>Standard</v>
      </c>
      <c r="N923" s="2">
        <f>IF(ISNUMBER(#REF!),#REF!, _xlfn.IFS( I923&gt;=30, 5, I923&gt;=25, 4.8, I923&gt;=15, 4, I923&gt;=10, 3.8, I923&gt;=5, 3, I923&gt;=2, 2.5, I923&gt;=0, 1.8, TRUE, 1.3))</f>
        <v>2.5</v>
      </c>
      <c r="O923" s="2" t="str">
        <f>IF(AND( Table1[[#This Row],[Rating]]&gt;=3.5, Table1[[#This Row],[Experience(Years)]]&gt;=15), "Active", "Inactive")</f>
        <v>Inactive</v>
      </c>
      <c r="P923" s="10">
        <v>0.85</v>
      </c>
      <c r="Q923" s="10" t="str">
        <f>_xlfn.IFS(Table1[[#This Row],[Rating]]&gt;=4, "Top Performer", Table1[[#This Row],[Rating]]&gt;=3, "Average", TRUE, "Needs Imporovement")</f>
        <v>Needs Imporovement</v>
      </c>
    </row>
    <row r="924" spans="1:17" x14ac:dyDescent="0.3">
      <c r="A924" s="2" t="s">
        <v>1885</v>
      </c>
      <c r="B924" s="2" t="s">
        <v>1886</v>
      </c>
      <c r="C924" s="2" t="s">
        <v>49</v>
      </c>
      <c r="D924" s="2">
        <v>49</v>
      </c>
      <c r="E924" s="2" t="str">
        <f>_xlfn.IFS(Table1[[#This Row],[Age]]&lt;30, "18-29", D924&lt;=45,"30-45", D924&lt;=55, "46-55", TRUE, "55+")</f>
        <v>46-55</v>
      </c>
      <c r="F924" s="2" t="s">
        <v>81</v>
      </c>
      <c r="G924" s="2" t="s">
        <v>82</v>
      </c>
      <c r="H924" s="2" t="s">
        <v>24</v>
      </c>
      <c r="I924" s="5">
        <v>4</v>
      </c>
      <c r="J924" s="5" t="str">
        <f>_xlfn.IFS(Table1[[#This Row],[Experience(Years)]]&lt;5, "Junior", I924&lt;=12, "Mid-Level", I924&lt;=20, "Senior", I924&lt;=30, "Super Senior", TRUE, "Expert")</f>
        <v>Junior</v>
      </c>
      <c r="K924" s="7">
        <v>75</v>
      </c>
      <c r="L924" s="7">
        <f>Table1[[#This Row],[Hourly Rate]]*1000</f>
        <v>75000</v>
      </c>
      <c r="M924" s="7" t="str">
        <f t="shared" si="14"/>
        <v>Standard</v>
      </c>
      <c r="N924" s="2">
        <f>IF(ISNUMBER(#REF!),#REF!, _xlfn.IFS( I924&gt;=30, 5, I924&gt;=25, 4.8, I924&gt;=15, 4, I924&gt;=10, 3.8, I924&gt;=5, 3, I924&gt;=2, 2.5, I924&gt;=0, 1.8, TRUE, 1.3))</f>
        <v>2.5</v>
      </c>
      <c r="O924" s="2" t="s">
        <v>2052</v>
      </c>
      <c r="P924" s="10">
        <v>0.35</v>
      </c>
      <c r="Q924" s="10" t="str">
        <f>_xlfn.IFS(Table1[[#This Row],[Rating]]&gt;=4, "Top Performer", Table1[[#This Row],[Rating]]&gt;=3, "Average", TRUE, "Needs Imporovement")</f>
        <v>Needs Imporovement</v>
      </c>
    </row>
    <row r="925" spans="1:17" x14ac:dyDescent="0.3">
      <c r="A925" s="2" t="s">
        <v>1887</v>
      </c>
      <c r="B925" s="2" t="s">
        <v>1888</v>
      </c>
      <c r="C925" s="2" t="s">
        <v>49</v>
      </c>
      <c r="D925" s="2">
        <v>49</v>
      </c>
      <c r="E925" s="2" t="str">
        <f>_xlfn.IFS(Table1[[#This Row],[Age]]&lt;30, "18-29", D925&lt;=45,"30-45", D925&lt;=55, "46-55", TRUE, "55+")</f>
        <v>46-55</v>
      </c>
      <c r="F925" s="2" t="s">
        <v>81</v>
      </c>
      <c r="G925" s="2" t="s">
        <v>82</v>
      </c>
      <c r="H925" s="2" t="s">
        <v>9</v>
      </c>
      <c r="I925" s="5">
        <v>24</v>
      </c>
      <c r="J925" s="5" t="str">
        <f>_xlfn.IFS(Table1[[#This Row],[Experience(Years)]]&lt;5, "Junior", I925&lt;=12, "Mid-Level", I925&lt;=20, "Senior", I925&lt;=30, "Super Senior", TRUE, "Expert")</f>
        <v>Super Senior</v>
      </c>
      <c r="K925" s="7">
        <v>100</v>
      </c>
      <c r="L925" s="7">
        <f>Table1[[#This Row],[Hourly Rate]]*1000</f>
        <v>100000</v>
      </c>
      <c r="M925" s="7" t="str">
        <f t="shared" si="14"/>
        <v>Premium</v>
      </c>
      <c r="N925" s="2">
        <f>IF(ISNUMBER(#REF!),#REF!, _xlfn.IFS( I925&gt;=30, 5, I925&gt;=25, 4.8, I925&gt;=15, 4, I925&gt;=10, 3.8, I925&gt;=5, 3, I925&gt;=2, 2.5, I925&gt;=0, 1.8, TRUE, 1.3))</f>
        <v>4</v>
      </c>
      <c r="O925" s="2" t="s">
        <v>2053</v>
      </c>
      <c r="P925" s="10">
        <v>0.85</v>
      </c>
      <c r="Q925" s="10" t="str">
        <f>_xlfn.IFS(Table1[[#This Row],[Rating]]&gt;=4, "Top Performer", Table1[[#This Row],[Rating]]&gt;=3, "Average", TRUE, "Needs Imporovement")</f>
        <v>Top Performer</v>
      </c>
    </row>
    <row r="926" spans="1:17" x14ac:dyDescent="0.3">
      <c r="A926" s="2" t="s">
        <v>1889</v>
      </c>
      <c r="B926" s="2" t="s">
        <v>1890</v>
      </c>
      <c r="C926" s="2" t="s">
        <v>49</v>
      </c>
      <c r="D926" s="2">
        <v>58</v>
      </c>
      <c r="E926" s="2" t="str">
        <f>_xlfn.IFS(Table1[[#This Row],[Age]]&lt;30, "18-29", D926&lt;=45,"30-45", D926&lt;=55, "46-55", TRUE, "55+")</f>
        <v>55+</v>
      </c>
      <c r="F926" s="2" t="s">
        <v>77</v>
      </c>
      <c r="G926" s="2" t="s">
        <v>78</v>
      </c>
      <c r="H926" s="2" t="s">
        <v>4</v>
      </c>
      <c r="I926" s="5">
        <v>29</v>
      </c>
      <c r="J926" s="5" t="str">
        <f>_xlfn.IFS(Table1[[#This Row],[Experience(Years)]]&lt;5, "Junior", I926&lt;=12, "Mid-Level", I926&lt;=20, "Senior", I926&lt;=30, "Super Senior", TRUE, "Expert")</f>
        <v>Super Senior</v>
      </c>
      <c r="K926" s="7">
        <v>30</v>
      </c>
      <c r="L926" s="7">
        <f>Table1[[#This Row],[Hourly Rate]]*1000</f>
        <v>30000</v>
      </c>
      <c r="M926" s="7" t="str">
        <f t="shared" si="14"/>
        <v>Budget</v>
      </c>
      <c r="N926" s="2">
        <f>IF(ISNUMBER(#REF!),#REF!, _xlfn.IFS( I926&gt;=30, 5, I926&gt;=25, 4.8, I926&gt;=15, 4, I926&gt;=10, 3.8, I926&gt;=5, 3, I926&gt;=2, 2.5, I926&gt;=0, 1.8, TRUE, 1.3))</f>
        <v>4.8</v>
      </c>
      <c r="O926" s="2" t="s">
        <v>2053</v>
      </c>
      <c r="P926" s="10">
        <v>0.89</v>
      </c>
      <c r="Q926" s="10" t="str">
        <f>_xlfn.IFS(Table1[[#This Row],[Rating]]&gt;=4, "Top Performer", Table1[[#This Row],[Rating]]&gt;=3, "Average", TRUE, "Needs Imporovement")</f>
        <v>Top Performer</v>
      </c>
    </row>
    <row r="927" spans="1:17" x14ac:dyDescent="0.3">
      <c r="A927" s="2" t="s">
        <v>1891</v>
      </c>
      <c r="B927" s="2" t="s">
        <v>1892</v>
      </c>
      <c r="C927" s="2" t="s">
        <v>68</v>
      </c>
      <c r="D927" s="2">
        <v>50</v>
      </c>
      <c r="E927" s="2" t="str">
        <f>_xlfn.IFS(Table1[[#This Row],[Age]]&lt;30, "18-29", D927&lt;=45,"30-45", D927&lt;=55, "46-55", TRUE, "55+")</f>
        <v>46-55</v>
      </c>
      <c r="F927" s="2" t="s">
        <v>121</v>
      </c>
      <c r="G927" s="2" t="s">
        <v>122</v>
      </c>
      <c r="H927" s="2" t="s">
        <v>46</v>
      </c>
      <c r="I927" s="5">
        <v>13</v>
      </c>
      <c r="J927" s="5" t="str">
        <f>_xlfn.IFS(Table1[[#This Row],[Experience(Years)]]&lt;5, "Junior", I927&lt;=12, "Mid-Level", I927&lt;=20, "Senior", I927&lt;=30, "Super Senior", TRUE, "Expert")</f>
        <v>Senior</v>
      </c>
      <c r="K927" s="7">
        <v>50</v>
      </c>
      <c r="L927" s="7">
        <f>Table1[[#This Row],[Hourly Rate]]*1000</f>
        <v>50000</v>
      </c>
      <c r="M927" s="7" t="str">
        <f t="shared" si="14"/>
        <v>Standard</v>
      </c>
      <c r="N927" s="2">
        <f>IF(ISNUMBER(#REF!),#REF!, _xlfn.IFS( I927&gt;=30, 5, I927&gt;=25, 4.8, I927&gt;=15, 4, I927&gt;=10, 3.8, I927&gt;=5, 3, I927&gt;=2, 2.5, I927&gt;=0, 1.8, TRUE, 1.3))</f>
        <v>3.8</v>
      </c>
      <c r="O927" s="2" t="s">
        <v>2053</v>
      </c>
      <c r="P927" s="10">
        <v>0.81</v>
      </c>
      <c r="Q927" s="10" t="str">
        <f>_xlfn.IFS(Table1[[#This Row],[Rating]]&gt;=4, "Top Performer", Table1[[#This Row],[Rating]]&gt;=3, "Average", TRUE, "Needs Imporovement")</f>
        <v>Average</v>
      </c>
    </row>
    <row r="928" spans="1:17" x14ac:dyDescent="0.3">
      <c r="A928" s="2" t="s">
        <v>1893</v>
      </c>
      <c r="B928" s="2" t="s">
        <v>1894</v>
      </c>
      <c r="C928" s="2" t="s">
        <v>68</v>
      </c>
      <c r="D928" s="2">
        <v>27</v>
      </c>
      <c r="E928" s="2" t="str">
        <f>_xlfn.IFS(Table1[[#This Row],[Age]]&lt;30, "18-29", D928&lt;=45,"30-45", D928&lt;=55, "46-55", TRUE, "55+")</f>
        <v>18-29</v>
      </c>
      <c r="F928" s="2" t="s">
        <v>121</v>
      </c>
      <c r="G928" s="2" t="s">
        <v>122</v>
      </c>
      <c r="H928" s="2" t="s">
        <v>61</v>
      </c>
      <c r="I928" s="5">
        <v>1</v>
      </c>
      <c r="J928" s="5" t="str">
        <f>_xlfn.IFS(Table1[[#This Row],[Experience(Years)]]&lt;5, "Junior", I928&lt;=12, "Mid-Level", I928&lt;=20, "Senior", I928&lt;=30, "Super Senior", TRUE, "Expert")</f>
        <v>Junior</v>
      </c>
      <c r="K928" s="7">
        <v>100</v>
      </c>
      <c r="L928" s="7">
        <f>Table1[[#This Row],[Hourly Rate]]*1000</f>
        <v>100000</v>
      </c>
      <c r="M928" s="7" t="str">
        <f t="shared" si="14"/>
        <v>Premium</v>
      </c>
      <c r="N928" s="2">
        <f>IF(ISNUMBER(#REF!),#REF!, _xlfn.IFS( I928&gt;=30, 5, I928&gt;=25, 4.8, I928&gt;=15, 4, I928&gt;=10, 3.8, I928&gt;=5, 3, I928&gt;=2, 2.5, I928&gt;=0, 1.8, TRUE, 1.3))</f>
        <v>1.8</v>
      </c>
      <c r="O928" s="2" t="s">
        <v>2053</v>
      </c>
      <c r="P928" s="10">
        <v>0.61</v>
      </c>
      <c r="Q928" s="10" t="str">
        <f>_xlfn.IFS(Table1[[#This Row],[Rating]]&gt;=4, "Top Performer", Table1[[#This Row],[Rating]]&gt;=3, "Average", TRUE, "Needs Imporovement")</f>
        <v>Needs Imporovement</v>
      </c>
    </row>
    <row r="929" spans="1:17" x14ac:dyDescent="0.3">
      <c r="A929" s="2" t="s">
        <v>1895</v>
      </c>
      <c r="B929" s="2" t="s">
        <v>1896</v>
      </c>
      <c r="C929" s="2" t="s">
        <v>49</v>
      </c>
      <c r="D929" s="2">
        <v>20</v>
      </c>
      <c r="E929" s="2" t="str">
        <f>_xlfn.IFS(Table1[[#This Row],[Age]]&lt;30, "18-29", D929&lt;=45,"30-45", D929&lt;=55, "46-55", TRUE, "55+")</f>
        <v>18-29</v>
      </c>
      <c r="F929" s="2" t="s">
        <v>81</v>
      </c>
      <c r="G929" s="2" t="s">
        <v>82</v>
      </c>
      <c r="H929" s="2" t="s">
        <v>83</v>
      </c>
      <c r="I929" s="5">
        <v>0</v>
      </c>
      <c r="J929" s="5" t="str">
        <f>_xlfn.IFS(Table1[[#This Row],[Experience(Years)]]&lt;5, "Junior", I929&lt;=12, "Mid-Level", I929&lt;=20, "Senior", I929&lt;=30, "Super Senior", TRUE, "Expert")</f>
        <v>Junior</v>
      </c>
      <c r="K929" s="7">
        <v>30</v>
      </c>
      <c r="L929" s="7">
        <f>Table1[[#This Row],[Hourly Rate]]*1000</f>
        <v>30000</v>
      </c>
      <c r="M929" s="7" t="str">
        <f t="shared" si="14"/>
        <v>Budget</v>
      </c>
      <c r="N929" s="2">
        <f>IF(ISNUMBER(#REF!),#REF!, _xlfn.IFS( I929&gt;=30, 5, I929&gt;=25, 4.8, I929&gt;=15, 4, I929&gt;=10, 3.8, I929&gt;=5, 3, I929&gt;=2, 2.5, I929&gt;=0, 1.8, TRUE, 1.3))</f>
        <v>1.8</v>
      </c>
      <c r="O929" s="2" t="s">
        <v>2053</v>
      </c>
      <c r="P929" s="10">
        <v>0.3</v>
      </c>
      <c r="Q929" s="10" t="str">
        <f>_xlfn.IFS(Table1[[#This Row],[Rating]]&gt;=4, "Top Performer", Table1[[#This Row],[Rating]]&gt;=3, "Average", TRUE, "Needs Imporovement")</f>
        <v>Needs Imporovement</v>
      </c>
    </row>
    <row r="930" spans="1:17" x14ac:dyDescent="0.3">
      <c r="A930" s="2" t="s">
        <v>1897</v>
      </c>
      <c r="B930" s="2" t="s">
        <v>1898</v>
      </c>
      <c r="C930" s="2" t="s">
        <v>68</v>
      </c>
      <c r="D930" s="2">
        <v>52</v>
      </c>
      <c r="E930" s="2" t="str">
        <f>_xlfn.IFS(Table1[[#This Row],[Age]]&lt;30, "18-29", D930&lt;=45,"30-45", D930&lt;=55, "46-55", TRUE, "55+")</f>
        <v>46-55</v>
      </c>
      <c r="F930" s="2" t="s">
        <v>92</v>
      </c>
      <c r="G930" s="2" t="s">
        <v>93</v>
      </c>
      <c r="H930" s="2" t="s">
        <v>4</v>
      </c>
      <c r="I930" s="5">
        <v>15</v>
      </c>
      <c r="J930" s="5" t="str">
        <f>_xlfn.IFS(Table1[[#This Row],[Experience(Years)]]&lt;5, "Junior", I930&lt;=12, "Mid-Level", I930&lt;=20, "Senior", I930&lt;=30, "Super Senior", TRUE, "Expert")</f>
        <v>Senior</v>
      </c>
      <c r="K930" s="7">
        <v>40</v>
      </c>
      <c r="L930" s="7">
        <f>Table1[[#This Row],[Hourly Rate]]*1000</f>
        <v>40000</v>
      </c>
      <c r="M930" s="7" t="str">
        <f t="shared" si="14"/>
        <v>Standard</v>
      </c>
      <c r="N930" s="2">
        <f>IF(ISNUMBER(#REF!),#REF!, _xlfn.IFS( I930&gt;=30, 5, I930&gt;=25, 4.8, I930&gt;=15, 4, I930&gt;=10, 3.8, I930&gt;=5, 3, I930&gt;=2, 2.5, I930&gt;=0, 1.8, TRUE, 1.3))</f>
        <v>4</v>
      </c>
      <c r="O930" s="2" t="s">
        <v>2053</v>
      </c>
      <c r="P930" s="10">
        <v>0.92</v>
      </c>
      <c r="Q930" s="10" t="str">
        <f>_xlfn.IFS(Table1[[#This Row],[Rating]]&gt;=4, "Top Performer", Table1[[#This Row],[Rating]]&gt;=3, "Average", TRUE, "Needs Imporovement")</f>
        <v>Top Performer</v>
      </c>
    </row>
    <row r="931" spans="1:17" x14ac:dyDescent="0.3">
      <c r="A931" s="2" t="s">
        <v>1899</v>
      </c>
      <c r="B931" s="2" t="s">
        <v>1900</v>
      </c>
      <c r="C931" s="2" t="s">
        <v>49</v>
      </c>
      <c r="D931" s="2">
        <v>22</v>
      </c>
      <c r="E931" s="2" t="str">
        <f>_xlfn.IFS(Table1[[#This Row],[Age]]&lt;30, "18-29", D931&lt;=45,"30-45", D931&lt;=55, "46-55", TRUE, "55+")</f>
        <v>18-29</v>
      </c>
      <c r="F931" s="2" t="s">
        <v>103</v>
      </c>
      <c r="G931" s="2" t="s">
        <v>104</v>
      </c>
      <c r="H931" s="2" t="s">
        <v>83</v>
      </c>
      <c r="I931" s="5">
        <v>2</v>
      </c>
      <c r="J931" s="5" t="str">
        <f>_xlfn.IFS(Table1[[#This Row],[Experience(Years)]]&lt;5, "Junior", I931&lt;=12, "Mid-Level", I931&lt;=20, "Senior", I931&lt;=30, "Super Senior", TRUE, "Expert")</f>
        <v>Junior</v>
      </c>
      <c r="K931" s="7">
        <v>30</v>
      </c>
      <c r="L931" s="7">
        <f>Table1[[#This Row],[Hourly Rate]]*1000</f>
        <v>30000</v>
      </c>
      <c r="M931" s="7" t="str">
        <f t="shared" si="14"/>
        <v>Budget</v>
      </c>
      <c r="N931" s="2">
        <f>IF(ISNUMBER(#REF!),#REF!, _xlfn.IFS( I931&gt;=30, 5, I931&gt;=25, 4.8, I931&gt;=15, 4, I931&gt;=10, 3.8, I931&gt;=5, 3, I931&gt;=2, 2.5, I931&gt;=0, 1.8, TRUE, 1.3))</f>
        <v>2.5</v>
      </c>
      <c r="O931" s="2" t="s">
        <v>2052</v>
      </c>
      <c r="P931" s="10">
        <v>0.96</v>
      </c>
      <c r="Q931" s="10" t="str">
        <f>_xlfn.IFS(Table1[[#This Row],[Rating]]&gt;=4, "Top Performer", Table1[[#This Row],[Rating]]&gt;=3, "Average", TRUE, "Needs Imporovement")</f>
        <v>Needs Imporovement</v>
      </c>
    </row>
    <row r="932" spans="1:17" x14ac:dyDescent="0.3">
      <c r="A932" s="2" t="s">
        <v>1901</v>
      </c>
      <c r="B932" s="2" t="s">
        <v>1902</v>
      </c>
      <c r="C932" s="2" t="s">
        <v>49</v>
      </c>
      <c r="D932" s="2">
        <v>38</v>
      </c>
      <c r="E932" s="2" t="str">
        <f>_xlfn.IFS(Table1[[#This Row],[Age]]&lt;30, "18-29", D932&lt;=45,"30-45", D932&lt;=55, "46-55", TRUE, "55+")</f>
        <v>30-45</v>
      </c>
      <c r="F932" s="2" t="s">
        <v>37</v>
      </c>
      <c r="G932" s="2" t="s">
        <v>38</v>
      </c>
      <c r="H932" s="2" t="s">
        <v>17</v>
      </c>
      <c r="I932" s="5">
        <v>14</v>
      </c>
      <c r="J932" s="5" t="str">
        <f>_xlfn.IFS(Table1[[#This Row],[Experience(Years)]]&lt;5, "Junior", I932&lt;=12, "Mid-Level", I932&lt;=20, "Senior", I932&lt;=30, "Super Senior", TRUE, "Expert")</f>
        <v>Senior</v>
      </c>
      <c r="K932" s="7">
        <v>100</v>
      </c>
      <c r="L932" s="7">
        <f>Table1[[#This Row],[Hourly Rate]]*1000</f>
        <v>100000</v>
      </c>
      <c r="M932" s="7" t="str">
        <f t="shared" si="14"/>
        <v>Premium</v>
      </c>
      <c r="N932" s="2">
        <f>IF(ISNUMBER(#REF!),#REF!, _xlfn.IFS( I932&gt;=30, 5, I932&gt;=25, 4.8, I932&gt;=15, 4, I932&gt;=10, 3.8, I932&gt;=5, 3, I932&gt;=2, 2.5, I932&gt;=0, 1.8, TRUE, 1.3))</f>
        <v>3.8</v>
      </c>
      <c r="O932" s="2" t="s">
        <v>2052</v>
      </c>
      <c r="P932" s="10">
        <v>0.66</v>
      </c>
      <c r="Q932" s="10" t="str">
        <f>_xlfn.IFS(Table1[[#This Row],[Rating]]&gt;=4, "Top Performer", Table1[[#This Row],[Rating]]&gt;=3, "Average", TRUE, "Needs Imporovement")</f>
        <v>Average</v>
      </c>
    </row>
    <row r="933" spans="1:17" x14ac:dyDescent="0.3">
      <c r="A933" s="2" t="s">
        <v>1903</v>
      </c>
      <c r="B933" s="2" t="s">
        <v>1904</v>
      </c>
      <c r="C933" s="2" t="s">
        <v>68</v>
      </c>
      <c r="D933" s="2">
        <v>21</v>
      </c>
      <c r="E933" s="2" t="str">
        <f>_xlfn.IFS(Table1[[#This Row],[Age]]&lt;30, "18-29", D933&lt;=45,"30-45", D933&lt;=55, "46-55", TRUE, "55+")</f>
        <v>18-29</v>
      </c>
      <c r="F933" s="2" t="s">
        <v>96</v>
      </c>
      <c r="G933" s="2" t="s">
        <v>8</v>
      </c>
      <c r="H933" s="2" t="s">
        <v>14</v>
      </c>
      <c r="I933" s="5">
        <v>0</v>
      </c>
      <c r="J933" s="5" t="str">
        <f>_xlfn.IFS(Table1[[#This Row],[Experience(Years)]]&lt;5, "Junior", I933&lt;=12, "Mid-Level", I933&lt;=20, "Senior", I933&lt;=30, "Super Senior", TRUE, "Expert")</f>
        <v>Junior</v>
      </c>
      <c r="K933" s="7">
        <v>100</v>
      </c>
      <c r="L933" s="7">
        <f>Table1[[#This Row],[Hourly Rate]]*1000</f>
        <v>100000</v>
      </c>
      <c r="M933" s="7" t="str">
        <f t="shared" si="14"/>
        <v>Premium</v>
      </c>
      <c r="N933" s="2">
        <f>IF(ISNUMBER(#REF!),#REF!, _xlfn.IFS( I933&gt;=30, 5, I933&gt;=25, 4.8, I933&gt;=15, 4, I933&gt;=10, 3.8, I933&gt;=5, 3, I933&gt;=2, 2.5, I933&gt;=0, 1.8, TRUE, 1.3))</f>
        <v>1.8</v>
      </c>
      <c r="O933" s="2" t="s">
        <v>2052</v>
      </c>
      <c r="P933" s="10">
        <v>0.64</v>
      </c>
      <c r="Q933" s="10" t="str">
        <f>_xlfn.IFS(Table1[[#This Row],[Rating]]&gt;=4, "Top Performer", Table1[[#This Row],[Rating]]&gt;=3, "Average", TRUE, "Needs Imporovement")</f>
        <v>Needs Imporovement</v>
      </c>
    </row>
    <row r="934" spans="1:17" x14ac:dyDescent="0.3">
      <c r="A934" s="2" t="s">
        <v>1905</v>
      </c>
      <c r="B934" s="2" t="s">
        <v>1906</v>
      </c>
      <c r="C934" s="2" t="s">
        <v>68</v>
      </c>
      <c r="D934" s="2">
        <v>41</v>
      </c>
      <c r="E934" s="2" t="str">
        <f>_xlfn.IFS(Table1[[#This Row],[Age]]&lt;30, "18-29", D934&lt;=45,"30-45", D934&lt;=55, "46-55", TRUE, "55+")</f>
        <v>30-45</v>
      </c>
      <c r="F934" s="2" t="s">
        <v>7</v>
      </c>
      <c r="G934" s="2" t="s">
        <v>8</v>
      </c>
      <c r="H934" s="2" t="s">
        <v>24</v>
      </c>
      <c r="I934" s="5">
        <v>15</v>
      </c>
      <c r="J934" s="5" t="str">
        <f>_xlfn.IFS(Table1[[#This Row],[Experience(Years)]]&lt;5, "Junior", I934&lt;=12, "Mid-Level", I934&lt;=20, "Senior", I934&lt;=30, "Super Senior", TRUE, "Expert")</f>
        <v>Senior</v>
      </c>
      <c r="K934" s="7">
        <v>40</v>
      </c>
      <c r="L934" s="7">
        <f>Table1[[#This Row],[Hourly Rate]]*1000</f>
        <v>40000</v>
      </c>
      <c r="M934" s="7" t="str">
        <f t="shared" si="14"/>
        <v>Standard</v>
      </c>
      <c r="N934" s="2">
        <f>IF(ISNUMBER(#REF!),#REF!, _xlfn.IFS( I934&gt;=30, 5, I934&gt;=25, 4.8, I934&gt;=15, 4, I934&gt;=10, 3.8, I934&gt;=5, 3, I934&gt;=2, 2.5, I934&gt;=0, 1.8, TRUE, 1.3))</f>
        <v>4</v>
      </c>
      <c r="O934" s="2" t="s">
        <v>2052</v>
      </c>
      <c r="P934" s="10">
        <v>1</v>
      </c>
      <c r="Q934" s="10" t="str">
        <f>_xlfn.IFS(Table1[[#This Row],[Rating]]&gt;=4, "Top Performer", Table1[[#This Row],[Rating]]&gt;=3, "Average", TRUE, "Needs Imporovement")</f>
        <v>Top Performer</v>
      </c>
    </row>
    <row r="935" spans="1:17" x14ac:dyDescent="0.3">
      <c r="A935" s="2" t="s">
        <v>1907</v>
      </c>
      <c r="B935" s="2" t="s">
        <v>1908</v>
      </c>
      <c r="C935" s="2" t="s">
        <v>49</v>
      </c>
      <c r="D935" s="2">
        <v>33</v>
      </c>
      <c r="E935" s="2" t="str">
        <f>_xlfn.IFS(Table1[[#This Row],[Age]]&lt;30, "18-29", D935&lt;=45,"30-45", D935&lt;=55, "46-55", TRUE, "55+")</f>
        <v>30-45</v>
      </c>
      <c r="F935" s="2" t="s">
        <v>27</v>
      </c>
      <c r="G935" s="2" t="s">
        <v>28</v>
      </c>
      <c r="H935" s="2" t="s">
        <v>4</v>
      </c>
      <c r="I935" s="5">
        <v>6</v>
      </c>
      <c r="J935" s="5" t="str">
        <f>_xlfn.IFS(Table1[[#This Row],[Experience(Years)]]&lt;5, "Junior", I935&lt;=12, "Mid-Level", I935&lt;=20, "Senior", I935&lt;=30, "Super Senior", TRUE, "Expert")</f>
        <v>Mid-Level</v>
      </c>
      <c r="K935" s="7">
        <v>40</v>
      </c>
      <c r="L935" s="7">
        <f>Table1[[#This Row],[Hourly Rate]]*1000</f>
        <v>40000</v>
      </c>
      <c r="M935" s="7" t="str">
        <f t="shared" si="14"/>
        <v>Standard</v>
      </c>
      <c r="N935" s="2">
        <f>IF(ISNUMBER(#REF!),#REF!, _xlfn.IFS( I935&gt;=30, 5, I935&gt;=25, 4.8, I935&gt;=15, 4, I935&gt;=10, 3.8, I935&gt;=5, 3, I935&gt;=2, 2.5, I935&gt;=0, 1.8, TRUE, 1.3))</f>
        <v>3</v>
      </c>
      <c r="O935" s="2" t="s">
        <v>2053</v>
      </c>
      <c r="P935" s="10">
        <v>0.95</v>
      </c>
      <c r="Q935" s="10" t="str">
        <f>_xlfn.IFS(Table1[[#This Row],[Rating]]&gt;=4, "Top Performer", Table1[[#This Row],[Rating]]&gt;=3, "Average", TRUE, "Needs Imporovement")</f>
        <v>Average</v>
      </c>
    </row>
    <row r="936" spans="1:17" x14ac:dyDescent="0.3">
      <c r="A936" s="2" t="s">
        <v>1909</v>
      </c>
      <c r="B936" s="2" t="s">
        <v>1910</v>
      </c>
      <c r="C936" s="2" t="s">
        <v>49</v>
      </c>
      <c r="D936" s="2">
        <v>38</v>
      </c>
      <c r="E936" s="2" t="str">
        <f>_xlfn.IFS(Table1[[#This Row],[Age]]&lt;30, "18-29", D936&lt;=45,"30-45", D936&lt;=55, "46-55", TRUE, "55+")</f>
        <v>30-45</v>
      </c>
      <c r="F936" s="2" t="s">
        <v>145</v>
      </c>
      <c r="G936" s="2" t="s">
        <v>45</v>
      </c>
      <c r="H936" s="2" t="s">
        <v>9</v>
      </c>
      <c r="I936" s="5">
        <v>11</v>
      </c>
      <c r="J936" s="5" t="str">
        <f>_xlfn.IFS(Table1[[#This Row],[Experience(Years)]]&lt;5, "Junior", I936&lt;=12, "Mid-Level", I936&lt;=20, "Senior", I936&lt;=30, "Super Senior", TRUE, "Expert")</f>
        <v>Mid-Level</v>
      </c>
      <c r="K936" s="7">
        <v>60</v>
      </c>
      <c r="L936" s="7">
        <f>Table1[[#This Row],[Hourly Rate]]*1000</f>
        <v>60000</v>
      </c>
      <c r="M936" s="7" t="str">
        <f t="shared" si="14"/>
        <v>Standard</v>
      </c>
      <c r="N936" s="2">
        <f>IF(ISNUMBER(#REF!),#REF!, _xlfn.IFS( I936&gt;=30, 5, I936&gt;=25, 4.8, I936&gt;=15, 4, I936&gt;=10, 3.8, I936&gt;=5, 3, I936&gt;=2, 2.5, I936&gt;=0, 1.8, TRUE, 1.3))</f>
        <v>3.8</v>
      </c>
      <c r="O936" s="2" t="str">
        <f>IF(AND( Table1[[#This Row],[Rating]]&gt;=3.5, Table1[[#This Row],[Experience(Years)]]&gt;=15), "Active", "Inactive")</f>
        <v>Inactive</v>
      </c>
      <c r="P936" s="10">
        <v>0.91</v>
      </c>
      <c r="Q936" s="10" t="str">
        <f>_xlfn.IFS(Table1[[#This Row],[Rating]]&gt;=4, "Top Performer", Table1[[#This Row],[Rating]]&gt;=3, "Average", TRUE, "Needs Imporovement")</f>
        <v>Average</v>
      </c>
    </row>
    <row r="937" spans="1:17" x14ac:dyDescent="0.3">
      <c r="A937" s="2" t="s">
        <v>1911</v>
      </c>
      <c r="B937" s="2" t="s">
        <v>1912</v>
      </c>
      <c r="C937" s="2" t="s">
        <v>49</v>
      </c>
      <c r="D937" s="2">
        <v>26</v>
      </c>
      <c r="E937" s="2" t="str">
        <f>_xlfn.IFS(Table1[[#This Row],[Age]]&lt;30, "18-29", D937&lt;=45,"30-45", D937&lt;=55, "46-55", TRUE, "55+")</f>
        <v>18-29</v>
      </c>
      <c r="F937" s="2" t="s">
        <v>92</v>
      </c>
      <c r="G937" s="2" t="s">
        <v>93</v>
      </c>
      <c r="H937" s="2" t="s">
        <v>61</v>
      </c>
      <c r="I937" s="5">
        <v>8</v>
      </c>
      <c r="J937" s="5" t="str">
        <f>_xlfn.IFS(Table1[[#This Row],[Experience(Years)]]&lt;5, "Junior", I937&lt;=12, "Mid-Level", I937&lt;=20, "Senior", I937&lt;=30, "Super Senior", TRUE, "Expert")</f>
        <v>Mid-Level</v>
      </c>
      <c r="K937" s="7">
        <v>20</v>
      </c>
      <c r="L937" s="7">
        <f>Table1[[#This Row],[Hourly Rate]]*1000</f>
        <v>20000</v>
      </c>
      <c r="M937" s="7" t="str">
        <f t="shared" si="14"/>
        <v>Budget</v>
      </c>
      <c r="N937" s="2">
        <f>IF(ISNUMBER(#REF!),#REF!, _xlfn.IFS( I937&gt;=30, 5, I937&gt;=25, 4.8, I937&gt;=15, 4, I937&gt;=10, 3.8, I937&gt;=5, 3, I937&gt;=2, 2.5, I937&gt;=0, 1.8, TRUE, 1.3))</f>
        <v>3</v>
      </c>
      <c r="O937" s="2" t="s">
        <v>2053</v>
      </c>
      <c r="P937" s="10">
        <v>0.82</v>
      </c>
      <c r="Q937" s="10" t="str">
        <f>_xlfn.IFS(Table1[[#This Row],[Rating]]&gt;=4, "Top Performer", Table1[[#This Row],[Rating]]&gt;=3, "Average", TRUE, "Needs Imporovement")</f>
        <v>Average</v>
      </c>
    </row>
    <row r="938" spans="1:17" x14ac:dyDescent="0.3">
      <c r="A938" s="2" t="s">
        <v>1913</v>
      </c>
      <c r="B938" s="2" t="s">
        <v>1914</v>
      </c>
      <c r="C938" s="2" t="s">
        <v>49</v>
      </c>
      <c r="D938" s="2">
        <v>43</v>
      </c>
      <c r="E938" s="2" t="str">
        <f>_xlfn.IFS(Table1[[#This Row],[Age]]&lt;30, "18-29", D938&lt;=45,"30-45", D938&lt;=55, "46-55", TRUE, "55+")</f>
        <v>30-45</v>
      </c>
      <c r="F938" s="2" t="s">
        <v>22</v>
      </c>
      <c r="G938" s="2" t="s">
        <v>23</v>
      </c>
      <c r="H938" s="2" t="s">
        <v>24</v>
      </c>
      <c r="I938" s="5">
        <v>3</v>
      </c>
      <c r="J938" s="5" t="str">
        <f>_xlfn.IFS(Table1[[#This Row],[Experience(Years)]]&lt;5, "Junior", I938&lt;=12, "Mid-Level", I938&lt;=20, "Senior", I938&lt;=30, "Super Senior", TRUE, "Expert")</f>
        <v>Junior</v>
      </c>
      <c r="K938" s="7">
        <v>20</v>
      </c>
      <c r="L938" s="7">
        <f>Table1[[#This Row],[Hourly Rate]]*1000</f>
        <v>20000</v>
      </c>
      <c r="M938" s="7" t="str">
        <f t="shared" si="14"/>
        <v>Budget</v>
      </c>
      <c r="N938" s="2">
        <f>IF(ISNUMBER(#REF!),#REF!, _xlfn.IFS( I938&gt;=30, 5, I938&gt;=25, 4.8, I938&gt;=15, 4, I938&gt;=10, 3.8, I938&gt;=5, 3, I938&gt;=2, 2.5, I938&gt;=0, 1.8, TRUE, 1.3))</f>
        <v>2.5</v>
      </c>
      <c r="O938" s="2" t="s">
        <v>2053</v>
      </c>
      <c r="P938" s="10">
        <v>0.95</v>
      </c>
      <c r="Q938" s="10" t="str">
        <f>_xlfn.IFS(Table1[[#This Row],[Rating]]&gt;=4, "Top Performer", Table1[[#This Row],[Rating]]&gt;=3, "Average", TRUE, "Needs Imporovement")</f>
        <v>Needs Imporovement</v>
      </c>
    </row>
    <row r="939" spans="1:17" x14ac:dyDescent="0.3">
      <c r="A939" s="2" t="s">
        <v>1915</v>
      </c>
      <c r="B939" s="2" t="s">
        <v>1916</v>
      </c>
      <c r="C939" s="2" t="s">
        <v>49</v>
      </c>
      <c r="D939" s="2">
        <v>21</v>
      </c>
      <c r="E939" s="2" t="str">
        <f>_xlfn.IFS(Table1[[#This Row],[Age]]&lt;30, "18-29", D939&lt;=45,"30-45", D939&lt;=55, "46-55", TRUE, "55+")</f>
        <v>18-29</v>
      </c>
      <c r="F939" s="2" t="s">
        <v>2</v>
      </c>
      <c r="G939" s="2" t="s">
        <v>3</v>
      </c>
      <c r="H939" s="2" t="s">
        <v>50</v>
      </c>
      <c r="I939" s="5">
        <v>0</v>
      </c>
      <c r="J939" s="5" t="str">
        <f>_xlfn.IFS(Table1[[#This Row],[Experience(Years)]]&lt;5, "Junior", I939&lt;=12, "Mid-Level", I939&lt;=20, "Senior", I939&lt;=30, "Super Senior", TRUE, "Expert")</f>
        <v>Junior</v>
      </c>
      <c r="K939" s="7">
        <v>20</v>
      </c>
      <c r="L939" s="7">
        <f>Table1[[#This Row],[Hourly Rate]]*1000</f>
        <v>20000</v>
      </c>
      <c r="M939" s="7" t="str">
        <f t="shared" si="14"/>
        <v>Budget</v>
      </c>
      <c r="N939" s="2">
        <f>IF(ISNUMBER(#REF!),#REF!, _xlfn.IFS( I939&gt;=30, 5, I939&gt;=25, 4.8, I939&gt;=15, 4, I939&gt;=10, 3.8, I939&gt;=5, 3, I939&gt;=2, 2.5, I939&gt;=0, 1.8, TRUE, 1.3))</f>
        <v>1.8</v>
      </c>
      <c r="O939" s="2" t="s">
        <v>2053</v>
      </c>
      <c r="P939" s="10">
        <v>0.95</v>
      </c>
      <c r="Q939" s="10" t="str">
        <f>_xlfn.IFS(Table1[[#This Row],[Rating]]&gt;=4, "Top Performer", Table1[[#This Row],[Rating]]&gt;=3, "Average", TRUE, "Needs Imporovement")</f>
        <v>Needs Imporovement</v>
      </c>
    </row>
    <row r="940" spans="1:17" x14ac:dyDescent="0.3">
      <c r="A940" s="2" t="s">
        <v>1917</v>
      </c>
      <c r="B940" s="2" t="s">
        <v>1918</v>
      </c>
      <c r="C940" s="2" t="s">
        <v>68</v>
      </c>
      <c r="D940" s="2">
        <v>47</v>
      </c>
      <c r="E940" s="2" t="str">
        <f>_xlfn.IFS(Table1[[#This Row],[Age]]&lt;30, "18-29", D940&lt;=45,"30-45", D940&lt;=55, "46-55", TRUE, "55+")</f>
        <v>46-55</v>
      </c>
      <c r="F940" s="2" t="s">
        <v>81</v>
      </c>
      <c r="G940" s="2" t="s">
        <v>82</v>
      </c>
      <c r="H940" s="2" t="s">
        <v>9</v>
      </c>
      <c r="I940" s="5">
        <v>7</v>
      </c>
      <c r="J940" s="5" t="str">
        <f>_xlfn.IFS(Table1[[#This Row],[Experience(Years)]]&lt;5, "Junior", I940&lt;=12, "Mid-Level", I940&lt;=20, "Senior", I940&lt;=30, "Super Senior", TRUE, "Expert")</f>
        <v>Mid-Level</v>
      </c>
      <c r="K940" s="7">
        <v>30</v>
      </c>
      <c r="L940" s="7">
        <f>Table1[[#This Row],[Hourly Rate]]*1000</f>
        <v>30000</v>
      </c>
      <c r="M940" s="7" t="str">
        <f t="shared" si="14"/>
        <v>Budget</v>
      </c>
      <c r="N940" s="2">
        <f>IF(ISNUMBER(#REF!),#REF!, _xlfn.IFS( I940&gt;=30, 5, I940&gt;=25, 4.8, I940&gt;=15, 4, I940&gt;=10, 3.8, I940&gt;=5, 3, I940&gt;=2, 2.5, I940&gt;=0, 1.8, TRUE, 1.3))</f>
        <v>3</v>
      </c>
      <c r="O940" s="2" t="str">
        <f>IF(AND( Table1[[#This Row],[Rating]]&gt;=3.5, Table1[[#This Row],[Experience(Years)]]&gt;=15), "Active", "Inactive")</f>
        <v>Inactive</v>
      </c>
      <c r="P940" s="10">
        <v>0.69</v>
      </c>
      <c r="Q940" s="10" t="str">
        <f>_xlfn.IFS(Table1[[#This Row],[Rating]]&gt;=4, "Top Performer", Table1[[#This Row],[Rating]]&gt;=3, "Average", TRUE, "Needs Imporovement")</f>
        <v>Average</v>
      </c>
    </row>
    <row r="941" spans="1:17" x14ac:dyDescent="0.3">
      <c r="A941" s="2" t="s">
        <v>1919</v>
      </c>
      <c r="B941" s="2" t="s">
        <v>1920</v>
      </c>
      <c r="C941" s="2" t="s">
        <v>68</v>
      </c>
      <c r="D941" s="2">
        <v>35</v>
      </c>
      <c r="E941" s="2" t="str">
        <f>_xlfn.IFS(Table1[[#This Row],[Age]]&lt;30, "18-29", D941&lt;=45,"30-45", D941&lt;=55, "46-55", TRUE, "55+")</f>
        <v>30-45</v>
      </c>
      <c r="F941" s="2" t="s">
        <v>156</v>
      </c>
      <c r="G941" s="2" t="s">
        <v>45</v>
      </c>
      <c r="H941" s="2" t="s">
        <v>14</v>
      </c>
      <c r="I941" s="5">
        <v>6</v>
      </c>
      <c r="J941" s="5" t="str">
        <f>_xlfn.IFS(Table1[[#This Row],[Experience(Years)]]&lt;5, "Junior", I941&lt;=12, "Mid-Level", I941&lt;=20, "Senior", I941&lt;=30, "Super Senior", TRUE, "Expert")</f>
        <v>Mid-Level</v>
      </c>
      <c r="K941" s="7">
        <v>40</v>
      </c>
      <c r="L941" s="7">
        <f>Table1[[#This Row],[Hourly Rate]]*1000</f>
        <v>40000</v>
      </c>
      <c r="M941" s="7" t="str">
        <f t="shared" si="14"/>
        <v>Standard</v>
      </c>
      <c r="N941" s="2">
        <f>IF(ISNUMBER(#REF!),#REF!, _xlfn.IFS( I941&gt;=30, 5, I941&gt;=25, 4.8, I941&gt;=15, 4, I941&gt;=10, 3.8, I941&gt;=5, 3, I941&gt;=2, 2.5, I941&gt;=0, 1.8, TRUE, 1.3))</f>
        <v>3</v>
      </c>
      <c r="O941" s="2" t="s">
        <v>2053</v>
      </c>
      <c r="P941" s="10">
        <v>0.91</v>
      </c>
      <c r="Q941" s="10" t="str">
        <f>_xlfn.IFS(Table1[[#This Row],[Rating]]&gt;=4, "Top Performer", Table1[[#This Row],[Rating]]&gt;=3, "Average", TRUE, "Needs Imporovement")</f>
        <v>Average</v>
      </c>
    </row>
    <row r="942" spans="1:17" x14ac:dyDescent="0.3">
      <c r="A942" s="2" t="s">
        <v>1921</v>
      </c>
      <c r="B942" s="2" t="s">
        <v>1922</v>
      </c>
      <c r="C942" s="2" t="s">
        <v>49</v>
      </c>
      <c r="D942" s="2">
        <v>37</v>
      </c>
      <c r="E942" s="2" t="str">
        <f>_xlfn.IFS(Table1[[#This Row],[Age]]&lt;30, "18-29", D942&lt;=45,"30-45", D942&lt;=55, "46-55", TRUE, "55+")</f>
        <v>30-45</v>
      </c>
      <c r="F942" s="2" t="s">
        <v>27</v>
      </c>
      <c r="G942" s="2" t="s">
        <v>28</v>
      </c>
      <c r="H942" s="2" t="s">
        <v>9</v>
      </c>
      <c r="I942" s="5">
        <v>9</v>
      </c>
      <c r="J942" s="5" t="str">
        <f>_xlfn.IFS(Table1[[#This Row],[Experience(Years)]]&lt;5, "Junior", I942&lt;=12, "Mid-Level", I942&lt;=20, "Senior", I942&lt;=30, "Super Senior", TRUE, "Expert")</f>
        <v>Mid-Level</v>
      </c>
      <c r="K942" s="7">
        <v>30</v>
      </c>
      <c r="L942" s="7">
        <f>Table1[[#This Row],[Hourly Rate]]*1000</f>
        <v>30000</v>
      </c>
      <c r="M942" s="7" t="str">
        <f t="shared" si="14"/>
        <v>Budget</v>
      </c>
      <c r="N942" s="2">
        <f>IF(ISNUMBER(#REF!),#REF!, _xlfn.IFS( I942&gt;=30, 5, I942&gt;=25, 4.8, I942&gt;=15, 4, I942&gt;=10, 3.8, I942&gt;=5, 3, I942&gt;=2, 2.5, I942&gt;=0, 1.8, TRUE, 1.3))</f>
        <v>3</v>
      </c>
      <c r="O942" s="2" t="s">
        <v>2053</v>
      </c>
      <c r="P942" s="10">
        <v>0.6</v>
      </c>
      <c r="Q942" s="10" t="str">
        <f>_xlfn.IFS(Table1[[#This Row],[Rating]]&gt;=4, "Top Performer", Table1[[#This Row],[Rating]]&gt;=3, "Average", TRUE, "Needs Imporovement")</f>
        <v>Average</v>
      </c>
    </row>
    <row r="943" spans="1:17" x14ac:dyDescent="0.3">
      <c r="A943" s="2" t="s">
        <v>1923</v>
      </c>
      <c r="B943" s="2" t="s">
        <v>1924</v>
      </c>
      <c r="C943" s="2" t="s">
        <v>49</v>
      </c>
      <c r="D943" s="2">
        <v>38</v>
      </c>
      <c r="E943" s="2" t="str">
        <f>_xlfn.IFS(Table1[[#This Row],[Age]]&lt;30, "18-29", D943&lt;=45,"30-45", D943&lt;=55, "46-55", TRUE, "55+")</f>
        <v>30-45</v>
      </c>
      <c r="F943" s="2" t="s">
        <v>77</v>
      </c>
      <c r="G943" s="2" t="s">
        <v>78</v>
      </c>
      <c r="H943" s="2" t="s">
        <v>24</v>
      </c>
      <c r="I943" s="5">
        <v>15</v>
      </c>
      <c r="J943" s="5" t="str">
        <f>_xlfn.IFS(Table1[[#This Row],[Experience(Years)]]&lt;5, "Junior", I943&lt;=12, "Mid-Level", I943&lt;=20, "Senior", I943&lt;=30, "Super Senior", TRUE, "Expert")</f>
        <v>Senior</v>
      </c>
      <c r="K943" s="7">
        <v>40</v>
      </c>
      <c r="L943" s="7">
        <f>Table1[[#This Row],[Hourly Rate]]*1000</f>
        <v>40000</v>
      </c>
      <c r="M943" s="7" t="str">
        <f t="shared" si="14"/>
        <v>Standard</v>
      </c>
      <c r="N943" s="2">
        <f>IF(ISNUMBER(#REF!),#REF!, _xlfn.IFS( I943&gt;=30, 5, I943&gt;=25, 4.8, I943&gt;=15, 4, I943&gt;=10, 3.8, I943&gt;=5, 3, I943&gt;=2, 2.5, I943&gt;=0, 1.8, TRUE, 1.3))</f>
        <v>4</v>
      </c>
      <c r="O943" s="2" t="str">
        <f>IF(AND( Table1[[#This Row],[Rating]]&gt;=3.5, Table1[[#This Row],[Experience(Years)]]&gt;=15), "Active", "Inactive")</f>
        <v>Active</v>
      </c>
      <c r="P943" s="10">
        <v>0.62</v>
      </c>
      <c r="Q943" s="10" t="str">
        <f>_xlfn.IFS(Table1[[#This Row],[Rating]]&gt;=4, "Top Performer", Table1[[#This Row],[Rating]]&gt;=3, "Average", TRUE, "Needs Imporovement")</f>
        <v>Top Performer</v>
      </c>
    </row>
    <row r="944" spans="1:17" x14ac:dyDescent="0.3">
      <c r="A944" s="2" t="s">
        <v>1925</v>
      </c>
      <c r="B944" s="2" t="s">
        <v>1926</v>
      </c>
      <c r="C944" s="2" t="s">
        <v>68</v>
      </c>
      <c r="D944" s="2">
        <v>40</v>
      </c>
      <c r="E944" s="2" t="str">
        <f>_xlfn.IFS(Table1[[#This Row],[Age]]&lt;30, "18-29", D944&lt;=45,"30-45", D944&lt;=55, "46-55", TRUE, "55+")</f>
        <v>30-45</v>
      </c>
      <c r="F944" s="2" t="s">
        <v>96</v>
      </c>
      <c r="G944" s="2" t="s">
        <v>8</v>
      </c>
      <c r="H944" s="2" t="s">
        <v>29</v>
      </c>
      <c r="I944" s="5">
        <v>20</v>
      </c>
      <c r="J944" s="5" t="str">
        <f>_xlfn.IFS(Table1[[#This Row],[Experience(Years)]]&lt;5, "Junior", I944&lt;=12, "Mid-Level", I944&lt;=20, "Senior", I944&lt;=30, "Super Senior", TRUE, "Expert")</f>
        <v>Senior</v>
      </c>
      <c r="K944" s="7">
        <v>20</v>
      </c>
      <c r="L944" s="7">
        <f>Table1[[#This Row],[Hourly Rate]]*1000</f>
        <v>20000</v>
      </c>
      <c r="M944" s="7" t="str">
        <f t="shared" si="14"/>
        <v>Budget</v>
      </c>
      <c r="N944" s="2">
        <f>IF(ISNUMBER(#REF!),#REF!, _xlfn.IFS( I944&gt;=30, 5, I944&gt;=25, 4.8, I944&gt;=15, 4, I944&gt;=10, 3.8, I944&gt;=5, 3, I944&gt;=2, 2.5, I944&gt;=0, 1.8, TRUE, 1.3))</f>
        <v>4</v>
      </c>
      <c r="O944" s="2" t="s">
        <v>2052</v>
      </c>
      <c r="P944" s="10">
        <v>0.81</v>
      </c>
      <c r="Q944" s="10" t="str">
        <f>_xlfn.IFS(Table1[[#This Row],[Rating]]&gt;=4, "Top Performer", Table1[[#This Row],[Rating]]&gt;=3, "Average", TRUE, "Needs Imporovement")</f>
        <v>Top Performer</v>
      </c>
    </row>
    <row r="945" spans="1:17" x14ac:dyDescent="0.3">
      <c r="A945" s="2" t="s">
        <v>1927</v>
      </c>
      <c r="B945" s="2" t="s">
        <v>1928</v>
      </c>
      <c r="C945" s="2" t="s">
        <v>49</v>
      </c>
      <c r="D945" s="2">
        <v>46</v>
      </c>
      <c r="E945" s="2" t="str">
        <f>_xlfn.IFS(Table1[[#This Row],[Age]]&lt;30, "18-29", D945&lt;=45,"30-45", D945&lt;=55, "46-55", TRUE, "55+")</f>
        <v>46-55</v>
      </c>
      <c r="F945" s="2" t="s">
        <v>77</v>
      </c>
      <c r="G945" s="2" t="s">
        <v>78</v>
      </c>
      <c r="H945" s="2" t="s">
        <v>29</v>
      </c>
      <c r="I945" s="5">
        <v>16</v>
      </c>
      <c r="J945" s="5" t="str">
        <f>_xlfn.IFS(Table1[[#This Row],[Experience(Years)]]&lt;5, "Junior", I945&lt;=12, "Mid-Level", I945&lt;=20, "Senior", I945&lt;=30, "Super Senior", TRUE, "Expert")</f>
        <v>Senior</v>
      </c>
      <c r="K945" s="7">
        <v>75</v>
      </c>
      <c r="L945" s="7">
        <f>Table1[[#This Row],[Hourly Rate]]*1000</f>
        <v>75000</v>
      </c>
      <c r="M945" s="7" t="str">
        <f t="shared" si="14"/>
        <v>Standard</v>
      </c>
      <c r="N945" s="2">
        <f>IF(ISNUMBER(#REF!),#REF!, _xlfn.IFS( I945&gt;=30, 5, I945&gt;=25, 4.8, I945&gt;=15, 4, I945&gt;=10, 3.8, I945&gt;=5, 3, I945&gt;=2, 2.5, I945&gt;=0, 1.8, TRUE, 1.3))</f>
        <v>4</v>
      </c>
      <c r="O945" s="2" t="s">
        <v>2052</v>
      </c>
      <c r="P945" s="10">
        <v>0.94</v>
      </c>
      <c r="Q945" s="10" t="str">
        <f>_xlfn.IFS(Table1[[#This Row],[Rating]]&gt;=4, "Top Performer", Table1[[#This Row],[Rating]]&gt;=3, "Average", TRUE, "Needs Imporovement")</f>
        <v>Top Performer</v>
      </c>
    </row>
    <row r="946" spans="1:17" x14ac:dyDescent="0.3">
      <c r="A946" s="2" t="s">
        <v>1929</v>
      </c>
      <c r="B946" s="2" t="s">
        <v>1930</v>
      </c>
      <c r="C946" s="2" t="s">
        <v>68</v>
      </c>
      <c r="D946" s="2">
        <v>56</v>
      </c>
      <c r="E946" s="2" t="str">
        <f>_xlfn.IFS(Table1[[#This Row],[Age]]&lt;30, "18-29", D946&lt;=45,"30-45", D946&lt;=55, "46-55", TRUE, "55+")</f>
        <v>55+</v>
      </c>
      <c r="F946" s="2" t="s">
        <v>107</v>
      </c>
      <c r="G946" s="2" t="s">
        <v>108</v>
      </c>
      <c r="H946" s="2" t="s">
        <v>61</v>
      </c>
      <c r="I946" s="5">
        <v>22</v>
      </c>
      <c r="J946" s="5" t="str">
        <f>_xlfn.IFS(Table1[[#This Row],[Experience(Years)]]&lt;5, "Junior", I946&lt;=12, "Mid-Level", I946&lt;=20, "Senior", I946&lt;=30, "Super Senior", TRUE, "Expert")</f>
        <v>Super Senior</v>
      </c>
      <c r="K946" s="7">
        <v>30</v>
      </c>
      <c r="L946" s="7">
        <f>Table1[[#This Row],[Hourly Rate]]*1000</f>
        <v>30000</v>
      </c>
      <c r="M946" s="7" t="str">
        <f t="shared" si="14"/>
        <v>Budget</v>
      </c>
      <c r="N946" s="2">
        <f>IF(ISNUMBER(#REF!),#REF!, _xlfn.IFS( I946&gt;=30, 5, I946&gt;=25, 4.8, I946&gt;=15, 4, I946&gt;=10, 3.8, I946&gt;=5, 3, I946&gt;=2, 2.5, I946&gt;=0, 1.8, TRUE, 1.3))</f>
        <v>4</v>
      </c>
      <c r="O946" s="2" t="s">
        <v>2052</v>
      </c>
      <c r="P946" s="10">
        <v>0.95</v>
      </c>
      <c r="Q946" s="10" t="str">
        <f>_xlfn.IFS(Table1[[#This Row],[Rating]]&gt;=4, "Top Performer", Table1[[#This Row],[Rating]]&gt;=3, "Average", TRUE, "Needs Imporovement")</f>
        <v>Top Performer</v>
      </c>
    </row>
    <row r="947" spans="1:17" x14ac:dyDescent="0.3">
      <c r="A947" s="2" t="s">
        <v>1931</v>
      </c>
      <c r="B947" s="2" t="s">
        <v>1932</v>
      </c>
      <c r="C947" s="2" t="s">
        <v>68</v>
      </c>
      <c r="D947" s="2">
        <v>24</v>
      </c>
      <c r="E947" s="2" t="str">
        <f>_xlfn.IFS(Table1[[#This Row],[Age]]&lt;30, "18-29", D947&lt;=45,"30-45", D947&lt;=55, "46-55", TRUE, "55+")</f>
        <v>18-29</v>
      </c>
      <c r="F947" s="2" t="s">
        <v>37</v>
      </c>
      <c r="G947" s="2" t="s">
        <v>38</v>
      </c>
      <c r="H947" s="2" t="s">
        <v>14</v>
      </c>
      <c r="I947" s="5">
        <v>2</v>
      </c>
      <c r="J947" s="5" t="str">
        <f>_xlfn.IFS(Table1[[#This Row],[Experience(Years)]]&lt;5, "Junior", I947&lt;=12, "Mid-Level", I947&lt;=20, "Senior", I947&lt;=30, "Super Senior", TRUE, "Expert")</f>
        <v>Junior</v>
      </c>
      <c r="K947" s="7">
        <v>20</v>
      </c>
      <c r="L947" s="7">
        <f>Table1[[#This Row],[Hourly Rate]]*1000</f>
        <v>20000</v>
      </c>
      <c r="M947" s="7" t="str">
        <f t="shared" si="14"/>
        <v>Budget</v>
      </c>
      <c r="N947" s="2">
        <f>IF(ISNUMBER(#REF!),#REF!, _xlfn.IFS( I947&gt;=30, 5, I947&gt;=25, 4.8, I947&gt;=15, 4, I947&gt;=10, 3.8, I947&gt;=5, 3, I947&gt;=2, 2.5, I947&gt;=0, 1.8, TRUE, 1.3))</f>
        <v>2.5</v>
      </c>
      <c r="O947" s="2" t="s">
        <v>2052</v>
      </c>
      <c r="P947" s="10">
        <v>1</v>
      </c>
      <c r="Q947" s="10" t="str">
        <f>_xlfn.IFS(Table1[[#This Row],[Rating]]&gt;=4, "Top Performer", Table1[[#This Row],[Rating]]&gt;=3, "Average", TRUE, "Needs Imporovement")</f>
        <v>Needs Imporovement</v>
      </c>
    </row>
    <row r="948" spans="1:17" x14ac:dyDescent="0.3">
      <c r="A948" s="2" t="s">
        <v>1933</v>
      </c>
      <c r="B948" s="2" t="s">
        <v>1934</v>
      </c>
      <c r="C948" s="2" t="s">
        <v>68</v>
      </c>
      <c r="D948" s="2">
        <v>23</v>
      </c>
      <c r="E948" s="2" t="str">
        <f>_xlfn.IFS(Table1[[#This Row],[Age]]&lt;30, "18-29", D948&lt;=45,"30-45", D948&lt;=55, "46-55", TRUE, "55+")</f>
        <v>18-29</v>
      </c>
      <c r="F948" s="2" t="s">
        <v>145</v>
      </c>
      <c r="G948" s="2" t="s">
        <v>45</v>
      </c>
      <c r="H948" s="2" t="s">
        <v>24</v>
      </c>
      <c r="I948" s="5">
        <v>1</v>
      </c>
      <c r="J948" s="5" t="str">
        <f>_xlfn.IFS(Table1[[#This Row],[Experience(Years)]]&lt;5, "Junior", I948&lt;=12, "Mid-Level", I948&lt;=20, "Senior", I948&lt;=30, "Super Senior", TRUE, "Expert")</f>
        <v>Junior</v>
      </c>
      <c r="K948" s="7">
        <v>75</v>
      </c>
      <c r="L948" s="7">
        <f>Table1[[#This Row],[Hourly Rate]]*1000</f>
        <v>75000</v>
      </c>
      <c r="M948" s="7" t="str">
        <f t="shared" si="14"/>
        <v>Standard</v>
      </c>
      <c r="N948" s="2">
        <f>IF(ISNUMBER(#REF!),#REF!, _xlfn.IFS( I948&gt;=30, 5, I948&gt;=25, 4.8, I948&gt;=15, 4, I948&gt;=10, 3.8, I948&gt;=5, 3, I948&gt;=2, 2.5, I948&gt;=0, 1.8, TRUE, 1.3))</f>
        <v>1.8</v>
      </c>
      <c r="O948" s="2" t="s">
        <v>2053</v>
      </c>
      <c r="P948" s="10">
        <v>0.94</v>
      </c>
      <c r="Q948" s="10" t="str">
        <f>_xlfn.IFS(Table1[[#This Row],[Rating]]&gt;=4, "Top Performer", Table1[[#This Row],[Rating]]&gt;=3, "Average", TRUE, "Needs Imporovement")</f>
        <v>Needs Imporovement</v>
      </c>
    </row>
    <row r="949" spans="1:17" x14ac:dyDescent="0.3">
      <c r="A949" s="2" t="s">
        <v>1935</v>
      </c>
      <c r="B949" s="2" t="s">
        <v>1936</v>
      </c>
      <c r="C949" s="2" t="s">
        <v>49</v>
      </c>
      <c r="D949" s="2">
        <v>38</v>
      </c>
      <c r="E949" s="2" t="str">
        <f>_xlfn.IFS(Table1[[#This Row],[Age]]&lt;30, "18-29", D949&lt;=45,"30-45", D949&lt;=55, "46-55", TRUE, "55+")</f>
        <v>30-45</v>
      </c>
      <c r="F949" s="2" t="s">
        <v>37</v>
      </c>
      <c r="G949" s="2" t="s">
        <v>38</v>
      </c>
      <c r="H949" s="2" t="s">
        <v>9</v>
      </c>
      <c r="I949" s="5">
        <v>8</v>
      </c>
      <c r="J949" s="5" t="str">
        <f>_xlfn.IFS(Table1[[#This Row],[Experience(Years)]]&lt;5, "Junior", I949&lt;=12, "Mid-Level", I949&lt;=20, "Senior", I949&lt;=30, "Super Senior", TRUE, "Expert")</f>
        <v>Mid-Level</v>
      </c>
      <c r="K949" s="7">
        <v>30</v>
      </c>
      <c r="L949" s="7">
        <f>Table1[[#This Row],[Hourly Rate]]*1000</f>
        <v>30000</v>
      </c>
      <c r="M949" s="7" t="str">
        <f t="shared" si="14"/>
        <v>Budget</v>
      </c>
      <c r="N949" s="2">
        <f>IF(ISNUMBER(#REF!),#REF!, _xlfn.IFS( I949&gt;=30, 5, I949&gt;=25, 4.8, I949&gt;=15, 4, I949&gt;=10, 3.8, I949&gt;=5, 3, I949&gt;=2, 2.5, I949&gt;=0, 1.8, TRUE, 1.3))</f>
        <v>3</v>
      </c>
      <c r="O949" s="2" t="s">
        <v>2053</v>
      </c>
      <c r="P949" s="10">
        <v>0.92</v>
      </c>
      <c r="Q949" s="10" t="str">
        <f>_xlfn.IFS(Table1[[#This Row],[Rating]]&gt;=4, "Top Performer", Table1[[#This Row],[Rating]]&gt;=3, "Average", TRUE, "Needs Imporovement")</f>
        <v>Average</v>
      </c>
    </row>
    <row r="950" spans="1:17" x14ac:dyDescent="0.3">
      <c r="A950" s="2" t="s">
        <v>1937</v>
      </c>
      <c r="B950" s="2" t="s">
        <v>1938</v>
      </c>
      <c r="C950" s="2" t="s">
        <v>49</v>
      </c>
      <c r="D950" s="2">
        <v>28</v>
      </c>
      <c r="E950" s="2" t="str">
        <f>_xlfn.IFS(Table1[[#This Row],[Age]]&lt;30, "18-29", D950&lt;=45,"30-45", D950&lt;=55, "46-55", TRUE, "55+")</f>
        <v>18-29</v>
      </c>
      <c r="F950" s="2" t="s">
        <v>103</v>
      </c>
      <c r="G950" s="2" t="s">
        <v>104</v>
      </c>
      <c r="H950" s="2" t="s">
        <v>61</v>
      </c>
      <c r="I950" s="5">
        <v>8</v>
      </c>
      <c r="J950" s="5" t="str">
        <f>_xlfn.IFS(Table1[[#This Row],[Experience(Years)]]&lt;5, "Junior", I950&lt;=12, "Mid-Level", I950&lt;=20, "Senior", I950&lt;=30, "Super Senior", TRUE, "Expert")</f>
        <v>Mid-Level</v>
      </c>
      <c r="K950" s="7">
        <v>50</v>
      </c>
      <c r="L950" s="7">
        <f>Table1[[#This Row],[Hourly Rate]]*1000</f>
        <v>50000</v>
      </c>
      <c r="M950" s="7" t="str">
        <f t="shared" si="14"/>
        <v>Standard</v>
      </c>
      <c r="N950" s="2">
        <f>IF(ISNUMBER(#REF!),#REF!, _xlfn.IFS( I950&gt;=30, 5, I950&gt;=25, 4.8, I950&gt;=15, 4, I950&gt;=10, 3.8, I950&gt;=5, 3, I950&gt;=2, 2.5, I950&gt;=0, 1.8, TRUE, 1.3))</f>
        <v>3</v>
      </c>
      <c r="O950" s="2" t="s">
        <v>2053</v>
      </c>
      <c r="P950" s="10">
        <v>0.95</v>
      </c>
      <c r="Q950" s="10" t="str">
        <f>_xlfn.IFS(Table1[[#This Row],[Rating]]&gt;=4, "Top Performer", Table1[[#This Row],[Rating]]&gt;=3, "Average", TRUE, "Needs Imporovement")</f>
        <v>Average</v>
      </c>
    </row>
    <row r="951" spans="1:17" x14ac:dyDescent="0.3">
      <c r="A951" s="2" t="s">
        <v>1939</v>
      </c>
      <c r="B951" s="2" t="s">
        <v>1940</v>
      </c>
      <c r="C951" s="2" t="s">
        <v>68</v>
      </c>
      <c r="D951" s="2">
        <v>25</v>
      </c>
      <c r="E951" s="2" t="str">
        <f>_xlfn.IFS(Table1[[#This Row],[Age]]&lt;30, "18-29", D951&lt;=45,"30-45", D951&lt;=55, "46-55", TRUE, "55+")</f>
        <v>18-29</v>
      </c>
      <c r="F951" s="2" t="s">
        <v>77</v>
      </c>
      <c r="G951" s="2" t="s">
        <v>78</v>
      </c>
      <c r="H951" s="2" t="s">
        <v>61</v>
      </c>
      <c r="I951" s="5">
        <v>7</v>
      </c>
      <c r="J951" s="5" t="str">
        <f>_xlfn.IFS(Table1[[#This Row],[Experience(Years)]]&lt;5, "Junior", I951&lt;=12, "Mid-Level", I951&lt;=20, "Senior", I951&lt;=30, "Super Senior", TRUE, "Expert")</f>
        <v>Mid-Level</v>
      </c>
      <c r="K951" s="7">
        <v>20</v>
      </c>
      <c r="L951" s="7">
        <f>Table1[[#This Row],[Hourly Rate]]*1000</f>
        <v>20000</v>
      </c>
      <c r="M951" s="7" t="str">
        <f t="shared" si="14"/>
        <v>Budget</v>
      </c>
      <c r="N951" s="2">
        <f>IF(ISNUMBER(#REF!),#REF!, _xlfn.IFS( I951&gt;=30, 5, I951&gt;=25, 4.8, I951&gt;=15, 4, I951&gt;=10, 3.8, I951&gt;=5, 3, I951&gt;=2, 2.5, I951&gt;=0, 1.8, TRUE, 1.3))</f>
        <v>3</v>
      </c>
      <c r="O951" s="2" t="str">
        <f>IF(AND(Table1[[#This Row],[Rating]]&gt;=3.5, Table1[[#This Row],[Experience(Years)]]&gt;=15), "Active", "Inactive")</f>
        <v>Inactive</v>
      </c>
      <c r="P951" s="10">
        <v>0.97</v>
      </c>
      <c r="Q951" s="10" t="str">
        <f>_xlfn.IFS(Table1[[#This Row],[Rating]]&gt;=4, "Top Performer", Table1[[#This Row],[Rating]]&gt;=3, "Average", TRUE, "Needs Imporovement")</f>
        <v>Average</v>
      </c>
    </row>
    <row r="952" spans="1:17" x14ac:dyDescent="0.3">
      <c r="A952" s="2" t="s">
        <v>1941</v>
      </c>
      <c r="B952" s="2" t="s">
        <v>1942</v>
      </c>
      <c r="C952" s="2" t="s">
        <v>68</v>
      </c>
      <c r="D952" s="2">
        <v>41</v>
      </c>
      <c r="E952" s="2" t="str">
        <f>_xlfn.IFS(Table1[[#This Row],[Age]]&lt;30, "18-29", D952&lt;=45,"30-45", D952&lt;=55, "46-55", TRUE, "55+")</f>
        <v>30-45</v>
      </c>
      <c r="F952" s="2" t="s">
        <v>41</v>
      </c>
      <c r="G952" s="2" t="s">
        <v>8</v>
      </c>
      <c r="H952" s="2" t="s">
        <v>61</v>
      </c>
      <c r="I952" s="5">
        <v>8</v>
      </c>
      <c r="J952" s="5" t="str">
        <f>_xlfn.IFS(Table1[[#This Row],[Experience(Years)]]&lt;5, "Junior", I952&lt;=12, "Mid-Level", I952&lt;=20, "Senior", I952&lt;=30, "Super Senior", TRUE, "Expert")</f>
        <v>Mid-Level</v>
      </c>
      <c r="K952" s="7">
        <v>50</v>
      </c>
      <c r="L952" s="7">
        <f>Table1[[#This Row],[Hourly Rate]]*1000</f>
        <v>50000</v>
      </c>
      <c r="M952" s="7" t="str">
        <f t="shared" si="14"/>
        <v>Standard</v>
      </c>
      <c r="N952" s="2">
        <f>IF(ISNUMBER(#REF!),#REF!, _xlfn.IFS( I952&gt;=30, 5, I952&gt;=25, 4.8, I952&gt;=15, 4, I952&gt;=10, 3.8, I952&gt;=5, 3, I952&gt;=2, 2.5, I952&gt;=0, 1.8, TRUE, 1.3))</f>
        <v>3</v>
      </c>
      <c r="O952" s="2" t="s">
        <v>2052</v>
      </c>
      <c r="P952" s="10">
        <v>0.75</v>
      </c>
      <c r="Q952" s="10" t="str">
        <f>_xlfn.IFS(Table1[[#This Row],[Rating]]&gt;=4, "Top Performer", Table1[[#This Row],[Rating]]&gt;=3, "Average", TRUE, "Needs Imporovement")</f>
        <v>Average</v>
      </c>
    </row>
    <row r="953" spans="1:17" x14ac:dyDescent="0.3">
      <c r="A953" s="2" t="s">
        <v>1943</v>
      </c>
      <c r="B953" s="2" t="s">
        <v>1944</v>
      </c>
      <c r="C953" s="2" t="s">
        <v>49</v>
      </c>
      <c r="D953" s="2">
        <v>45</v>
      </c>
      <c r="E953" s="2" t="str">
        <f>_xlfn.IFS(Table1[[#This Row],[Age]]&lt;30, "18-29", D953&lt;=45,"30-45", D953&lt;=55, "46-55", TRUE, "55+")</f>
        <v>30-45</v>
      </c>
      <c r="F953" s="2" t="s">
        <v>145</v>
      </c>
      <c r="G953" s="2" t="s">
        <v>45</v>
      </c>
      <c r="H953" s="2" t="s">
        <v>29</v>
      </c>
      <c r="I953" s="5">
        <v>6</v>
      </c>
      <c r="J953" s="5" t="str">
        <f>_xlfn.IFS(Table1[[#This Row],[Experience(Years)]]&lt;5, "Junior", I953&lt;=12, "Mid-Level", I953&lt;=20, "Senior", I953&lt;=30, "Super Senior", TRUE, "Expert")</f>
        <v>Mid-Level</v>
      </c>
      <c r="K953" s="7">
        <v>40</v>
      </c>
      <c r="L953" s="7">
        <f>Table1[[#This Row],[Hourly Rate]]*1000</f>
        <v>40000</v>
      </c>
      <c r="M953" s="7" t="str">
        <f t="shared" si="14"/>
        <v>Standard</v>
      </c>
      <c r="N953" s="2">
        <f>IF(ISNUMBER(#REF!),#REF!, _xlfn.IFS( I953&gt;=30, 5, I953&gt;=25, 4.8, I953&gt;=15, 4, I953&gt;=10, 3.8, I953&gt;=5, 3, I953&gt;=2, 2.5, I953&gt;=0, 1.8, TRUE, 1.3))</f>
        <v>3</v>
      </c>
      <c r="O953" s="2" t="s">
        <v>2053</v>
      </c>
      <c r="P953" s="10">
        <v>0.78</v>
      </c>
      <c r="Q953" s="10" t="str">
        <f>_xlfn.IFS(Table1[[#This Row],[Rating]]&gt;=4, "Top Performer", Table1[[#This Row],[Rating]]&gt;=3, "Average", TRUE, "Needs Imporovement")</f>
        <v>Average</v>
      </c>
    </row>
    <row r="954" spans="1:17" x14ac:dyDescent="0.3">
      <c r="A954" s="2" t="s">
        <v>1945</v>
      </c>
      <c r="B954" s="2" t="s">
        <v>1946</v>
      </c>
      <c r="C954" s="2" t="s">
        <v>68</v>
      </c>
      <c r="D954" s="2">
        <v>47</v>
      </c>
      <c r="E954" s="2" t="str">
        <f>_xlfn.IFS(Table1[[#This Row],[Age]]&lt;30, "18-29", D954&lt;=45,"30-45", D954&lt;=55, "46-55", TRUE, "55+")</f>
        <v>46-55</v>
      </c>
      <c r="F954" s="2" t="s">
        <v>37</v>
      </c>
      <c r="G954" s="2" t="s">
        <v>38</v>
      </c>
      <c r="H954" s="2" t="s">
        <v>61</v>
      </c>
      <c r="I954" s="5">
        <v>16</v>
      </c>
      <c r="J954" s="5" t="str">
        <f>_xlfn.IFS(Table1[[#This Row],[Experience(Years)]]&lt;5, "Junior", I954&lt;=12, "Mid-Level", I954&lt;=20, "Senior", I954&lt;=30, "Super Senior", TRUE, "Expert")</f>
        <v>Senior</v>
      </c>
      <c r="K954" s="7">
        <v>100</v>
      </c>
      <c r="L954" s="7">
        <f>Table1[[#This Row],[Hourly Rate]]*1000</f>
        <v>100000</v>
      </c>
      <c r="M954" s="7" t="str">
        <f t="shared" si="14"/>
        <v>Premium</v>
      </c>
      <c r="N954" s="2">
        <f>IF(ISNUMBER(#REF!),#REF!, _xlfn.IFS( I954&gt;=30, 5, I954&gt;=25, 4.8, I954&gt;=15, 4, I954&gt;=10, 3.8, I954&gt;=5, 3, I954&gt;=2, 2.5, I954&gt;=0, 1.8, TRUE, 1.3))</f>
        <v>4</v>
      </c>
      <c r="O954" s="2" t="s">
        <v>2052</v>
      </c>
      <c r="P954" s="10">
        <v>0.65</v>
      </c>
      <c r="Q954" s="10" t="str">
        <f>_xlfn.IFS(Table1[[#This Row],[Rating]]&gt;=4, "Top Performer", Table1[[#This Row],[Rating]]&gt;=3, "Average", TRUE, "Needs Imporovement")</f>
        <v>Top Performer</v>
      </c>
    </row>
    <row r="955" spans="1:17" x14ac:dyDescent="0.3">
      <c r="A955" s="2" t="s">
        <v>1947</v>
      </c>
      <c r="B955" s="2" t="s">
        <v>1948</v>
      </c>
      <c r="C955" s="2" t="s">
        <v>49</v>
      </c>
      <c r="D955" s="2">
        <v>59</v>
      </c>
      <c r="E955" s="2" t="str">
        <f>_xlfn.IFS(Table1[[#This Row],[Age]]&lt;30, "18-29", D955&lt;=45,"30-45", D955&lt;=55, "46-55", TRUE, "55+")</f>
        <v>55+</v>
      </c>
      <c r="F955" s="2" t="s">
        <v>41</v>
      </c>
      <c r="G955" s="2" t="s">
        <v>8</v>
      </c>
      <c r="H955" s="2" t="s">
        <v>29</v>
      </c>
      <c r="I955" s="5">
        <v>40</v>
      </c>
      <c r="J955" s="5" t="str">
        <f>_xlfn.IFS(Table1[[#This Row],[Experience(Years)]]&lt;5, "Junior", I955&lt;=12, "Mid-Level", I955&lt;=20, "Senior", I955&lt;=30, "Super Senior", TRUE, "Expert")</f>
        <v>Expert</v>
      </c>
      <c r="K955" s="7">
        <v>40</v>
      </c>
      <c r="L955" s="7">
        <f>Table1[[#This Row],[Hourly Rate]]*1000</f>
        <v>40000</v>
      </c>
      <c r="M955" s="7" t="str">
        <f t="shared" si="14"/>
        <v>Standard</v>
      </c>
      <c r="N955" s="2">
        <f>IF(ISNUMBER(#REF!),#REF!, _xlfn.IFS( I955&gt;=30, 5, I955&gt;=25, 4.8, I955&gt;=15, 4, I955&gt;=10, 3.8, I955&gt;=5, 3, I955&gt;=2, 2.5, I955&gt;=0, 1.8, TRUE, 1.3))</f>
        <v>5</v>
      </c>
      <c r="O955" s="2" t="s">
        <v>2053</v>
      </c>
      <c r="P955" s="10">
        <v>0.7</v>
      </c>
      <c r="Q955" s="10" t="str">
        <f>_xlfn.IFS(Table1[[#This Row],[Rating]]&gt;=4, "Top Performer", Table1[[#This Row],[Rating]]&gt;=3, "Average", TRUE, "Needs Imporovement")</f>
        <v>Top Performer</v>
      </c>
    </row>
    <row r="956" spans="1:17" x14ac:dyDescent="0.3">
      <c r="A956" s="2" t="s">
        <v>1949</v>
      </c>
      <c r="B956" s="2" t="s">
        <v>1950</v>
      </c>
      <c r="C956" s="2" t="s">
        <v>49</v>
      </c>
      <c r="D956" s="2">
        <v>25</v>
      </c>
      <c r="E956" s="2" t="str">
        <f>_xlfn.IFS(Table1[[#This Row],[Age]]&lt;30, "18-29", D956&lt;=45,"30-45", D956&lt;=55, "46-55", TRUE, "55+")</f>
        <v>18-29</v>
      </c>
      <c r="F956" s="2" t="s">
        <v>96</v>
      </c>
      <c r="G956" s="2" t="s">
        <v>8</v>
      </c>
      <c r="H956" s="2" t="s">
        <v>4</v>
      </c>
      <c r="I956" s="5">
        <v>6</v>
      </c>
      <c r="J956" s="5" t="str">
        <f>_xlfn.IFS(Table1[[#This Row],[Experience(Years)]]&lt;5, "Junior", I956&lt;=12, "Mid-Level", I956&lt;=20, "Senior", I956&lt;=30, "Super Senior", TRUE, "Expert")</f>
        <v>Mid-Level</v>
      </c>
      <c r="K956" s="7">
        <v>100</v>
      </c>
      <c r="L956" s="7">
        <f>Table1[[#This Row],[Hourly Rate]]*1000</f>
        <v>100000</v>
      </c>
      <c r="M956" s="7" t="str">
        <f t="shared" si="14"/>
        <v>Premium</v>
      </c>
      <c r="N956" s="2">
        <f>IF(ISNUMBER(#REF!),#REF!, _xlfn.IFS( I956&gt;=30, 5, I956&gt;=25, 4.8, I956&gt;=15, 4, I956&gt;=10, 3.8, I956&gt;=5, 3, I956&gt;=2, 2.5, I956&gt;=0, 1.8, TRUE, 1.3))</f>
        <v>3</v>
      </c>
      <c r="O956" s="2" t="s">
        <v>2053</v>
      </c>
      <c r="P956" s="10">
        <v>0.78</v>
      </c>
      <c r="Q956" s="10" t="str">
        <f>_xlfn.IFS(Table1[[#This Row],[Rating]]&gt;=4, "Top Performer", Table1[[#This Row],[Rating]]&gt;=3, "Average", TRUE, "Needs Imporovement")</f>
        <v>Average</v>
      </c>
    </row>
    <row r="957" spans="1:17" x14ac:dyDescent="0.3">
      <c r="A957" s="2" t="s">
        <v>1951</v>
      </c>
      <c r="B957" s="2" t="s">
        <v>1952</v>
      </c>
      <c r="C957" s="2" t="s">
        <v>68</v>
      </c>
      <c r="D957" s="2">
        <v>27</v>
      </c>
      <c r="E957" s="2" t="str">
        <f>_xlfn.IFS(Table1[[#This Row],[Age]]&lt;30, "18-29", D957&lt;=45,"30-45", D957&lt;=55, "46-55", TRUE, "55+")</f>
        <v>18-29</v>
      </c>
      <c r="F957" s="2" t="s">
        <v>7</v>
      </c>
      <c r="G957" s="2" t="s">
        <v>8</v>
      </c>
      <c r="H957" s="2" t="s">
        <v>17</v>
      </c>
      <c r="I957" s="5">
        <v>3</v>
      </c>
      <c r="J957" s="5" t="str">
        <f>_xlfn.IFS(Table1[[#This Row],[Experience(Years)]]&lt;5, "Junior", I957&lt;=12, "Mid-Level", I957&lt;=20, "Senior", I957&lt;=30, "Super Senior", TRUE, "Expert")</f>
        <v>Junior</v>
      </c>
      <c r="K957" s="7">
        <v>50</v>
      </c>
      <c r="L957" s="7">
        <f>Table1[[#This Row],[Hourly Rate]]*1000</f>
        <v>50000</v>
      </c>
      <c r="M957" s="7" t="str">
        <f t="shared" si="14"/>
        <v>Standard</v>
      </c>
      <c r="N957" s="2">
        <f>IF(ISNUMBER(#REF!),#REF!, _xlfn.IFS( I957&gt;=30, 5, I957&gt;=25, 4.8, I957&gt;=15, 4, I957&gt;=10, 3.8, I957&gt;=5, 3, I957&gt;=2, 2.5, I957&gt;=0, 1.8, TRUE, 1.3))</f>
        <v>2.5</v>
      </c>
      <c r="O957" s="2" t="s">
        <v>2053</v>
      </c>
      <c r="P957" s="10">
        <v>0.96</v>
      </c>
      <c r="Q957" s="10" t="str">
        <f>_xlfn.IFS(Table1[[#This Row],[Rating]]&gt;=4, "Top Performer", Table1[[#This Row],[Rating]]&gt;=3, "Average", TRUE, "Needs Imporovement")</f>
        <v>Needs Imporovement</v>
      </c>
    </row>
    <row r="958" spans="1:17" x14ac:dyDescent="0.3">
      <c r="A958" s="2" t="s">
        <v>1953</v>
      </c>
      <c r="B958" s="2" t="s">
        <v>1954</v>
      </c>
      <c r="C958" s="2" t="s">
        <v>49</v>
      </c>
      <c r="D958" s="2">
        <v>57</v>
      </c>
      <c r="E958" s="2" t="str">
        <f>_xlfn.IFS(Table1[[#This Row],[Age]]&lt;30, "18-29", D958&lt;=45,"30-45", D958&lt;=55, "46-55", TRUE, "55+")</f>
        <v>55+</v>
      </c>
      <c r="F958" s="2" t="s">
        <v>7</v>
      </c>
      <c r="G958" s="2" t="s">
        <v>8</v>
      </c>
      <c r="H958" s="2" t="s">
        <v>24</v>
      </c>
      <c r="I958" s="5">
        <v>5</v>
      </c>
      <c r="J958" s="5" t="str">
        <f>_xlfn.IFS(Table1[[#This Row],[Experience(Years)]]&lt;5, "Junior", I958&lt;=12, "Mid-Level", I958&lt;=20, "Senior", I958&lt;=30, "Super Senior", TRUE, "Expert")</f>
        <v>Mid-Level</v>
      </c>
      <c r="K958" s="7">
        <v>100</v>
      </c>
      <c r="L958" s="7">
        <f>Table1[[#This Row],[Hourly Rate]]*1000</f>
        <v>100000</v>
      </c>
      <c r="M958" s="7" t="str">
        <f t="shared" si="14"/>
        <v>Premium</v>
      </c>
      <c r="N958" s="2">
        <f>IF(ISNUMBER(#REF!),#REF!, _xlfn.IFS( I958&gt;=30, 5, I958&gt;=25, 4.8, I958&gt;=15, 4, I958&gt;=10, 3.8, I958&gt;=5, 3, I958&gt;=2, 2.5, I958&gt;=0, 1.8, TRUE, 1.3))</f>
        <v>3</v>
      </c>
      <c r="O958" s="2" t="s">
        <v>2053</v>
      </c>
      <c r="P958" s="10">
        <v>0.8</v>
      </c>
      <c r="Q958" s="10" t="str">
        <f>_xlfn.IFS(Table1[[#This Row],[Rating]]&gt;=4, "Top Performer", Table1[[#This Row],[Rating]]&gt;=3, "Average", TRUE, "Needs Imporovement")</f>
        <v>Average</v>
      </c>
    </row>
    <row r="959" spans="1:17" x14ac:dyDescent="0.3">
      <c r="A959" s="2" t="s">
        <v>1955</v>
      </c>
      <c r="B959" s="2" t="s">
        <v>1956</v>
      </c>
      <c r="C959" s="2" t="s">
        <v>49</v>
      </c>
      <c r="D959" s="2">
        <v>34</v>
      </c>
      <c r="E959" s="2" t="str">
        <f>_xlfn.IFS(Table1[[#This Row],[Age]]&lt;30, "18-29", D959&lt;=45,"30-45", D959&lt;=55, "46-55", TRUE, "55+")</f>
        <v>30-45</v>
      </c>
      <c r="F959" s="2" t="s">
        <v>37</v>
      </c>
      <c r="G959" s="2" t="s">
        <v>38</v>
      </c>
      <c r="H959" s="2" t="s">
        <v>46</v>
      </c>
      <c r="I959" s="5">
        <v>12</v>
      </c>
      <c r="J959" s="5" t="str">
        <f>_xlfn.IFS(Table1[[#This Row],[Experience(Years)]]&lt;5, "Junior", I959&lt;=12, "Mid-Level", I959&lt;=20, "Senior", I959&lt;=30, "Super Senior", TRUE, "Expert")</f>
        <v>Mid-Level</v>
      </c>
      <c r="K959" s="7">
        <v>20</v>
      </c>
      <c r="L959" s="7">
        <f>Table1[[#This Row],[Hourly Rate]]*1000</f>
        <v>20000</v>
      </c>
      <c r="M959" s="7" t="str">
        <f t="shared" si="14"/>
        <v>Budget</v>
      </c>
      <c r="N959" s="2">
        <f>IF(ISNUMBER(#REF!),#REF!, _xlfn.IFS( I959&gt;=30, 5, I959&gt;=25, 4.8, I959&gt;=15, 4, I959&gt;=10, 3.8, I959&gt;=5, 3, I959&gt;=2, 2.5, I959&gt;=0, 1.8, TRUE, 1.3))</f>
        <v>3.8</v>
      </c>
      <c r="O959" s="2" t="s">
        <v>2053</v>
      </c>
      <c r="P959" s="10">
        <v>0.64</v>
      </c>
      <c r="Q959" s="10" t="str">
        <f>_xlfn.IFS(Table1[[#This Row],[Rating]]&gt;=4, "Top Performer", Table1[[#This Row],[Rating]]&gt;=3, "Average", TRUE, "Needs Imporovement")</f>
        <v>Average</v>
      </c>
    </row>
    <row r="960" spans="1:17" x14ac:dyDescent="0.3">
      <c r="A960" s="2" t="s">
        <v>1957</v>
      </c>
      <c r="B960" s="2" t="s">
        <v>1958</v>
      </c>
      <c r="C960" s="2" t="s">
        <v>68</v>
      </c>
      <c r="D960" s="2">
        <v>55</v>
      </c>
      <c r="E960" s="2" t="str">
        <f>_xlfn.IFS(Table1[[#This Row],[Age]]&lt;30, "18-29", D960&lt;=45,"30-45", D960&lt;=55, "46-55", TRUE, "55+")</f>
        <v>46-55</v>
      </c>
      <c r="F960" s="2" t="s">
        <v>103</v>
      </c>
      <c r="G960" s="2" t="s">
        <v>104</v>
      </c>
      <c r="H960" s="2" t="s">
        <v>46</v>
      </c>
      <c r="I960" s="5">
        <v>33</v>
      </c>
      <c r="J960" s="5" t="str">
        <f>_xlfn.IFS(Table1[[#This Row],[Experience(Years)]]&lt;5, "Junior", I960&lt;=12, "Mid-Level", I960&lt;=20, "Senior", I960&lt;=30, "Super Senior", TRUE, "Expert")</f>
        <v>Expert</v>
      </c>
      <c r="K960" s="7">
        <v>50</v>
      </c>
      <c r="L960" s="7">
        <f>Table1[[#This Row],[Hourly Rate]]*1000</f>
        <v>50000</v>
      </c>
      <c r="M960" s="7" t="str">
        <f t="shared" si="14"/>
        <v>Standard</v>
      </c>
      <c r="N960" s="2">
        <f>IF(ISNUMBER(#REF!),#REF!, _xlfn.IFS( I960&gt;=30, 5, I960&gt;=25, 4.8, I960&gt;=15, 4, I960&gt;=10, 3.8, I960&gt;=5, 3, I960&gt;=2, 2.5, I960&gt;=0, 1.8, TRUE, 1.3))</f>
        <v>5</v>
      </c>
      <c r="O960" s="2" t="s">
        <v>2052</v>
      </c>
      <c r="P960" s="10">
        <v>0.92</v>
      </c>
      <c r="Q960" s="10" t="str">
        <f>_xlfn.IFS(Table1[[#This Row],[Rating]]&gt;=4, "Top Performer", Table1[[#This Row],[Rating]]&gt;=3, "Average", TRUE, "Needs Imporovement")</f>
        <v>Top Performer</v>
      </c>
    </row>
    <row r="961" spans="1:17" x14ac:dyDescent="0.3">
      <c r="A961" s="2" t="s">
        <v>1959</v>
      </c>
      <c r="B961" s="2" t="s">
        <v>1960</v>
      </c>
      <c r="C961" s="2" t="s">
        <v>68</v>
      </c>
      <c r="D961" s="2">
        <v>21</v>
      </c>
      <c r="E961" s="2" t="str">
        <f>_xlfn.IFS(Table1[[#This Row],[Age]]&lt;30, "18-29", D961&lt;=45,"30-45", D961&lt;=55, "46-55", TRUE, "55+")</f>
        <v>18-29</v>
      </c>
      <c r="F961" s="2" t="s">
        <v>107</v>
      </c>
      <c r="G961" s="2" t="s">
        <v>108</v>
      </c>
      <c r="H961" s="2" t="s">
        <v>4</v>
      </c>
      <c r="I961" s="5">
        <v>1</v>
      </c>
      <c r="J961" s="5" t="str">
        <f>_xlfn.IFS(Table1[[#This Row],[Experience(Years)]]&lt;5, "Junior", I961&lt;=12, "Mid-Level", I961&lt;=20, "Senior", I961&lt;=30, "Super Senior", TRUE, "Expert")</f>
        <v>Junior</v>
      </c>
      <c r="K961" s="7">
        <v>100</v>
      </c>
      <c r="L961" s="7">
        <f>Table1[[#This Row],[Hourly Rate]]*1000</f>
        <v>100000</v>
      </c>
      <c r="M961" s="7" t="str">
        <f t="shared" si="14"/>
        <v>Premium</v>
      </c>
      <c r="N961" s="2">
        <f>IF(ISNUMBER(#REF!),#REF!, _xlfn.IFS( I961&gt;=30, 5, I961&gt;=25, 4.8, I961&gt;=15, 4, I961&gt;=10, 3.8, I961&gt;=5, 3, I961&gt;=2, 2.5, I961&gt;=0, 1.8, TRUE, 1.3))</f>
        <v>1.8</v>
      </c>
      <c r="O961" s="2" t="s">
        <v>2053</v>
      </c>
      <c r="P961" s="10">
        <v>0.3</v>
      </c>
      <c r="Q961" s="10" t="str">
        <f>_xlfn.IFS(Table1[[#This Row],[Rating]]&gt;=4, "Top Performer", Table1[[#This Row],[Rating]]&gt;=3, "Average", TRUE, "Needs Imporovement")</f>
        <v>Needs Imporovement</v>
      </c>
    </row>
    <row r="962" spans="1:17" x14ac:dyDescent="0.3">
      <c r="A962" s="2" t="s">
        <v>1961</v>
      </c>
      <c r="B962" s="2" t="s">
        <v>1962</v>
      </c>
      <c r="C962" s="2" t="s">
        <v>68</v>
      </c>
      <c r="D962" s="2">
        <v>53</v>
      </c>
      <c r="E962" s="2" t="str">
        <f>_xlfn.IFS(Table1[[#This Row],[Age]]&lt;30, "18-29", D962&lt;=45,"30-45", D962&lt;=55, "46-55", TRUE, "55+")</f>
        <v>46-55</v>
      </c>
      <c r="F962" s="2" t="s">
        <v>22</v>
      </c>
      <c r="G962" s="2" t="s">
        <v>23</v>
      </c>
      <c r="H962" s="2" t="s">
        <v>61</v>
      </c>
      <c r="I962" s="5">
        <v>27</v>
      </c>
      <c r="J962" s="5" t="str">
        <f>_xlfn.IFS(Table1[[#This Row],[Experience(Years)]]&lt;5, "Junior", I962&lt;=12, "Mid-Level", I962&lt;=20, "Senior", I962&lt;=30, "Super Senior", TRUE, "Expert")</f>
        <v>Super Senior</v>
      </c>
      <c r="K962" s="7">
        <v>20</v>
      </c>
      <c r="L962" s="7">
        <f>Table1[[#This Row],[Hourly Rate]]*1000</f>
        <v>20000</v>
      </c>
      <c r="M962" s="7" t="str">
        <f t="shared" ref="M962:M1001" si="15">_xlfn.IFS(K962&lt;40, "Budget", K962&lt;=80, "Standard", TRUE, "Premium")</f>
        <v>Budget</v>
      </c>
      <c r="N962" s="2">
        <f>IF(ISNUMBER(#REF!),#REF!, _xlfn.IFS( I962&gt;=30, 5, I962&gt;=25, 4.8, I962&gt;=15, 4, I962&gt;=10, 3.8, I962&gt;=5, 3, I962&gt;=2, 2.5, I962&gt;=0, 1.8, TRUE, 1.3))</f>
        <v>4.8</v>
      </c>
      <c r="O962" s="2" t="s">
        <v>2053</v>
      </c>
      <c r="P962" s="10">
        <v>0.71</v>
      </c>
      <c r="Q962" s="10" t="str">
        <f>_xlfn.IFS(Table1[[#This Row],[Rating]]&gt;=4, "Top Performer", Table1[[#This Row],[Rating]]&gt;=3, "Average", TRUE, "Needs Imporovement")</f>
        <v>Top Performer</v>
      </c>
    </row>
    <row r="963" spans="1:17" x14ac:dyDescent="0.3">
      <c r="A963" s="2" t="s">
        <v>1963</v>
      </c>
      <c r="B963" s="2" t="s">
        <v>1964</v>
      </c>
      <c r="C963" s="2" t="s">
        <v>49</v>
      </c>
      <c r="D963" s="2">
        <v>21</v>
      </c>
      <c r="E963" s="2" t="str">
        <f>_xlfn.IFS(Table1[[#This Row],[Age]]&lt;30, "18-29", D963&lt;=45,"30-45", D963&lt;=55, "46-55", TRUE, "55+")</f>
        <v>18-29</v>
      </c>
      <c r="F963" s="2" t="s">
        <v>12</v>
      </c>
      <c r="G963" s="2" t="s">
        <v>13</v>
      </c>
      <c r="H963" s="2" t="s">
        <v>46</v>
      </c>
      <c r="I963" s="5">
        <v>1</v>
      </c>
      <c r="J963" s="5" t="str">
        <f>_xlfn.IFS(Table1[[#This Row],[Experience(Years)]]&lt;5, "Junior", I963&lt;=12, "Mid-Level", I963&lt;=20, "Senior", I963&lt;=30, "Super Senior", TRUE, "Expert")</f>
        <v>Junior</v>
      </c>
      <c r="K963" s="7">
        <v>100</v>
      </c>
      <c r="L963" s="7">
        <f>Table1[[#This Row],[Hourly Rate]]*1000</f>
        <v>100000</v>
      </c>
      <c r="M963" s="7" t="str">
        <f t="shared" si="15"/>
        <v>Premium</v>
      </c>
      <c r="N963" s="2">
        <f>IF(ISNUMBER(#REF!),#REF!, _xlfn.IFS( I963&gt;=30, 5, I963&gt;=25, 4.8, I963&gt;=15, 4, I963&gt;=10, 3.8, I963&gt;=5, 3, I963&gt;=2, 2.5, I963&gt;=0, 1.8, TRUE, 1.3))</f>
        <v>1.8</v>
      </c>
      <c r="O963" s="2" t="s">
        <v>2053</v>
      </c>
      <c r="P963" s="10">
        <v>0.95</v>
      </c>
      <c r="Q963" s="10" t="str">
        <f>_xlfn.IFS(Table1[[#This Row],[Rating]]&gt;=4, "Top Performer", Table1[[#This Row],[Rating]]&gt;=3, "Average", TRUE, "Needs Imporovement")</f>
        <v>Needs Imporovement</v>
      </c>
    </row>
    <row r="964" spans="1:17" x14ac:dyDescent="0.3">
      <c r="A964" s="2" t="s">
        <v>1965</v>
      </c>
      <c r="B964" s="2" t="s">
        <v>1966</v>
      </c>
      <c r="C964" s="2" t="s">
        <v>49</v>
      </c>
      <c r="D964" s="2">
        <v>36</v>
      </c>
      <c r="E964" s="2" t="str">
        <f>_xlfn.IFS(Table1[[#This Row],[Age]]&lt;30, "18-29", D964&lt;=45,"30-45", D964&lt;=55, "46-55", TRUE, "55+")</f>
        <v>30-45</v>
      </c>
      <c r="F964" s="2" t="s">
        <v>77</v>
      </c>
      <c r="G964" s="2" t="s">
        <v>78</v>
      </c>
      <c r="H964" s="2" t="s">
        <v>17</v>
      </c>
      <c r="I964" s="5">
        <v>7</v>
      </c>
      <c r="J964" s="5" t="str">
        <f>_xlfn.IFS(Table1[[#This Row],[Experience(Years)]]&lt;5, "Junior", I964&lt;=12, "Mid-Level", I964&lt;=20, "Senior", I964&lt;=30, "Super Senior", TRUE, "Expert")</f>
        <v>Mid-Level</v>
      </c>
      <c r="K964" s="7">
        <v>20</v>
      </c>
      <c r="L964" s="7">
        <f>Table1[[#This Row],[Hourly Rate]]*1000</f>
        <v>20000</v>
      </c>
      <c r="M964" s="7" t="str">
        <f t="shared" si="15"/>
        <v>Budget</v>
      </c>
      <c r="N964" s="2">
        <f>IF(ISNUMBER(#REF!),#REF!, _xlfn.IFS( I964&gt;=30, 5, I964&gt;=25, 4.8, I964&gt;=15, 4, I964&gt;=10, 3.8, I964&gt;=5, 3, I964&gt;=2, 2.5, I964&gt;=0, 1.8, TRUE, 1.3))</f>
        <v>3</v>
      </c>
      <c r="O964" s="2" t="s">
        <v>2052</v>
      </c>
      <c r="P964" s="10">
        <v>0.86</v>
      </c>
      <c r="Q964" s="10" t="str">
        <f>_xlfn.IFS(Table1[[#This Row],[Rating]]&gt;=4, "Top Performer", Table1[[#This Row],[Rating]]&gt;=3, "Average", TRUE, "Needs Imporovement")</f>
        <v>Average</v>
      </c>
    </row>
    <row r="965" spans="1:17" x14ac:dyDescent="0.3">
      <c r="A965" s="2" t="s">
        <v>1967</v>
      </c>
      <c r="B965" s="2" t="s">
        <v>1968</v>
      </c>
      <c r="C965" s="2" t="s">
        <v>68</v>
      </c>
      <c r="D965" s="2">
        <v>40</v>
      </c>
      <c r="E965" s="2" t="str">
        <f>_xlfn.IFS(Table1[[#This Row],[Age]]&lt;30, "18-29", D965&lt;=45,"30-45", D965&lt;=55, "46-55", TRUE, "55+")</f>
        <v>30-45</v>
      </c>
      <c r="F965" s="2" t="s">
        <v>12</v>
      </c>
      <c r="G965" s="2" t="s">
        <v>13</v>
      </c>
      <c r="H965" s="2" t="s">
        <v>24</v>
      </c>
      <c r="I965" s="5">
        <v>2</v>
      </c>
      <c r="J965" s="5" t="str">
        <f>_xlfn.IFS(Table1[[#This Row],[Experience(Years)]]&lt;5, "Junior", I965&lt;=12, "Mid-Level", I965&lt;=20, "Senior", I965&lt;=30, "Super Senior", TRUE, "Expert")</f>
        <v>Junior</v>
      </c>
      <c r="K965" s="7">
        <v>30</v>
      </c>
      <c r="L965" s="7">
        <f>Table1[[#This Row],[Hourly Rate]]*1000</f>
        <v>30000</v>
      </c>
      <c r="M965" s="7" t="str">
        <f t="shared" si="15"/>
        <v>Budget</v>
      </c>
      <c r="N965" s="2">
        <f>IF(ISNUMBER(#REF!),#REF!, _xlfn.IFS( I965&gt;=30, 5, I965&gt;=25, 4.8, I965&gt;=15, 4, I965&gt;=10, 3.8, I965&gt;=5, 3, I965&gt;=2, 2.5, I965&gt;=0, 1.8, TRUE, 1.3))</f>
        <v>2.5</v>
      </c>
      <c r="O965" s="2" t="s">
        <v>2053</v>
      </c>
      <c r="P965" s="10">
        <v>0.77</v>
      </c>
      <c r="Q965" s="10" t="str">
        <f>_xlfn.IFS(Table1[[#This Row],[Rating]]&gt;=4, "Top Performer", Table1[[#This Row],[Rating]]&gt;=3, "Average", TRUE, "Needs Imporovement")</f>
        <v>Needs Imporovement</v>
      </c>
    </row>
    <row r="966" spans="1:17" x14ac:dyDescent="0.3">
      <c r="A966" s="2" t="s">
        <v>1969</v>
      </c>
      <c r="B966" s="2" t="s">
        <v>1970</v>
      </c>
      <c r="C966" s="2" t="s">
        <v>49</v>
      </c>
      <c r="D966" s="2">
        <v>59</v>
      </c>
      <c r="E966" s="2" t="str">
        <f>_xlfn.IFS(Table1[[#This Row],[Age]]&lt;30, "18-29", D966&lt;=45,"30-45", D966&lt;=55, "46-55", TRUE, "55+")</f>
        <v>55+</v>
      </c>
      <c r="F966" s="2" t="s">
        <v>41</v>
      </c>
      <c r="G966" s="2" t="s">
        <v>8</v>
      </c>
      <c r="H966" s="2" t="s">
        <v>46</v>
      </c>
      <c r="I966" s="5">
        <v>40</v>
      </c>
      <c r="J966" s="5" t="str">
        <f>_xlfn.IFS(Table1[[#This Row],[Experience(Years)]]&lt;5, "Junior", I966&lt;=12, "Mid-Level", I966&lt;=20, "Senior", I966&lt;=30, "Super Senior", TRUE, "Expert")</f>
        <v>Expert</v>
      </c>
      <c r="K966" s="7">
        <v>100</v>
      </c>
      <c r="L966" s="7">
        <f>Table1[[#This Row],[Hourly Rate]]*1000</f>
        <v>100000</v>
      </c>
      <c r="M966" s="7" t="str">
        <f t="shared" si="15"/>
        <v>Premium</v>
      </c>
      <c r="N966" s="2">
        <f>IF(ISNUMBER(#REF!),#REF!, _xlfn.IFS( I966&gt;=30, 5, I966&gt;=25, 4.8, I966&gt;=15, 4, I966&gt;=10, 3.8, I966&gt;=5, 3, I966&gt;=2, 2.5, I966&gt;=0, 1.8, TRUE, 1.3))</f>
        <v>5</v>
      </c>
      <c r="O966" s="2" t="str">
        <f>IF(AND( Table1[[#This Row],[Rating]]&gt;=3.5, Table1[[#This Row],[Experience(Years)]]&gt;=15), "Active", "Inactive")</f>
        <v>Active</v>
      </c>
      <c r="P966" s="10">
        <v>1</v>
      </c>
      <c r="Q966" s="10" t="str">
        <f>_xlfn.IFS(Table1[[#This Row],[Rating]]&gt;=4, "Top Performer", Table1[[#This Row],[Rating]]&gt;=3, "Average", TRUE, "Needs Imporovement")</f>
        <v>Top Performer</v>
      </c>
    </row>
    <row r="967" spans="1:17" x14ac:dyDescent="0.3">
      <c r="A967" s="2" t="s">
        <v>1971</v>
      </c>
      <c r="B967" s="2" t="s">
        <v>1972</v>
      </c>
      <c r="C967" s="2" t="s">
        <v>68</v>
      </c>
      <c r="D967" s="2">
        <v>45</v>
      </c>
      <c r="E967" s="2" t="str">
        <f>_xlfn.IFS(Table1[[#This Row],[Age]]&lt;30, "18-29", D967&lt;=45,"30-45", D967&lt;=55, "46-55", TRUE, "55+")</f>
        <v>30-45</v>
      </c>
      <c r="F967" s="2" t="s">
        <v>22</v>
      </c>
      <c r="G967" s="2" t="s">
        <v>23</v>
      </c>
      <c r="H967" s="2" t="s">
        <v>50</v>
      </c>
      <c r="I967" s="5">
        <v>4</v>
      </c>
      <c r="J967" s="5" t="str">
        <f>_xlfn.IFS(Table1[[#This Row],[Experience(Years)]]&lt;5, "Junior", I967&lt;=12, "Mid-Level", I967&lt;=20, "Senior", I967&lt;=30, "Super Senior", TRUE, "Expert")</f>
        <v>Junior</v>
      </c>
      <c r="K967" s="7">
        <v>20</v>
      </c>
      <c r="L967" s="7">
        <f>Table1[[#This Row],[Hourly Rate]]*1000</f>
        <v>20000</v>
      </c>
      <c r="M967" s="7" t="str">
        <f t="shared" si="15"/>
        <v>Budget</v>
      </c>
      <c r="N967" s="2">
        <f>IF(ISNUMBER(#REF!),#REF!, _xlfn.IFS( I967&gt;=30, 5, I967&gt;=25, 4.8, I967&gt;=15, 4, I967&gt;=10, 3.8, I967&gt;=5, 3, I967&gt;=2, 2.5, I967&gt;=0, 1.8, TRUE, 1.3))</f>
        <v>2.5</v>
      </c>
      <c r="O967" s="2" t="str">
        <f>IF(AND( Table1[[#This Row],[Rating]]&gt;=3.5, Table1[[#This Row],[Experience(Years)]]&gt;=15), "Active", "Inactive")</f>
        <v>Inactive</v>
      </c>
      <c r="P967" s="10">
        <v>0.72</v>
      </c>
      <c r="Q967" s="10" t="str">
        <f>_xlfn.IFS(Table1[[#This Row],[Rating]]&gt;=4, "Top Performer", Table1[[#This Row],[Rating]]&gt;=3, "Average", TRUE, "Needs Imporovement")</f>
        <v>Needs Imporovement</v>
      </c>
    </row>
    <row r="968" spans="1:17" x14ac:dyDescent="0.3">
      <c r="A968" s="2" t="s">
        <v>1973</v>
      </c>
      <c r="B968" s="2" t="s">
        <v>1974</v>
      </c>
      <c r="C968" s="2" t="s">
        <v>68</v>
      </c>
      <c r="D968" s="2">
        <v>44</v>
      </c>
      <c r="E968" s="2" t="str">
        <f>_xlfn.IFS(Table1[[#This Row],[Age]]&lt;30, "18-29", D968&lt;=45,"30-45", D968&lt;=55, "46-55", TRUE, "55+")</f>
        <v>30-45</v>
      </c>
      <c r="F968" s="2" t="s">
        <v>81</v>
      </c>
      <c r="G968" s="2" t="s">
        <v>82</v>
      </c>
      <c r="H968" s="2" t="s">
        <v>83</v>
      </c>
      <c r="I968" s="5">
        <v>9</v>
      </c>
      <c r="J968" s="5" t="str">
        <f>_xlfn.IFS(Table1[[#This Row],[Experience(Years)]]&lt;5, "Junior", I968&lt;=12, "Mid-Level", I968&lt;=20, "Senior", I968&lt;=30, "Super Senior", TRUE, "Expert")</f>
        <v>Mid-Level</v>
      </c>
      <c r="K968" s="7">
        <v>40</v>
      </c>
      <c r="L968" s="7">
        <f>Table1[[#This Row],[Hourly Rate]]*1000</f>
        <v>40000</v>
      </c>
      <c r="M968" s="7" t="str">
        <f t="shared" si="15"/>
        <v>Standard</v>
      </c>
      <c r="N968" s="2">
        <f>IF(ISNUMBER(#REF!),#REF!, _xlfn.IFS( I968&gt;=30, 5, I968&gt;=25, 4.8, I968&gt;=15, 4, I968&gt;=10, 3.8, I968&gt;=5, 3, I968&gt;=2, 2.5, I968&gt;=0, 1.8, TRUE, 1.3))</f>
        <v>3</v>
      </c>
      <c r="O968" s="2" t="s">
        <v>2052</v>
      </c>
      <c r="P968" s="10">
        <v>0.7</v>
      </c>
      <c r="Q968" s="10" t="str">
        <f>_xlfn.IFS(Table1[[#This Row],[Rating]]&gt;=4, "Top Performer", Table1[[#This Row],[Rating]]&gt;=3, "Average", TRUE, "Needs Imporovement")</f>
        <v>Average</v>
      </c>
    </row>
    <row r="969" spans="1:17" x14ac:dyDescent="0.3">
      <c r="A969" s="2" t="s">
        <v>1975</v>
      </c>
      <c r="B969" s="2" t="s">
        <v>1976</v>
      </c>
      <c r="C969" s="2" t="s">
        <v>49</v>
      </c>
      <c r="D969" s="2">
        <v>36</v>
      </c>
      <c r="E969" s="2" t="str">
        <f>_xlfn.IFS(Table1[[#This Row],[Age]]&lt;30, "18-29", D969&lt;=45,"30-45", D969&lt;=55, "46-55", TRUE, "55+")</f>
        <v>30-45</v>
      </c>
      <c r="F969" s="2" t="s">
        <v>41</v>
      </c>
      <c r="G969" s="2" t="s">
        <v>8</v>
      </c>
      <c r="H969" s="2" t="s">
        <v>50</v>
      </c>
      <c r="I969" s="5">
        <v>13</v>
      </c>
      <c r="J969" s="5" t="str">
        <f>_xlfn.IFS(Table1[[#This Row],[Experience(Years)]]&lt;5, "Junior", I969&lt;=12, "Mid-Level", I969&lt;=20, "Senior", I969&lt;=30, "Super Senior", TRUE, "Expert")</f>
        <v>Senior</v>
      </c>
      <c r="K969" s="7">
        <v>30</v>
      </c>
      <c r="L969" s="7">
        <f>Table1[[#This Row],[Hourly Rate]]*1000</f>
        <v>30000</v>
      </c>
      <c r="M969" s="7" t="str">
        <f t="shared" si="15"/>
        <v>Budget</v>
      </c>
      <c r="N969" s="2">
        <f>IF(ISNUMBER(#REF!),#REF!, _xlfn.IFS( I969&gt;=30, 5, I969&gt;=25, 4.8, I969&gt;=15, 4, I969&gt;=10, 3.8, I969&gt;=5, 3, I969&gt;=2, 2.5, I969&gt;=0, 1.8, TRUE, 1.3))</f>
        <v>3.8</v>
      </c>
      <c r="O969" s="2" t="s">
        <v>2052</v>
      </c>
      <c r="P969" s="10">
        <v>0.86</v>
      </c>
      <c r="Q969" s="10" t="str">
        <f>_xlfn.IFS(Table1[[#This Row],[Rating]]&gt;=4, "Top Performer", Table1[[#This Row],[Rating]]&gt;=3, "Average", TRUE, "Needs Imporovement")</f>
        <v>Average</v>
      </c>
    </row>
    <row r="970" spans="1:17" x14ac:dyDescent="0.3">
      <c r="A970" s="2" t="s">
        <v>1977</v>
      </c>
      <c r="B970" s="2" t="s">
        <v>1978</v>
      </c>
      <c r="C970" s="2" t="s">
        <v>49</v>
      </c>
      <c r="D970" s="2">
        <v>26</v>
      </c>
      <c r="E970" s="2" t="str">
        <f>_xlfn.IFS(Table1[[#This Row],[Age]]&lt;30, "18-29", D970&lt;=45,"30-45", D970&lt;=55, "46-55", TRUE, "55+")</f>
        <v>18-29</v>
      </c>
      <c r="F970" s="2" t="s">
        <v>64</v>
      </c>
      <c r="G970" s="2" t="s">
        <v>65</v>
      </c>
      <c r="H970" s="2" t="s">
        <v>14</v>
      </c>
      <c r="I970" s="5">
        <v>1</v>
      </c>
      <c r="J970" s="5" t="str">
        <f>_xlfn.IFS(Table1[[#This Row],[Experience(Years)]]&lt;5, "Junior", I970&lt;=12, "Mid-Level", I970&lt;=20, "Senior", I970&lt;=30, "Super Senior", TRUE, "Expert")</f>
        <v>Junior</v>
      </c>
      <c r="K970" s="7">
        <v>75</v>
      </c>
      <c r="L970" s="7">
        <f>Table1[[#This Row],[Hourly Rate]]*1000</f>
        <v>75000</v>
      </c>
      <c r="M970" s="7" t="str">
        <f t="shared" si="15"/>
        <v>Standard</v>
      </c>
      <c r="N970" s="2">
        <f>IF(ISNUMBER(#REF!),#REF!, _xlfn.IFS( I970&gt;=30, 5, I970&gt;=25, 4.8, I970&gt;=15, 4, I970&gt;=10, 3.8, I970&gt;=5, 3, I970&gt;=2, 2.5, I970&gt;=0, 1.8, TRUE, 1.3))</f>
        <v>1.8</v>
      </c>
      <c r="O970" s="2" t="s">
        <v>2053</v>
      </c>
      <c r="P970" s="10">
        <v>0.3</v>
      </c>
      <c r="Q970" s="10" t="str">
        <f>_xlfn.IFS(Table1[[#This Row],[Rating]]&gt;=4, "Top Performer", Table1[[#This Row],[Rating]]&gt;=3, "Average", TRUE, "Needs Imporovement")</f>
        <v>Needs Imporovement</v>
      </c>
    </row>
    <row r="971" spans="1:17" x14ac:dyDescent="0.3">
      <c r="A971" s="2" t="s">
        <v>1979</v>
      </c>
      <c r="B971" s="2" t="s">
        <v>1980</v>
      </c>
      <c r="C971" s="2" t="s">
        <v>68</v>
      </c>
      <c r="D971" s="2">
        <v>49</v>
      </c>
      <c r="E971" s="2" t="str">
        <f>_xlfn.IFS(Table1[[#This Row],[Age]]&lt;30, "18-29", D971&lt;=45,"30-45", D971&lt;=55, "46-55", TRUE, "55+")</f>
        <v>46-55</v>
      </c>
      <c r="F971" s="2" t="s">
        <v>64</v>
      </c>
      <c r="G971" s="2" t="s">
        <v>65</v>
      </c>
      <c r="H971" s="2" t="s">
        <v>17</v>
      </c>
      <c r="I971" s="5">
        <v>1</v>
      </c>
      <c r="J971" s="5" t="str">
        <f>_xlfn.IFS(Table1[[#This Row],[Experience(Years)]]&lt;5, "Junior", I971&lt;=12, "Mid-Level", I971&lt;=20, "Senior", I971&lt;=30, "Super Senior", TRUE, "Expert")</f>
        <v>Junior</v>
      </c>
      <c r="K971" s="7">
        <v>20</v>
      </c>
      <c r="L971" s="7">
        <f>Table1[[#This Row],[Hourly Rate]]*1000</f>
        <v>20000</v>
      </c>
      <c r="M971" s="7" t="str">
        <f t="shared" si="15"/>
        <v>Budget</v>
      </c>
      <c r="N971" s="2">
        <f>IF(ISNUMBER(#REF!),#REF!, _xlfn.IFS( I971&gt;=30, 5, I971&gt;=25, 4.8, I971&gt;=15, 4, I971&gt;=10, 3.8, I971&gt;=5, 3, I971&gt;=2, 2.5, I971&gt;=0, 1.8, TRUE, 1.3))</f>
        <v>1.8</v>
      </c>
      <c r="O971" s="2" t="s">
        <v>2052</v>
      </c>
      <c r="P971" s="10">
        <v>0.82</v>
      </c>
      <c r="Q971" s="10" t="str">
        <f>_xlfn.IFS(Table1[[#This Row],[Rating]]&gt;=4, "Top Performer", Table1[[#This Row],[Rating]]&gt;=3, "Average", TRUE, "Needs Imporovement")</f>
        <v>Needs Imporovement</v>
      </c>
    </row>
    <row r="972" spans="1:17" x14ac:dyDescent="0.3">
      <c r="A972" s="2" t="s">
        <v>1981</v>
      </c>
      <c r="B972" s="2" t="s">
        <v>1982</v>
      </c>
      <c r="C972" s="2" t="s">
        <v>68</v>
      </c>
      <c r="D972" s="2">
        <v>29</v>
      </c>
      <c r="E972" s="2" t="str">
        <f>_xlfn.IFS(Table1[[#This Row],[Age]]&lt;30, "18-29", D972&lt;=45,"30-45", D972&lt;=55, "46-55", TRUE, "55+")</f>
        <v>18-29</v>
      </c>
      <c r="F972" s="2" t="s">
        <v>103</v>
      </c>
      <c r="G972" s="2" t="s">
        <v>104</v>
      </c>
      <c r="H972" s="2" t="s">
        <v>9</v>
      </c>
      <c r="I972" s="5">
        <v>3</v>
      </c>
      <c r="J972" s="5" t="str">
        <f>_xlfn.IFS(Table1[[#This Row],[Experience(Years)]]&lt;5, "Junior", I972&lt;=12, "Mid-Level", I972&lt;=20, "Senior", I972&lt;=30, "Super Senior", TRUE, "Expert")</f>
        <v>Junior</v>
      </c>
      <c r="K972" s="7">
        <v>40</v>
      </c>
      <c r="L972" s="7">
        <f>Table1[[#This Row],[Hourly Rate]]*1000</f>
        <v>40000</v>
      </c>
      <c r="M972" s="7" t="str">
        <f t="shared" si="15"/>
        <v>Standard</v>
      </c>
      <c r="N972" s="2">
        <f>IF(ISNUMBER(#REF!),#REF!, _xlfn.IFS( I972&gt;=30, 5, I972&gt;=25, 4.8, I972&gt;=15, 4, I972&gt;=10, 3.8, I972&gt;=5, 3, I972&gt;=2, 2.5, I972&gt;=0, 1.8, TRUE, 1.3))</f>
        <v>2.5</v>
      </c>
      <c r="O972" s="2" t="s">
        <v>2053</v>
      </c>
      <c r="P972" s="10">
        <v>0.81</v>
      </c>
      <c r="Q972" s="10" t="str">
        <f>_xlfn.IFS(Table1[[#This Row],[Rating]]&gt;=4, "Top Performer", Table1[[#This Row],[Rating]]&gt;=3, "Average", TRUE, "Needs Imporovement")</f>
        <v>Needs Imporovement</v>
      </c>
    </row>
    <row r="973" spans="1:17" x14ac:dyDescent="0.3">
      <c r="A973" s="2" t="s">
        <v>1983</v>
      </c>
      <c r="B973" s="2" t="s">
        <v>1984</v>
      </c>
      <c r="C973" s="2" t="s">
        <v>68</v>
      </c>
      <c r="D973" s="2">
        <v>32</v>
      </c>
      <c r="E973" s="2" t="str">
        <f>_xlfn.IFS(Table1[[#This Row],[Age]]&lt;30, "18-29", D973&lt;=45,"30-45", D973&lt;=55, "46-55", TRUE, "55+")</f>
        <v>30-45</v>
      </c>
      <c r="F973" s="2" t="s">
        <v>103</v>
      </c>
      <c r="G973" s="2" t="s">
        <v>104</v>
      </c>
      <c r="H973" s="2" t="s">
        <v>14</v>
      </c>
      <c r="I973" s="5">
        <v>1</v>
      </c>
      <c r="J973" s="5" t="str">
        <f>_xlfn.IFS(Table1[[#This Row],[Experience(Years)]]&lt;5, "Junior", I973&lt;=12, "Mid-Level", I973&lt;=20, "Senior", I973&lt;=30, "Super Senior", TRUE, "Expert")</f>
        <v>Junior</v>
      </c>
      <c r="K973" s="7">
        <v>40</v>
      </c>
      <c r="L973" s="7">
        <f>Table1[[#This Row],[Hourly Rate]]*1000</f>
        <v>40000</v>
      </c>
      <c r="M973" s="7" t="str">
        <f t="shared" si="15"/>
        <v>Standard</v>
      </c>
      <c r="N973" s="2">
        <f>IF(ISNUMBER(#REF!),#REF!, _xlfn.IFS( I973&gt;=30, 5, I973&gt;=25, 4.8, I973&gt;=15, 4, I973&gt;=10, 3.8, I973&gt;=5, 3, I973&gt;=2, 2.5, I973&gt;=0, 1.8, TRUE, 1.3))</f>
        <v>1.8</v>
      </c>
      <c r="O973" s="2" t="s">
        <v>2053</v>
      </c>
      <c r="P973" s="10">
        <v>0.76</v>
      </c>
      <c r="Q973" s="10" t="str">
        <f>_xlfn.IFS(Table1[[#This Row],[Rating]]&gt;=4, "Top Performer", Table1[[#This Row],[Rating]]&gt;=3, "Average", TRUE, "Needs Imporovement")</f>
        <v>Needs Imporovement</v>
      </c>
    </row>
    <row r="974" spans="1:17" x14ac:dyDescent="0.3">
      <c r="A974" s="2" t="s">
        <v>1985</v>
      </c>
      <c r="B974" s="2" t="s">
        <v>1986</v>
      </c>
      <c r="C974" s="2" t="s">
        <v>68</v>
      </c>
      <c r="D974" s="2">
        <v>24</v>
      </c>
      <c r="E974" s="2" t="str">
        <f>_xlfn.IFS(Table1[[#This Row],[Age]]&lt;30, "18-29", D974&lt;=45,"30-45", D974&lt;=55, "46-55", TRUE, "55+")</f>
        <v>18-29</v>
      </c>
      <c r="F974" s="2" t="s">
        <v>27</v>
      </c>
      <c r="G974" s="2" t="s">
        <v>28</v>
      </c>
      <c r="H974" s="2" t="s">
        <v>4</v>
      </c>
      <c r="I974" s="5">
        <v>3</v>
      </c>
      <c r="J974" s="5" t="str">
        <f>_xlfn.IFS(Table1[[#This Row],[Experience(Years)]]&lt;5, "Junior", I974&lt;=12, "Mid-Level", I974&lt;=20, "Senior", I974&lt;=30, "Super Senior", TRUE, "Expert")</f>
        <v>Junior</v>
      </c>
      <c r="K974" s="7">
        <v>30</v>
      </c>
      <c r="L974" s="7">
        <f>Table1[[#This Row],[Hourly Rate]]*1000</f>
        <v>30000</v>
      </c>
      <c r="M974" s="7" t="str">
        <f t="shared" si="15"/>
        <v>Budget</v>
      </c>
      <c r="N974" s="2">
        <f>IF(ISNUMBER(#REF!),#REF!, _xlfn.IFS( I974&gt;=30, 5, I974&gt;=25, 4.8, I974&gt;=15, 4, I974&gt;=10, 3.8, I974&gt;=5, 3, I974&gt;=2, 2.5, I974&gt;=0, 1.8, TRUE, 1.3))</f>
        <v>2.5</v>
      </c>
      <c r="O974" s="2" t="s">
        <v>2052</v>
      </c>
      <c r="P974" s="10">
        <v>0.9</v>
      </c>
      <c r="Q974" s="10" t="str">
        <f>_xlfn.IFS(Table1[[#This Row],[Rating]]&gt;=4, "Top Performer", Table1[[#This Row],[Rating]]&gt;=3, "Average", TRUE, "Needs Imporovement")</f>
        <v>Needs Imporovement</v>
      </c>
    </row>
    <row r="975" spans="1:17" x14ac:dyDescent="0.3">
      <c r="A975" s="2" t="s">
        <v>1987</v>
      </c>
      <c r="B975" s="2" t="s">
        <v>1988</v>
      </c>
      <c r="C975" s="2" t="s">
        <v>68</v>
      </c>
      <c r="D975" s="2">
        <v>35</v>
      </c>
      <c r="E975" s="2" t="str">
        <f>_xlfn.IFS(Table1[[#This Row],[Age]]&lt;30, "18-29", D975&lt;=45,"30-45", D975&lt;=55, "46-55", TRUE, "55+")</f>
        <v>30-45</v>
      </c>
      <c r="F975" s="2" t="s">
        <v>81</v>
      </c>
      <c r="G975" s="2" t="s">
        <v>82</v>
      </c>
      <c r="H975" s="2" t="s">
        <v>61</v>
      </c>
      <c r="I975" s="5">
        <v>14</v>
      </c>
      <c r="J975" s="5" t="str">
        <f>_xlfn.IFS(Table1[[#This Row],[Experience(Years)]]&lt;5, "Junior", I975&lt;=12, "Mid-Level", I975&lt;=20, "Senior", I975&lt;=30, "Super Senior", TRUE, "Expert")</f>
        <v>Senior</v>
      </c>
      <c r="K975" s="7">
        <v>30</v>
      </c>
      <c r="L975" s="7">
        <f>Table1[[#This Row],[Hourly Rate]]*1000</f>
        <v>30000</v>
      </c>
      <c r="M975" s="7" t="str">
        <f t="shared" si="15"/>
        <v>Budget</v>
      </c>
      <c r="N975" s="2">
        <f>IF(ISNUMBER(#REF!),#REF!, _xlfn.IFS( I975&gt;=30, 5, I975&gt;=25, 4.8, I975&gt;=15, 4, I975&gt;=10, 3.8, I975&gt;=5, 3, I975&gt;=2, 2.5, I975&gt;=0, 1.8, TRUE, 1.3))</f>
        <v>3.8</v>
      </c>
      <c r="O975" s="2" t="s">
        <v>2053</v>
      </c>
      <c r="P975" s="10">
        <v>0.67</v>
      </c>
      <c r="Q975" s="10" t="str">
        <f>_xlfn.IFS(Table1[[#This Row],[Rating]]&gt;=4, "Top Performer", Table1[[#This Row],[Rating]]&gt;=3, "Average", TRUE, "Needs Imporovement")</f>
        <v>Average</v>
      </c>
    </row>
    <row r="976" spans="1:17" x14ac:dyDescent="0.3">
      <c r="A976" s="2" t="s">
        <v>1989</v>
      </c>
      <c r="B976" s="2" t="s">
        <v>1990</v>
      </c>
      <c r="C976" s="2" t="s">
        <v>49</v>
      </c>
      <c r="D976" s="2">
        <v>43</v>
      </c>
      <c r="E976" s="2" t="str">
        <f>_xlfn.IFS(Table1[[#This Row],[Age]]&lt;30, "18-29", D976&lt;=45,"30-45", D976&lt;=55, "46-55", TRUE, "55+")</f>
        <v>30-45</v>
      </c>
      <c r="F976" s="2" t="s">
        <v>156</v>
      </c>
      <c r="G976" s="2" t="s">
        <v>45</v>
      </c>
      <c r="H976" s="2" t="s">
        <v>4</v>
      </c>
      <c r="I976" s="5">
        <v>2</v>
      </c>
      <c r="J976" s="5" t="str">
        <f>_xlfn.IFS(Table1[[#This Row],[Experience(Years)]]&lt;5, "Junior", I976&lt;=12, "Mid-Level", I976&lt;=20, "Senior", I976&lt;=30, "Super Senior", TRUE, "Expert")</f>
        <v>Junior</v>
      </c>
      <c r="K976" s="7">
        <v>30</v>
      </c>
      <c r="L976" s="7">
        <f>Table1[[#This Row],[Hourly Rate]]*1000</f>
        <v>30000</v>
      </c>
      <c r="M976" s="7" t="str">
        <f t="shared" si="15"/>
        <v>Budget</v>
      </c>
      <c r="N976" s="2">
        <f>IF(ISNUMBER(#REF!),#REF!, _xlfn.IFS( I976&gt;=30, 5, I976&gt;=25, 4.8, I976&gt;=15, 4, I976&gt;=10, 3.8, I976&gt;=5, 3, I976&gt;=2, 2.5, I976&gt;=0, 1.8, TRUE, 1.3))</f>
        <v>2.5</v>
      </c>
      <c r="O976" s="2" t="s">
        <v>2052</v>
      </c>
      <c r="P976" s="10">
        <v>0.61</v>
      </c>
      <c r="Q976" s="10" t="str">
        <f>_xlfn.IFS(Table1[[#This Row],[Rating]]&gt;=4, "Top Performer", Table1[[#This Row],[Rating]]&gt;=3, "Average", TRUE, "Needs Imporovement")</f>
        <v>Needs Imporovement</v>
      </c>
    </row>
    <row r="977" spans="1:17" x14ac:dyDescent="0.3">
      <c r="A977" s="2" t="s">
        <v>1991</v>
      </c>
      <c r="B977" s="2" t="s">
        <v>1992</v>
      </c>
      <c r="C977" s="2" t="s">
        <v>68</v>
      </c>
      <c r="D977" s="2">
        <v>53</v>
      </c>
      <c r="E977" s="2" t="str">
        <f>_xlfn.IFS(Table1[[#This Row],[Age]]&lt;30, "18-29", D977&lt;=45,"30-45", D977&lt;=55, "46-55", TRUE, "55+")</f>
        <v>46-55</v>
      </c>
      <c r="F977" s="2" t="s">
        <v>81</v>
      </c>
      <c r="G977" s="2" t="s">
        <v>82</v>
      </c>
      <c r="H977" s="2" t="s">
        <v>83</v>
      </c>
      <c r="I977" s="5">
        <v>27</v>
      </c>
      <c r="J977" s="5" t="str">
        <f>_xlfn.IFS(Table1[[#This Row],[Experience(Years)]]&lt;5, "Junior", I977&lt;=12, "Mid-Level", I977&lt;=20, "Senior", I977&lt;=30, "Super Senior", TRUE, "Expert")</f>
        <v>Super Senior</v>
      </c>
      <c r="K977" s="7">
        <v>100</v>
      </c>
      <c r="L977" s="7">
        <f>Table1[[#This Row],[Hourly Rate]]*1000</f>
        <v>100000</v>
      </c>
      <c r="M977" s="7" t="str">
        <f t="shared" si="15"/>
        <v>Premium</v>
      </c>
      <c r="N977" s="2">
        <f>IF(ISNUMBER(#REF!),#REF!, _xlfn.IFS( I977&gt;=30, 5, I977&gt;=25, 4.8, I977&gt;=15, 4, I977&gt;=10, 3.8, I977&gt;=5, 3, I977&gt;=2, 2.5, I977&gt;=0, 1.8, TRUE, 1.3))</f>
        <v>4.8</v>
      </c>
      <c r="O977" s="2" t="s">
        <v>2052</v>
      </c>
      <c r="P977" s="10">
        <v>0.73</v>
      </c>
      <c r="Q977" s="10" t="str">
        <f>_xlfn.IFS(Table1[[#This Row],[Rating]]&gt;=4, "Top Performer", Table1[[#This Row],[Rating]]&gt;=3, "Average", TRUE, "Needs Imporovement")</f>
        <v>Top Performer</v>
      </c>
    </row>
    <row r="978" spans="1:17" x14ac:dyDescent="0.3">
      <c r="A978" s="2" t="s">
        <v>1993</v>
      </c>
      <c r="B978" s="2" t="s">
        <v>1994</v>
      </c>
      <c r="C978" s="2" t="s">
        <v>49</v>
      </c>
      <c r="D978" s="2">
        <v>38</v>
      </c>
      <c r="E978" s="2" t="str">
        <f>_xlfn.IFS(Table1[[#This Row],[Age]]&lt;30, "18-29", D978&lt;=45,"30-45", D978&lt;=55, "46-55", TRUE, "55+")</f>
        <v>30-45</v>
      </c>
      <c r="F978" s="2" t="s">
        <v>92</v>
      </c>
      <c r="G978" s="2" t="s">
        <v>93</v>
      </c>
      <c r="H978" s="2" t="s">
        <v>61</v>
      </c>
      <c r="I978" s="5">
        <v>7</v>
      </c>
      <c r="J978" s="5" t="str">
        <f>_xlfn.IFS(Table1[[#This Row],[Experience(Years)]]&lt;5, "Junior", I978&lt;=12, "Mid-Level", I978&lt;=20, "Senior", I978&lt;=30, "Super Senior", TRUE, "Expert")</f>
        <v>Mid-Level</v>
      </c>
      <c r="K978" s="7">
        <v>75</v>
      </c>
      <c r="L978" s="7">
        <f>Table1[[#This Row],[Hourly Rate]]*1000</f>
        <v>75000</v>
      </c>
      <c r="M978" s="7" t="str">
        <f t="shared" si="15"/>
        <v>Standard</v>
      </c>
      <c r="N978" s="2">
        <f>IF(ISNUMBER(#REF!),#REF!, _xlfn.IFS( I978&gt;=30, 5, I978&gt;=25, 4.8, I978&gt;=15, 4, I978&gt;=10, 3.8, I978&gt;=5, 3, I978&gt;=2, 2.5, I978&gt;=0, 1.8, TRUE, 1.3))</f>
        <v>3</v>
      </c>
      <c r="O978" s="2" t="s">
        <v>2052</v>
      </c>
      <c r="P978" s="10">
        <v>0.6</v>
      </c>
      <c r="Q978" s="10" t="str">
        <f>_xlfn.IFS(Table1[[#This Row],[Rating]]&gt;=4, "Top Performer", Table1[[#This Row],[Rating]]&gt;=3, "Average", TRUE, "Needs Imporovement")</f>
        <v>Average</v>
      </c>
    </row>
    <row r="979" spans="1:17" x14ac:dyDescent="0.3">
      <c r="A979" s="2" t="s">
        <v>1995</v>
      </c>
      <c r="B979" s="2" t="s">
        <v>1996</v>
      </c>
      <c r="C979" s="2" t="s">
        <v>68</v>
      </c>
      <c r="D979" s="2">
        <v>57</v>
      </c>
      <c r="E979" s="2" t="str">
        <f>_xlfn.IFS(Table1[[#This Row],[Age]]&lt;30, "18-29", D979&lt;=45,"30-45", D979&lt;=55, "46-55", TRUE, "55+")</f>
        <v>55+</v>
      </c>
      <c r="F979" s="2" t="s">
        <v>41</v>
      </c>
      <c r="G979" s="2" t="s">
        <v>8</v>
      </c>
      <c r="H979" s="2" t="s">
        <v>50</v>
      </c>
      <c r="I979" s="5">
        <v>29</v>
      </c>
      <c r="J979" s="5" t="str">
        <f>_xlfn.IFS(Table1[[#This Row],[Experience(Years)]]&lt;5, "Junior", I979&lt;=12, "Mid-Level", I979&lt;=20, "Senior", I979&lt;=30, "Super Senior", TRUE, "Expert")</f>
        <v>Super Senior</v>
      </c>
      <c r="K979" s="7">
        <v>75</v>
      </c>
      <c r="L979" s="7">
        <f>Table1[[#This Row],[Hourly Rate]]*1000</f>
        <v>75000</v>
      </c>
      <c r="M979" s="7" t="str">
        <f t="shared" si="15"/>
        <v>Standard</v>
      </c>
      <c r="N979" s="2">
        <f>IF(ISNUMBER(#REF!),#REF!, _xlfn.IFS( I979&gt;=30, 5, I979&gt;=25, 4.8, I979&gt;=15, 4, I979&gt;=10, 3.8, I979&gt;=5, 3, I979&gt;=2, 2.5, I979&gt;=0, 1.8, TRUE, 1.3))</f>
        <v>4.8</v>
      </c>
      <c r="O979" s="2" t="s">
        <v>2052</v>
      </c>
      <c r="P979" s="10">
        <v>0.9</v>
      </c>
      <c r="Q979" s="10" t="str">
        <f>_xlfn.IFS(Table1[[#This Row],[Rating]]&gt;=4, "Top Performer", Table1[[#This Row],[Rating]]&gt;=3, "Average", TRUE, "Needs Imporovement")</f>
        <v>Top Performer</v>
      </c>
    </row>
    <row r="980" spans="1:17" x14ac:dyDescent="0.3">
      <c r="A980" s="2" t="s">
        <v>1997</v>
      </c>
      <c r="B980" s="2" t="s">
        <v>1998</v>
      </c>
      <c r="C980" s="2" t="s">
        <v>68</v>
      </c>
      <c r="D980" s="2">
        <v>27</v>
      </c>
      <c r="E980" s="2" t="str">
        <f>_xlfn.IFS(Table1[[#This Row],[Age]]&lt;30, "18-29", D980&lt;=45,"30-45", D980&lt;=55, "46-55", TRUE, "55+")</f>
        <v>18-29</v>
      </c>
      <c r="F980" s="2" t="s">
        <v>141</v>
      </c>
      <c r="G980" s="2" t="s">
        <v>142</v>
      </c>
      <c r="H980" s="2" t="s">
        <v>4</v>
      </c>
      <c r="I980" s="5">
        <v>5</v>
      </c>
      <c r="J980" s="5" t="str">
        <f>_xlfn.IFS(Table1[[#This Row],[Experience(Years)]]&lt;5, "Junior", I980&lt;=12, "Mid-Level", I980&lt;=20, "Senior", I980&lt;=30, "Super Senior", TRUE, "Expert")</f>
        <v>Mid-Level</v>
      </c>
      <c r="K980" s="7">
        <v>75</v>
      </c>
      <c r="L980" s="7">
        <f>Table1[[#This Row],[Hourly Rate]]*1000</f>
        <v>75000</v>
      </c>
      <c r="M980" s="7" t="str">
        <f t="shared" si="15"/>
        <v>Standard</v>
      </c>
      <c r="N980" s="2">
        <f>IF(ISNUMBER(#REF!),#REF!, _xlfn.IFS( I980&gt;=30, 5, I980&gt;=25, 4.8, I980&gt;=15, 4, I980&gt;=10, 3.8, I980&gt;=5, 3, I980&gt;=2, 2.5, I980&gt;=0, 1.8, TRUE, 1.3))</f>
        <v>3</v>
      </c>
      <c r="O980" s="2" t="s">
        <v>2053</v>
      </c>
      <c r="P980" s="10">
        <v>0.64</v>
      </c>
      <c r="Q980" s="10" t="str">
        <f>_xlfn.IFS(Table1[[#This Row],[Rating]]&gt;=4, "Top Performer", Table1[[#This Row],[Rating]]&gt;=3, "Average", TRUE, "Needs Imporovement")</f>
        <v>Average</v>
      </c>
    </row>
    <row r="981" spans="1:17" x14ac:dyDescent="0.3">
      <c r="A981" s="2" t="s">
        <v>1999</v>
      </c>
      <c r="B981" s="2" t="s">
        <v>2000</v>
      </c>
      <c r="C981" s="2" t="s">
        <v>68</v>
      </c>
      <c r="D981" s="2">
        <v>43</v>
      </c>
      <c r="E981" s="2" t="str">
        <f>_xlfn.IFS(Table1[[#This Row],[Age]]&lt;30, "18-29", D981&lt;=45,"30-45", D981&lt;=55, "46-55", TRUE, "55+")</f>
        <v>30-45</v>
      </c>
      <c r="F981" s="2" t="s">
        <v>44</v>
      </c>
      <c r="G981" s="2" t="s">
        <v>45</v>
      </c>
      <c r="H981" s="2" t="s">
        <v>17</v>
      </c>
      <c r="I981" s="5">
        <v>2</v>
      </c>
      <c r="J981" s="5" t="str">
        <f>_xlfn.IFS(Table1[[#This Row],[Experience(Years)]]&lt;5, "Junior", I981&lt;=12, "Mid-Level", I981&lt;=20, "Senior", I981&lt;=30, "Super Senior", TRUE, "Expert")</f>
        <v>Junior</v>
      </c>
      <c r="K981" s="7">
        <v>100</v>
      </c>
      <c r="L981" s="7">
        <f>Table1[[#This Row],[Hourly Rate]]*1000</f>
        <v>100000</v>
      </c>
      <c r="M981" s="7" t="str">
        <f t="shared" si="15"/>
        <v>Premium</v>
      </c>
      <c r="N981" s="2">
        <f>IF(ISNUMBER(#REF!),#REF!, _xlfn.IFS( I981&gt;=30, 5, I981&gt;=25, 4.8, I981&gt;=15, 4, I981&gt;=10, 3.8, I981&gt;=5, 3, I981&gt;=2, 2.5, I981&gt;=0, 1.8, TRUE, 1.3))</f>
        <v>2.5</v>
      </c>
      <c r="O981" s="2" t="s">
        <v>2053</v>
      </c>
      <c r="P981" s="10">
        <v>0.63</v>
      </c>
      <c r="Q981" s="10" t="str">
        <f>_xlfn.IFS(Table1[[#This Row],[Rating]]&gt;=4, "Top Performer", Table1[[#This Row],[Rating]]&gt;=3, "Average", TRUE, "Needs Imporovement")</f>
        <v>Needs Imporovement</v>
      </c>
    </row>
    <row r="982" spans="1:17" x14ac:dyDescent="0.3">
      <c r="A982" s="2" t="s">
        <v>2001</v>
      </c>
      <c r="B982" s="2" t="s">
        <v>2002</v>
      </c>
      <c r="C982" s="2" t="s">
        <v>68</v>
      </c>
      <c r="D982" s="2">
        <v>48</v>
      </c>
      <c r="E982" s="2" t="str">
        <f>_xlfn.IFS(Table1[[#This Row],[Age]]&lt;30, "18-29", D982&lt;=45,"30-45", D982&lt;=55, "46-55", TRUE, "55+")</f>
        <v>46-55</v>
      </c>
      <c r="F982" s="2" t="s">
        <v>96</v>
      </c>
      <c r="G982" s="2" t="s">
        <v>8</v>
      </c>
      <c r="H982" s="2" t="s">
        <v>29</v>
      </c>
      <c r="I982" s="5">
        <v>18</v>
      </c>
      <c r="J982" s="5" t="str">
        <f>_xlfn.IFS(Table1[[#This Row],[Experience(Years)]]&lt;5, "Junior", I982&lt;=12, "Mid-Level", I982&lt;=20, "Senior", I982&lt;=30, "Super Senior", TRUE, "Expert")</f>
        <v>Senior</v>
      </c>
      <c r="K982" s="7">
        <v>40</v>
      </c>
      <c r="L982" s="7">
        <f>Table1[[#This Row],[Hourly Rate]]*1000</f>
        <v>40000</v>
      </c>
      <c r="M982" s="7" t="str">
        <f t="shared" si="15"/>
        <v>Standard</v>
      </c>
      <c r="N982" s="2">
        <f>IF(ISNUMBER(#REF!),#REF!, _xlfn.IFS( I982&gt;=30, 5, I982&gt;=25, 4.8, I982&gt;=15, 4, I982&gt;=10, 3.8, I982&gt;=5, 3, I982&gt;=2, 2.5, I982&gt;=0, 1.8, TRUE, 1.3))</f>
        <v>4</v>
      </c>
      <c r="O982" s="2" t="str">
        <f>IF(AND( Table1[[#This Row],[Rating]]&gt;=3.5, Table1[[#This Row],[Experience(Years)]]&gt;=15), "Active", "Inactive")</f>
        <v>Active</v>
      </c>
      <c r="P982" s="10">
        <v>0.85</v>
      </c>
      <c r="Q982" s="10" t="str">
        <f>_xlfn.IFS(Table1[[#This Row],[Rating]]&gt;=4, "Top Performer", Table1[[#This Row],[Rating]]&gt;=3, "Average", TRUE, "Needs Imporovement")</f>
        <v>Top Performer</v>
      </c>
    </row>
    <row r="983" spans="1:17" x14ac:dyDescent="0.3">
      <c r="A983" s="2" t="s">
        <v>2003</v>
      </c>
      <c r="B983" s="2" t="s">
        <v>2004</v>
      </c>
      <c r="C983" s="2" t="s">
        <v>68</v>
      </c>
      <c r="D983" s="2">
        <v>26</v>
      </c>
      <c r="E983" s="2" t="str">
        <f>_xlfn.IFS(Table1[[#This Row],[Age]]&lt;30, "18-29", D983&lt;=45,"30-45", D983&lt;=55, "46-55", TRUE, "55+")</f>
        <v>18-29</v>
      </c>
      <c r="F983" s="2" t="s">
        <v>77</v>
      </c>
      <c r="G983" s="2" t="s">
        <v>78</v>
      </c>
      <c r="H983" s="2" t="s">
        <v>50</v>
      </c>
      <c r="I983" s="5">
        <v>8</v>
      </c>
      <c r="J983" s="5" t="str">
        <f>_xlfn.IFS(Table1[[#This Row],[Experience(Years)]]&lt;5, "Junior", I983&lt;=12, "Mid-Level", I983&lt;=20, "Senior", I983&lt;=30, "Super Senior", TRUE, "Expert")</f>
        <v>Mid-Level</v>
      </c>
      <c r="K983" s="7">
        <v>20</v>
      </c>
      <c r="L983" s="7">
        <f>Table1[[#This Row],[Hourly Rate]]*1000</f>
        <v>20000</v>
      </c>
      <c r="M983" s="7" t="str">
        <f t="shared" si="15"/>
        <v>Budget</v>
      </c>
      <c r="N983" s="2">
        <f>IF(ISNUMBER(#REF!),#REF!, _xlfn.IFS( I983&gt;=30, 5, I983&gt;=25, 4.8, I983&gt;=15, 4, I983&gt;=10, 3.8, I983&gt;=5, 3, I983&gt;=2, 2.5, I983&gt;=0, 1.8, TRUE, 1.3))</f>
        <v>3</v>
      </c>
      <c r="O983" s="2" t="s">
        <v>2052</v>
      </c>
      <c r="P983" s="10">
        <v>0.67</v>
      </c>
      <c r="Q983" s="10" t="str">
        <f>_xlfn.IFS(Table1[[#This Row],[Rating]]&gt;=4, "Top Performer", Table1[[#This Row],[Rating]]&gt;=3, "Average", TRUE, "Needs Imporovement")</f>
        <v>Average</v>
      </c>
    </row>
    <row r="984" spans="1:17" x14ac:dyDescent="0.3">
      <c r="A984" s="2" t="s">
        <v>2005</v>
      </c>
      <c r="B984" s="2" t="s">
        <v>2006</v>
      </c>
      <c r="C984" s="2" t="s">
        <v>49</v>
      </c>
      <c r="D984" s="2">
        <v>22</v>
      </c>
      <c r="E984" s="2" t="str">
        <f>_xlfn.IFS(Table1[[#This Row],[Age]]&lt;30, "18-29", D984&lt;=45,"30-45", D984&lt;=55, "46-55", TRUE, "55+")</f>
        <v>18-29</v>
      </c>
      <c r="F984" s="2" t="s">
        <v>121</v>
      </c>
      <c r="G984" s="2" t="s">
        <v>122</v>
      </c>
      <c r="H984" s="2" t="s">
        <v>14</v>
      </c>
      <c r="I984" s="5">
        <v>0</v>
      </c>
      <c r="J984" s="5" t="str">
        <f>_xlfn.IFS(Table1[[#This Row],[Experience(Years)]]&lt;5, "Junior", I984&lt;=12, "Mid-Level", I984&lt;=20, "Senior", I984&lt;=30, "Super Senior", TRUE, "Expert")</f>
        <v>Junior</v>
      </c>
      <c r="K984" s="7">
        <v>40</v>
      </c>
      <c r="L984" s="7">
        <f>Table1[[#This Row],[Hourly Rate]]*1000</f>
        <v>40000</v>
      </c>
      <c r="M984" s="7" t="str">
        <f t="shared" si="15"/>
        <v>Standard</v>
      </c>
      <c r="N984" s="2">
        <f>IF(ISNUMBER(#REF!),#REF!, _xlfn.IFS( I984&gt;=30, 5, I984&gt;=25, 4.8, I984&gt;=15, 4, I984&gt;=10, 3.8, I984&gt;=5, 3, I984&gt;=2, 2.5, I984&gt;=0, 1.8, TRUE, 1.3))</f>
        <v>1.8</v>
      </c>
      <c r="O984" s="2" t="s">
        <v>2052</v>
      </c>
      <c r="P984" s="10">
        <v>0.97</v>
      </c>
      <c r="Q984" s="10" t="str">
        <f>_xlfn.IFS(Table1[[#This Row],[Rating]]&gt;=4, "Top Performer", Table1[[#This Row],[Rating]]&gt;=3, "Average", TRUE, "Needs Imporovement")</f>
        <v>Needs Imporovement</v>
      </c>
    </row>
    <row r="985" spans="1:17" x14ac:dyDescent="0.3">
      <c r="A985" s="2" t="s">
        <v>2007</v>
      </c>
      <c r="B985" s="2" t="s">
        <v>2008</v>
      </c>
      <c r="C985" s="2" t="s">
        <v>49</v>
      </c>
      <c r="D985" s="2">
        <v>50</v>
      </c>
      <c r="E985" s="2" t="str">
        <f>_xlfn.IFS(Table1[[#This Row],[Age]]&lt;30, "18-29", D985&lt;=45,"30-45", D985&lt;=55, "46-55", TRUE, "55+")</f>
        <v>46-55</v>
      </c>
      <c r="F985" s="2" t="s">
        <v>2</v>
      </c>
      <c r="G985" s="2" t="s">
        <v>3</v>
      </c>
      <c r="H985" s="2" t="s">
        <v>29</v>
      </c>
      <c r="I985" s="5">
        <v>16</v>
      </c>
      <c r="J985" s="5" t="str">
        <f>_xlfn.IFS(Table1[[#This Row],[Experience(Years)]]&lt;5, "Junior", I985&lt;=12, "Mid-Level", I985&lt;=20, "Senior", I985&lt;=30, "Super Senior", TRUE, "Expert")</f>
        <v>Senior</v>
      </c>
      <c r="K985" s="7">
        <v>75</v>
      </c>
      <c r="L985" s="7">
        <f>Table1[[#This Row],[Hourly Rate]]*1000</f>
        <v>75000</v>
      </c>
      <c r="M985" s="7" t="str">
        <f t="shared" si="15"/>
        <v>Standard</v>
      </c>
      <c r="N985" s="2">
        <f>IF(ISNUMBER(#REF!),#REF!, _xlfn.IFS( I985&gt;=30, 5, I985&gt;=25, 4.8, I985&gt;=15, 4, I985&gt;=10, 3.8, I985&gt;=5, 3, I985&gt;=2, 2.5, I985&gt;=0, 1.8, TRUE, 1.3))</f>
        <v>4</v>
      </c>
      <c r="O985" s="2" t="s">
        <v>2052</v>
      </c>
      <c r="P985" s="10">
        <v>0.69</v>
      </c>
      <c r="Q985" s="10" t="str">
        <f>_xlfn.IFS(Table1[[#This Row],[Rating]]&gt;=4, "Top Performer", Table1[[#This Row],[Rating]]&gt;=3, "Average", TRUE, "Needs Imporovement")</f>
        <v>Top Performer</v>
      </c>
    </row>
    <row r="986" spans="1:17" x14ac:dyDescent="0.3">
      <c r="A986" s="2" t="s">
        <v>2009</v>
      </c>
      <c r="B986" s="2" t="s">
        <v>2010</v>
      </c>
      <c r="C986" s="2" t="s">
        <v>68</v>
      </c>
      <c r="D986" s="2">
        <v>48</v>
      </c>
      <c r="E986" s="2" t="str">
        <f>_xlfn.IFS(Table1[[#This Row],[Age]]&lt;30, "18-29", D986&lt;=45,"30-45", D986&lt;=55, "46-55", TRUE, "55+")</f>
        <v>46-55</v>
      </c>
      <c r="F986" s="2" t="s">
        <v>121</v>
      </c>
      <c r="G986" s="2" t="s">
        <v>122</v>
      </c>
      <c r="H986" s="2" t="s">
        <v>17</v>
      </c>
      <c r="I986" s="5">
        <v>8</v>
      </c>
      <c r="J986" s="5" t="str">
        <f>_xlfn.IFS(Table1[[#This Row],[Experience(Years)]]&lt;5, "Junior", I986&lt;=12, "Mid-Level", I986&lt;=20, "Senior", I986&lt;=30, "Super Senior", TRUE, "Expert")</f>
        <v>Mid-Level</v>
      </c>
      <c r="K986" s="7">
        <v>50</v>
      </c>
      <c r="L986" s="7">
        <f>Table1[[#This Row],[Hourly Rate]]*1000</f>
        <v>50000</v>
      </c>
      <c r="M986" s="7" t="str">
        <f t="shared" si="15"/>
        <v>Standard</v>
      </c>
      <c r="N986" s="2">
        <f>IF(ISNUMBER(#REF!),#REF!, _xlfn.IFS( I986&gt;=30, 5, I986&gt;=25, 4.8, I986&gt;=15, 4, I986&gt;=10, 3.8, I986&gt;=5, 3, I986&gt;=2, 2.5, I986&gt;=0, 1.8, TRUE, 1.3))</f>
        <v>3</v>
      </c>
      <c r="O986" s="2" t="s">
        <v>2053</v>
      </c>
      <c r="P986" s="10">
        <v>0.73</v>
      </c>
      <c r="Q986" s="10" t="str">
        <f>_xlfn.IFS(Table1[[#This Row],[Rating]]&gt;=4, "Top Performer", Table1[[#This Row],[Rating]]&gt;=3, "Average", TRUE, "Needs Imporovement")</f>
        <v>Average</v>
      </c>
    </row>
    <row r="987" spans="1:17" x14ac:dyDescent="0.3">
      <c r="A987" s="2" t="s">
        <v>2011</v>
      </c>
      <c r="B987" s="2" t="s">
        <v>2012</v>
      </c>
      <c r="C987" s="2" t="s">
        <v>68</v>
      </c>
      <c r="D987" s="2">
        <v>60</v>
      </c>
      <c r="E987" s="2" t="str">
        <f>_xlfn.IFS(Table1[[#This Row],[Age]]&lt;30, "18-29", D987&lt;=45,"30-45", D987&lt;=55, "46-55", TRUE, "55+")</f>
        <v>55+</v>
      </c>
      <c r="F987" s="2" t="s">
        <v>156</v>
      </c>
      <c r="G987" s="2" t="s">
        <v>45</v>
      </c>
      <c r="H987" s="2" t="s">
        <v>4</v>
      </c>
      <c r="I987" s="5">
        <v>39</v>
      </c>
      <c r="J987" s="5" t="str">
        <f>_xlfn.IFS(Table1[[#This Row],[Experience(Years)]]&lt;5, "Junior", I987&lt;=12, "Mid-Level", I987&lt;=20, "Senior", I987&lt;=30, "Super Senior", TRUE, "Expert")</f>
        <v>Expert</v>
      </c>
      <c r="K987" s="7">
        <v>20</v>
      </c>
      <c r="L987" s="7">
        <f>Table1[[#This Row],[Hourly Rate]]*1000</f>
        <v>20000</v>
      </c>
      <c r="M987" s="7" t="str">
        <f t="shared" si="15"/>
        <v>Budget</v>
      </c>
      <c r="N987" s="2">
        <f>IF(ISNUMBER(#REF!),#REF!, _xlfn.IFS( I987&gt;=30, 5, I987&gt;=25, 4.8, I987&gt;=15, 4, I987&gt;=10, 3.8, I987&gt;=5, 3, I987&gt;=2, 2.5, I987&gt;=0, 1.8, TRUE, 1.3))</f>
        <v>5</v>
      </c>
      <c r="O987" s="2" t="s">
        <v>2053</v>
      </c>
      <c r="P987" s="10">
        <v>0.86</v>
      </c>
      <c r="Q987" s="10" t="str">
        <f>_xlfn.IFS(Table1[[#This Row],[Rating]]&gt;=4, "Top Performer", Table1[[#This Row],[Rating]]&gt;=3, "Average", TRUE, "Needs Imporovement")</f>
        <v>Top Performer</v>
      </c>
    </row>
    <row r="988" spans="1:17" x14ac:dyDescent="0.3">
      <c r="A988" s="2" t="s">
        <v>2013</v>
      </c>
      <c r="B988" s="2" t="s">
        <v>2014</v>
      </c>
      <c r="C988" s="2" t="s">
        <v>68</v>
      </c>
      <c r="D988" s="2">
        <v>26</v>
      </c>
      <c r="E988" s="2" t="str">
        <f>_xlfn.IFS(Table1[[#This Row],[Age]]&lt;30, "18-29", D988&lt;=45,"30-45", D988&lt;=55, "46-55", TRUE, "55+")</f>
        <v>18-29</v>
      </c>
      <c r="F988" s="2" t="s">
        <v>107</v>
      </c>
      <c r="G988" s="2" t="s">
        <v>108</v>
      </c>
      <c r="H988" s="2" t="s">
        <v>83</v>
      </c>
      <c r="I988" s="5">
        <v>3</v>
      </c>
      <c r="J988" s="5" t="str">
        <f>_xlfn.IFS(Table1[[#This Row],[Experience(Years)]]&lt;5, "Junior", I988&lt;=12, "Mid-Level", I988&lt;=20, "Senior", I988&lt;=30, "Super Senior", TRUE, "Expert")</f>
        <v>Junior</v>
      </c>
      <c r="K988" s="7">
        <v>50</v>
      </c>
      <c r="L988" s="7">
        <f>Table1[[#This Row],[Hourly Rate]]*1000</f>
        <v>50000</v>
      </c>
      <c r="M988" s="7" t="str">
        <f t="shared" si="15"/>
        <v>Standard</v>
      </c>
      <c r="N988" s="2">
        <f>IF(ISNUMBER(#REF!),#REF!, _xlfn.IFS( I988&gt;=30, 5, I988&gt;=25, 4.8, I988&gt;=15, 4, I988&gt;=10, 3.8, I988&gt;=5, 3, I988&gt;=2, 2.5, I988&gt;=0, 1.8, TRUE, 1.3))</f>
        <v>2.5</v>
      </c>
      <c r="O988" s="2" t="s">
        <v>2053</v>
      </c>
      <c r="P988" s="10">
        <v>0.81</v>
      </c>
      <c r="Q988" s="10" t="str">
        <f>_xlfn.IFS(Table1[[#This Row],[Rating]]&gt;=4, "Top Performer", Table1[[#This Row],[Rating]]&gt;=3, "Average", TRUE, "Needs Imporovement")</f>
        <v>Needs Imporovement</v>
      </c>
    </row>
    <row r="989" spans="1:17" x14ac:dyDescent="0.3">
      <c r="A989" s="2" t="s">
        <v>2015</v>
      </c>
      <c r="B989" s="2" t="s">
        <v>2016</v>
      </c>
      <c r="C989" s="2" t="s">
        <v>49</v>
      </c>
      <c r="D989" s="2">
        <v>35</v>
      </c>
      <c r="E989" s="2" t="str">
        <f>_xlfn.IFS(Table1[[#This Row],[Age]]&lt;30, "18-29", D989&lt;=45,"30-45", D989&lt;=55, "46-55", TRUE, "55+")</f>
        <v>30-45</v>
      </c>
      <c r="F989" s="2" t="s">
        <v>81</v>
      </c>
      <c r="G989" s="2" t="s">
        <v>82</v>
      </c>
      <c r="H989" s="2" t="s">
        <v>14</v>
      </c>
      <c r="I989" s="5">
        <v>16</v>
      </c>
      <c r="J989" s="5" t="str">
        <f>_xlfn.IFS(Table1[[#This Row],[Experience(Years)]]&lt;5, "Junior", I989&lt;=12, "Mid-Level", I989&lt;=20, "Senior", I989&lt;=30, "Super Senior", TRUE, "Expert")</f>
        <v>Senior</v>
      </c>
      <c r="K989" s="7">
        <v>100</v>
      </c>
      <c r="L989" s="7">
        <f>Table1[[#This Row],[Hourly Rate]]*1000</f>
        <v>100000</v>
      </c>
      <c r="M989" s="7" t="str">
        <f t="shared" si="15"/>
        <v>Premium</v>
      </c>
      <c r="N989" s="2">
        <f>IF(ISNUMBER(#REF!),#REF!, _xlfn.IFS( I989&gt;=30, 5, I989&gt;=25, 4.8, I989&gt;=15, 4, I989&gt;=10, 3.8, I989&gt;=5, 3, I989&gt;=2, 2.5, I989&gt;=0, 1.8, TRUE, 1.3))</f>
        <v>4</v>
      </c>
      <c r="O989" s="2" t="s">
        <v>2053</v>
      </c>
      <c r="P989" s="10">
        <v>0.74</v>
      </c>
      <c r="Q989" s="10" t="str">
        <f>_xlfn.IFS(Table1[[#This Row],[Rating]]&gt;=4, "Top Performer", Table1[[#This Row],[Rating]]&gt;=3, "Average", TRUE, "Needs Imporovement")</f>
        <v>Top Performer</v>
      </c>
    </row>
    <row r="990" spans="1:17" x14ac:dyDescent="0.3">
      <c r="A990" s="2" t="s">
        <v>2017</v>
      </c>
      <c r="B990" s="2" t="s">
        <v>2018</v>
      </c>
      <c r="C990" s="2" t="s">
        <v>68</v>
      </c>
      <c r="D990" s="2">
        <v>23</v>
      </c>
      <c r="E990" s="2" t="str">
        <f>_xlfn.IFS(Table1[[#This Row],[Age]]&lt;30, "18-29", D990&lt;=45,"30-45", D990&lt;=55, "46-55", TRUE, "55+")</f>
        <v>18-29</v>
      </c>
      <c r="F990" s="2" t="s">
        <v>34</v>
      </c>
      <c r="G990" s="2" t="s">
        <v>8</v>
      </c>
      <c r="H990" s="2" t="s">
        <v>4</v>
      </c>
      <c r="I990" s="5">
        <v>4</v>
      </c>
      <c r="J990" s="5" t="str">
        <f>_xlfn.IFS(Table1[[#This Row],[Experience(Years)]]&lt;5, "Junior", I990&lt;=12, "Mid-Level", I990&lt;=20, "Senior", I990&lt;=30, "Super Senior", TRUE, "Expert")</f>
        <v>Junior</v>
      </c>
      <c r="K990" s="7">
        <v>100</v>
      </c>
      <c r="L990" s="7">
        <f>Table1[[#This Row],[Hourly Rate]]*1000</f>
        <v>100000</v>
      </c>
      <c r="M990" s="7" t="str">
        <f t="shared" si="15"/>
        <v>Premium</v>
      </c>
      <c r="N990" s="2">
        <f>IF(ISNUMBER(#REF!),#REF!, _xlfn.IFS( I990&gt;=30, 5, I990&gt;=25, 4.8, I990&gt;=15, 4, I990&gt;=10, 3.8, I990&gt;=5, 3, I990&gt;=2, 2.5, I990&gt;=0, 1.8, TRUE, 1.3))</f>
        <v>2.5</v>
      </c>
      <c r="O990" s="2" t="s">
        <v>2053</v>
      </c>
      <c r="P990" s="10">
        <v>0.64</v>
      </c>
      <c r="Q990" s="10" t="str">
        <f>_xlfn.IFS(Table1[[#This Row],[Rating]]&gt;=4, "Top Performer", Table1[[#This Row],[Rating]]&gt;=3, "Average", TRUE, "Needs Imporovement")</f>
        <v>Needs Imporovement</v>
      </c>
    </row>
    <row r="991" spans="1:17" x14ac:dyDescent="0.3">
      <c r="A991" s="2" t="s">
        <v>2019</v>
      </c>
      <c r="B991" s="2" t="s">
        <v>2020</v>
      </c>
      <c r="C991" s="2" t="s">
        <v>68</v>
      </c>
      <c r="D991" s="2">
        <v>37</v>
      </c>
      <c r="E991" s="2" t="str">
        <f>_xlfn.IFS(Table1[[#This Row],[Age]]&lt;30, "18-29", D991&lt;=45,"30-45", D991&lt;=55, "46-55", TRUE, "55+")</f>
        <v>30-45</v>
      </c>
      <c r="F991" s="2" t="s">
        <v>7</v>
      </c>
      <c r="G991" s="2" t="s">
        <v>8</v>
      </c>
      <c r="H991" s="2" t="s">
        <v>14</v>
      </c>
      <c r="I991" s="5">
        <v>4</v>
      </c>
      <c r="J991" s="5" t="str">
        <f>_xlfn.IFS(Table1[[#This Row],[Experience(Years)]]&lt;5, "Junior", I991&lt;=12, "Mid-Level", I991&lt;=20, "Senior", I991&lt;=30, "Super Senior", TRUE, "Expert")</f>
        <v>Junior</v>
      </c>
      <c r="K991" s="7">
        <v>75</v>
      </c>
      <c r="L991" s="7">
        <f>Table1[[#This Row],[Hourly Rate]]*1000</f>
        <v>75000</v>
      </c>
      <c r="M991" s="7" t="str">
        <f t="shared" si="15"/>
        <v>Standard</v>
      </c>
      <c r="N991" s="2">
        <f>IF(ISNUMBER(#REF!),#REF!, _xlfn.IFS( I991&gt;=30, 5, I991&gt;=25, 4.8, I991&gt;=15, 4, I991&gt;=10, 3.8, I991&gt;=5, 3, I991&gt;=2, 2.5, I991&gt;=0, 1.8, TRUE, 1.3))</f>
        <v>2.5</v>
      </c>
      <c r="O991" s="2" t="s">
        <v>2052</v>
      </c>
      <c r="P991" s="10">
        <v>0.76</v>
      </c>
      <c r="Q991" s="10" t="str">
        <f>_xlfn.IFS(Table1[[#This Row],[Rating]]&gt;=4, "Top Performer", Table1[[#This Row],[Rating]]&gt;=3, "Average", TRUE, "Needs Imporovement")</f>
        <v>Needs Imporovement</v>
      </c>
    </row>
    <row r="992" spans="1:17" x14ac:dyDescent="0.3">
      <c r="A992" s="2" t="s">
        <v>2021</v>
      </c>
      <c r="B992" s="2" t="s">
        <v>2022</v>
      </c>
      <c r="C992" s="2" t="s">
        <v>49</v>
      </c>
      <c r="D992" s="2">
        <v>21</v>
      </c>
      <c r="E992" s="2" t="str">
        <f>_xlfn.IFS(Table1[[#This Row],[Age]]&lt;30, "18-29", D992&lt;=45,"30-45", D992&lt;=55, "46-55", TRUE, "55+")</f>
        <v>18-29</v>
      </c>
      <c r="F992" s="2" t="s">
        <v>44</v>
      </c>
      <c r="G992" s="2" t="s">
        <v>45</v>
      </c>
      <c r="H992" s="2" t="s">
        <v>24</v>
      </c>
      <c r="I992" s="5">
        <v>2</v>
      </c>
      <c r="J992" s="5" t="str">
        <f>_xlfn.IFS(Table1[[#This Row],[Experience(Years)]]&lt;5, "Junior", I992&lt;=12, "Mid-Level", I992&lt;=20, "Senior", I992&lt;=30, "Super Senior", TRUE, "Expert")</f>
        <v>Junior</v>
      </c>
      <c r="K992" s="7">
        <v>100</v>
      </c>
      <c r="L992" s="7">
        <f>Table1[[#This Row],[Hourly Rate]]*1000</f>
        <v>100000</v>
      </c>
      <c r="M992" s="7" t="str">
        <f t="shared" si="15"/>
        <v>Premium</v>
      </c>
      <c r="N992" s="2">
        <f>IF(ISNUMBER(#REF!),#REF!, _xlfn.IFS( I992&gt;=30, 5, I992&gt;=25, 4.8, I992&gt;=15, 4, I992&gt;=10, 3.8, I992&gt;=5, 3, I992&gt;=2, 2.5, I992&gt;=0, 1.8, TRUE, 1.3))</f>
        <v>2.5</v>
      </c>
      <c r="O992" s="2" t="s">
        <v>2053</v>
      </c>
      <c r="P992" s="10">
        <v>0.73</v>
      </c>
      <c r="Q992" s="10" t="str">
        <f>_xlfn.IFS(Table1[[#This Row],[Rating]]&gt;=4, "Top Performer", Table1[[#This Row],[Rating]]&gt;=3, "Average", TRUE, "Needs Imporovement")</f>
        <v>Needs Imporovement</v>
      </c>
    </row>
    <row r="993" spans="1:17" x14ac:dyDescent="0.3">
      <c r="A993" s="2" t="s">
        <v>2023</v>
      </c>
      <c r="B993" s="2" t="s">
        <v>2024</v>
      </c>
      <c r="C993" s="2" t="s">
        <v>49</v>
      </c>
      <c r="D993" s="2">
        <v>58</v>
      </c>
      <c r="E993" s="2" t="str">
        <f>_xlfn.IFS(Table1[[#This Row],[Age]]&lt;30, "18-29", D993&lt;=45,"30-45", D993&lt;=55, "46-55", TRUE, "55+")</f>
        <v>55+</v>
      </c>
      <c r="F993" s="2" t="s">
        <v>12</v>
      </c>
      <c r="G993" s="2" t="s">
        <v>13</v>
      </c>
      <c r="H993" s="2" t="s">
        <v>46</v>
      </c>
      <c r="I993" s="5">
        <v>37</v>
      </c>
      <c r="J993" s="5" t="str">
        <f>_xlfn.IFS(Table1[[#This Row],[Experience(Years)]]&lt;5, "Junior", I993&lt;=12, "Mid-Level", I993&lt;=20, "Senior", I993&lt;=30, "Super Senior", TRUE, "Expert")</f>
        <v>Expert</v>
      </c>
      <c r="K993" s="7">
        <v>50</v>
      </c>
      <c r="L993" s="7">
        <f>Table1[[#This Row],[Hourly Rate]]*1000</f>
        <v>50000</v>
      </c>
      <c r="M993" s="7" t="str">
        <f t="shared" si="15"/>
        <v>Standard</v>
      </c>
      <c r="N993" s="2">
        <f>IF(ISNUMBER(#REF!),#REF!, _xlfn.IFS( I993&gt;=30, 5, I993&gt;=25, 4.8, I993&gt;=15, 4, I993&gt;=10, 3.8, I993&gt;=5, 3, I993&gt;=2, 2.5, I993&gt;=0, 1.8, TRUE, 1.3))</f>
        <v>5</v>
      </c>
      <c r="O993" s="2" t="s">
        <v>2052</v>
      </c>
      <c r="P993" s="10">
        <v>0.69</v>
      </c>
      <c r="Q993" s="10" t="str">
        <f>_xlfn.IFS(Table1[[#This Row],[Rating]]&gt;=4, "Top Performer", Table1[[#This Row],[Rating]]&gt;=3, "Average", TRUE, "Needs Imporovement")</f>
        <v>Top Performer</v>
      </c>
    </row>
    <row r="994" spans="1:17" x14ac:dyDescent="0.3">
      <c r="A994" s="2" t="s">
        <v>2025</v>
      </c>
      <c r="B994" s="2" t="s">
        <v>2026</v>
      </c>
      <c r="C994" s="2" t="s">
        <v>49</v>
      </c>
      <c r="D994" s="2">
        <v>52</v>
      </c>
      <c r="E994" s="2" t="str">
        <f>_xlfn.IFS(Table1[[#This Row],[Age]]&lt;30, "18-29", D994&lt;=45,"30-45", D994&lt;=55, "46-55", TRUE, "55+")</f>
        <v>46-55</v>
      </c>
      <c r="F994" s="2" t="s">
        <v>27</v>
      </c>
      <c r="G994" s="2" t="s">
        <v>28</v>
      </c>
      <c r="H994" s="2" t="s">
        <v>9</v>
      </c>
      <c r="I994" s="5">
        <v>32</v>
      </c>
      <c r="J994" s="5" t="str">
        <f>_xlfn.IFS(Table1[[#This Row],[Experience(Years)]]&lt;5, "Junior", I994&lt;=12, "Mid-Level", I994&lt;=20, "Senior", I994&lt;=30, "Super Senior", TRUE, "Expert")</f>
        <v>Expert</v>
      </c>
      <c r="K994" s="7">
        <v>75</v>
      </c>
      <c r="L994" s="7">
        <f>Table1[[#This Row],[Hourly Rate]]*1000</f>
        <v>75000</v>
      </c>
      <c r="M994" s="7" t="str">
        <f t="shared" si="15"/>
        <v>Standard</v>
      </c>
      <c r="N994" s="2">
        <f>IF(ISNUMBER(#REF!),#REF!, _xlfn.IFS( I994&gt;=30, 5, I994&gt;=25, 4.8, I994&gt;=15, 4, I994&gt;=10, 3.8, I994&gt;=5, 3, I994&gt;=2, 2.5, I994&gt;=0, 1.8, TRUE, 1.3))</f>
        <v>5</v>
      </c>
      <c r="O994" s="2" t="s">
        <v>2052</v>
      </c>
      <c r="P994" s="10">
        <v>0.79</v>
      </c>
      <c r="Q994" s="10" t="str">
        <f>_xlfn.IFS(Table1[[#This Row],[Rating]]&gt;=4, "Top Performer", Table1[[#This Row],[Rating]]&gt;=3, "Average", TRUE, "Needs Imporovement")</f>
        <v>Top Performer</v>
      </c>
    </row>
    <row r="995" spans="1:17" x14ac:dyDescent="0.3">
      <c r="A995" s="2" t="s">
        <v>2027</v>
      </c>
      <c r="B995" s="2" t="s">
        <v>2028</v>
      </c>
      <c r="C995" s="2" t="s">
        <v>68</v>
      </c>
      <c r="D995" s="2">
        <v>46</v>
      </c>
      <c r="E995" s="2" t="str">
        <f>_xlfn.IFS(Table1[[#This Row],[Age]]&lt;30, "18-29", D995&lt;=45,"30-45", D995&lt;=55, "46-55", TRUE, "55+")</f>
        <v>46-55</v>
      </c>
      <c r="F995" s="2" t="s">
        <v>92</v>
      </c>
      <c r="G995" s="2" t="s">
        <v>93</v>
      </c>
      <c r="H995" s="2" t="s">
        <v>9</v>
      </c>
      <c r="I995" s="5">
        <v>8</v>
      </c>
      <c r="J995" s="5" t="str">
        <f>_xlfn.IFS(Table1[[#This Row],[Experience(Years)]]&lt;5, "Junior", I995&lt;=12, "Mid-Level", I995&lt;=20, "Senior", I995&lt;=30, "Super Senior", TRUE, "Expert")</f>
        <v>Mid-Level</v>
      </c>
      <c r="K995" s="7">
        <v>20</v>
      </c>
      <c r="L995" s="7">
        <f>Table1[[#This Row],[Hourly Rate]]*1000</f>
        <v>20000</v>
      </c>
      <c r="M995" s="7" t="str">
        <f t="shared" si="15"/>
        <v>Budget</v>
      </c>
      <c r="N995" s="2">
        <f>IF(ISNUMBER(#REF!),#REF!, _xlfn.IFS( I995&gt;=30, 5, I995&gt;=25, 4.8, I995&gt;=15, 4, I995&gt;=10, 3.8, I995&gt;=5, 3, I995&gt;=2, 2.5, I995&gt;=0, 1.8, TRUE, 1.3))</f>
        <v>3</v>
      </c>
      <c r="O995" s="2" t="str">
        <f>IF(AND( Table1[[#This Row],[Rating]]&gt;=3.5, Table1[[#This Row],[Experience(Years)]]&gt;=15), "Active", "Inactive")</f>
        <v>Inactive</v>
      </c>
      <c r="P995" s="10">
        <v>0.89</v>
      </c>
      <c r="Q995" s="10" t="str">
        <f>_xlfn.IFS(Table1[[#This Row],[Rating]]&gt;=4, "Top Performer", Table1[[#This Row],[Rating]]&gt;=3, "Average", TRUE, "Needs Imporovement")</f>
        <v>Average</v>
      </c>
    </row>
    <row r="996" spans="1:17" x14ac:dyDescent="0.3">
      <c r="A996" s="2" t="s">
        <v>2029</v>
      </c>
      <c r="B996" s="2" t="s">
        <v>2030</v>
      </c>
      <c r="C996" s="2" t="s">
        <v>49</v>
      </c>
      <c r="D996" s="2">
        <v>34</v>
      </c>
      <c r="E996" s="2" t="str">
        <f>_xlfn.IFS(Table1[[#This Row],[Age]]&lt;30, "18-29", D996&lt;=45,"30-45", D996&lt;=55, "46-55", TRUE, "55+")</f>
        <v>30-45</v>
      </c>
      <c r="F996" s="2" t="s">
        <v>121</v>
      </c>
      <c r="G996" s="2" t="s">
        <v>122</v>
      </c>
      <c r="H996" s="2" t="s">
        <v>61</v>
      </c>
      <c r="I996" s="5">
        <v>8</v>
      </c>
      <c r="J996" s="5" t="str">
        <f>_xlfn.IFS(Table1[[#This Row],[Experience(Years)]]&lt;5, "Junior", I996&lt;=12, "Mid-Level", I996&lt;=20, "Senior", I996&lt;=30, "Super Senior", TRUE, "Expert")</f>
        <v>Mid-Level</v>
      </c>
      <c r="K996" s="7">
        <v>30</v>
      </c>
      <c r="L996" s="7">
        <f>Table1[[#This Row],[Hourly Rate]]*1000</f>
        <v>30000</v>
      </c>
      <c r="M996" s="7" t="str">
        <f t="shared" si="15"/>
        <v>Budget</v>
      </c>
      <c r="N996" s="2">
        <f>IF(ISNUMBER(#REF!),#REF!, _xlfn.IFS( I996&gt;=30, 5, I996&gt;=25, 4.8, I996&gt;=15, 4, I996&gt;=10, 3.8, I996&gt;=5, 3, I996&gt;=2, 2.5, I996&gt;=0, 1.8, TRUE, 1.3))</f>
        <v>3</v>
      </c>
      <c r="O996" s="2" t="s">
        <v>2053</v>
      </c>
      <c r="P996" s="10">
        <v>0.95</v>
      </c>
      <c r="Q996" s="10" t="str">
        <f>_xlfn.IFS(Table1[[#This Row],[Rating]]&gt;=4, "Top Performer", Table1[[#This Row],[Rating]]&gt;=3, "Average", TRUE, "Needs Imporovement")</f>
        <v>Average</v>
      </c>
    </row>
    <row r="997" spans="1:17" x14ac:dyDescent="0.3">
      <c r="A997" s="2" t="s">
        <v>2031</v>
      </c>
      <c r="B997" s="2" t="s">
        <v>2032</v>
      </c>
      <c r="C997" s="2" t="s">
        <v>68</v>
      </c>
      <c r="D997" s="2">
        <v>56</v>
      </c>
      <c r="E997" s="2" t="str">
        <f>_xlfn.IFS(Table1[[#This Row],[Age]]&lt;30, "18-29", D997&lt;=45,"30-45", D997&lt;=55, "46-55", TRUE, "55+")</f>
        <v>55+</v>
      </c>
      <c r="F997" s="2" t="s">
        <v>37</v>
      </c>
      <c r="G997" s="2" t="s">
        <v>38</v>
      </c>
      <c r="H997" s="2" t="s">
        <v>61</v>
      </c>
      <c r="I997" s="5">
        <v>13</v>
      </c>
      <c r="J997" s="5" t="str">
        <f>_xlfn.IFS(Table1[[#This Row],[Experience(Years)]]&lt;5, "Junior", I997&lt;=12, "Mid-Level", I997&lt;=20, "Senior", I997&lt;=30, "Super Senior", TRUE, "Expert")</f>
        <v>Senior</v>
      </c>
      <c r="K997" s="7">
        <v>100</v>
      </c>
      <c r="L997" s="7">
        <f>Table1[[#This Row],[Hourly Rate]]*1000</f>
        <v>100000</v>
      </c>
      <c r="M997" s="7" t="str">
        <f t="shared" si="15"/>
        <v>Premium</v>
      </c>
      <c r="N997" s="2">
        <f>IF(ISNUMBER(#REF!),#REF!, _xlfn.IFS( I997&gt;=30, 5, I997&gt;=25, 4.8, I997&gt;=15, 4, I997&gt;=10, 3.8, I997&gt;=5, 3, I997&gt;=2, 2.5, I997&gt;=0, 1.8, TRUE, 1.3))</f>
        <v>3.8</v>
      </c>
      <c r="O997" s="2" t="s">
        <v>2052</v>
      </c>
      <c r="P997" s="10">
        <v>0.68</v>
      </c>
      <c r="Q997" s="10" t="str">
        <f>_xlfn.IFS(Table1[[#This Row],[Rating]]&gt;=4, "Top Performer", Table1[[#This Row],[Rating]]&gt;=3, "Average", TRUE, "Needs Imporovement")</f>
        <v>Average</v>
      </c>
    </row>
    <row r="998" spans="1:17" x14ac:dyDescent="0.3">
      <c r="A998" s="2" t="s">
        <v>2033</v>
      </c>
      <c r="B998" s="2" t="s">
        <v>2034</v>
      </c>
      <c r="C998" s="2" t="s">
        <v>49</v>
      </c>
      <c r="D998" s="2">
        <v>26</v>
      </c>
      <c r="E998" s="2" t="str">
        <f>_xlfn.IFS(Table1[[#This Row],[Age]]&lt;30, "18-29", D998&lt;=45,"30-45", D998&lt;=55, "46-55", TRUE, "55+")</f>
        <v>18-29</v>
      </c>
      <c r="F998" s="2" t="s">
        <v>12</v>
      </c>
      <c r="G998" s="2" t="s">
        <v>13</v>
      </c>
      <c r="H998" s="2" t="s">
        <v>4</v>
      </c>
      <c r="I998" s="5">
        <v>6</v>
      </c>
      <c r="J998" s="5" t="str">
        <f>_xlfn.IFS(Table1[[#This Row],[Experience(Years)]]&lt;5, "Junior", I998&lt;=12, "Mid-Level", I998&lt;=20, "Senior", I998&lt;=30, "Super Senior", TRUE, "Expert")</f>
        <v>Mid-Level</v>
      </c>
      <c r="K998" s="7">
        <v>40</v>
      </c>
      <c r="L998" s="7">
        <f>Table1[[#This Row],[Hourly Rate]]*1000</f>
        <v>40000</v>
      </c>
      <c r="M998" s="7" t="str">
        <f t="shared" si="15"/>
        <v>Standard</v>
      </c>
      <c r="N998" s="2">
        <f>IF(ISNUMBER(#REF!),#REF!, _xlfn.IFS( I998&gt;=30, 5, I998&gt;=25, 4.8, I998&gt;=15, 4, I998&gt;=10, 3.8, I998&gt;=5, 3, I998&gt;=2, 2.5, I998&gt;=0, 1.8, TRUE, 1.3))</f>
        <v>3</v>
      </c>
      <c r="O998" s="2" t="s">
        <v>2052</v>
      </c>
      <c r="P998" s="10">
        <v>0.82</v>
      </c>
      <c r="Q998" s="10" t="str">
        <f>_xlfn.IFS(Table1[[#This Row],[Rating]]&gt;=4, "Top Performer", Table1[[#This Row],[Rating]]&gt;=3, "Average", TRUE, "Needs Imporovement")</f>
        <v>Average</v>
      </c>
    </row>
    <row r="999" spans="1:17" x14ac:dyDescent="0.3">
      <c r="A999" s="2" t="s">
        <v>2035</v>
      </c>
      <c r="B999" s="2" t="s">
        <v>2036</v>
      </c>
      <c r="C999" s="2" t="s">
        <v>49</v>
      </c>
      <c r="D999" s="2">
        <v>37</v>
      </c>
      <c r="E999" s="2" t="str">
        <f>_xlfn.IFS(Table1[[#This Row],[Age]]&lt;30, "18-29", D999&lt;=45,"30-45", D999&lt;=55, "46-55", TRUE, "55+")</f>
        <v>30-45</v>
      </c>
      <c r="F999" s="2" t="s">
        <v>57</v>
      </c>
      <c r="G999" s="2" t="s">
        <v>58</v>
      </c>
      <c r="H999" s="2" t="s">
        <v>29</v>
      </c>
      <c r="I999" s="5">
        <v>15</v>
      </c>
      <c r="J999" s="5" t="str">
        <f>_xlfn.IFS(Table1[[#This Row],[Experience(Years)]]&lt;5, "Junior", I999&lt;=12, "Mid-Level", I999&lt;=20, "Senior", I999&lt;=30, "Super Senior", TRUE, "Expert")</f>
        <v>Senior</v>
      </c>
      <c r="K999" s="7">
        <v>75</v>
      </c>
      <c r="L999" s="7">
        <f>Table1[[#This Row],[Hourly Rate]]*1000</f>
        <v>75000</v>
      </c>
      <c r="M999" s="7" t="str">
        <f t="shared" si="15"/>
        <v>Standard</v>
      </c>
      <c r="N999" s="2">
        <f>IF(ISNUMBER(#REF!),#REF!, _xlfn.IFS( I999&gt;=30, 5, I999&gt;=25, 4.8, I999&gt;=15, 4, I999&gt;=10, 3.8, I999&gt;=5, 3, I999&gt;=2, 2.5, I999&gt;=0, 1.8, TRUE, 1.3))</f>
        <v>4</v>
      </c>
      <c r="O999" s="2" t="s">
        <v>2052</v>
      </c>
      <c r="P999" s="10">
        <v>0.94</v>
      </c>
      <c r="Q999" s="10" t="str">
        <f>_xlfn.IFS(Table1[[#This Row],[Rating]]&gt;=4, "Top Performer", Table1[[#This Row],[Rating]]&gt;=3, "Average", TRUE, "Needs Imporovement")</f>
        <v>Top Performer</v>
      </c>
    </row>
    <row r="1000" spans="1:17" x14ac:dyDescent="0.3">
      <c r="A1000" s="2" t="s">
        <v>2037</v>
      </c>
      <c r="B1000" s="2" t="s">
        <v>2038</v>
      </c>
      <c r="C1000" s="2" t="s">
        <v>68</v>
      </c>
      <c r="D1000" s="2">
        <v>46</v>
      </c>
      <c r="E1000" s="2" t="str">
        <f>_xlfn.IFS(Table1[[#This Row],[Age]]&lt;30, "18-29", D1000&lt;=45,"30-45", D1000&lt;=55, "46-55", TRUE, "55+")</f>
        <v>46-55</v>
      </c>
      <c r="F1000" s="2" t="s">
        <v>92</v>
      </c>
      <c r="G1000" s="2" t="s">
        <v>93</v>
      </c>
      <c r="H1000" s="2" t="s">
        <v>83</v>
      </c>
      <c r="I1000" s="5">
        <v>22</v>
      </c>
      <c r="J1000" s="5" t="str">
        <f>_xlfn.IFS(Table1[[#This Row],[Experience(Years)]]&lt;5, "Junior", I1000&lt;=12, "Mid-Level", I1000&lt;=20, "Senior", I1000&lt;=30, "Super Senior", TRUE, "Expert")</f>
        <v>Super Senior</v>
      </c>
      <c r="K1000" s="7">
        <v>100</v>
      </c>
      <c r="L1000" s="7">
        <f>Table1[[#This Row],[Hourly Rate]]*1000</f>
        <v>100000</v>
      </c>
      <c r="M1000" s="7" t="str">
        <f t="shared" si="15"/>
        <v>Premium</v>
      </c>
      <c r="N1000" s="2">
        <f>IF(ISNUMBER(#REF!),#REF!, _xlfn.IFS( I1000&gt;=30, 5, I1000&gt;=25, 4.8, I1000&gt;=15, 4, I1000&gt;=10, 3.8, I1000&gt;=5, 3, I1000&gt;=2, 2.5, I1000&gt;=0, 1.8, TRUE, 1.3))</f>
        <v>4</v>
      </c>
      <c r="O1000" s="2" t="s">
        <v>2053</v>
      </c>
      <c r="P1000" s="10">
        <v>0.97</v>
      </c>
      <c r="Q1000" s="10" t="str">
        <f>_xlfn.IFS(Table1[[#This Row],[Rating]]&gt;=4, "Top Performer", Table1[[#This Row],[Rating]]&gt;=3, "Average", TRUE, "Needs Imporovement")</f>
        <v>Top Performer</v>
      </c>
    </row>
    <row r="1001" spans="1:17" x14ac:dyDescent="0.3">
      <c r="A1001" s="2" t="s">
        <v>2039</v>
      </c>
      <c r="B1001" s="2" t="s">
        <v>2040</v>
      </c>
      <c r="C1001" s="2" t="s">
        <v>49</v>
      </c>
      <c r="D1001" s="2">
        <v>36</v>
      </c>
      <c r="E1001" s="2" t="str">
        <f>_xlfn.IFS(Table1[[#This Row],[Age]]&lt;30, "18-29", D1001&lt;=45,"30-45", D1001&lt;=55, "46-55", TRUE, "55+")</f>
        <v>30-45</v>
      </c>
      <c r="F1001" s="2" t="s">
        <v>145</v>
      </c>
      <c r="G1001" s="2" t="s">
        <v>45</v>
      </c>
      <c r="H1001" s="2" t="s">
        <v>46</v>
      </c>
      <c r="I1001" s="5">
        <v>18</v>
      </c>
      <c r="J1001" s="5" t="str">
        <f>_xlfn.IFS(Table1[[#This Row],[Experience(Years)]]&lt;5, "Junior", I1001&lt;=12, "Mid-Level", I1001&lt;=20, "Senior", I1001&lt;=30, "Super Senior", TRUE, "Expert")</f>
        <v>Senior</v>
      </c>
      <c r="K1001" s="7">
        <v>20</v>
      </c>
      <c r="L1001" s="7">
        <f>Table1[[#This Row],[Hourly Rate]]*1000</f>
        <v>20000</v>
      </c>
      <c r="M1001" s="7" t="str">
        <f t="shared" si="15"/>
        <v>Budget</v>
      </c>
      <c r="N1001" s="2">
        <f>IF(ISNUMBER(#REF!),#REF!, _xlfn.IFS( I1001&gt;=30, 5, I1001&gt;=25, 4.8, I1001&gt;=15, 4, I1001&gt;=10, 3.8, I1001&gt;=5, 3, I1001&gt;=2, 2.5, I1001&gt;=0, 1.8, TRUE, 1.3))</f>
        <v>4</v>
      </c>
      <c r="O1001" s="2" t="s">
        <v>2053</v>
      </c>
      <c r="P1001" s="10">
        <v>0.72</v>
      </c>
      <c r="Q1001" s="10" t="str">
        <f>_xlfn.IFS(Table1[[#This Row],[Rating]]&gt;=4, "Top Performer", Table1[[#This Row],[Rating]]&gt;=3, "Average", TRUE, "Needs Imporovement")</f>
        <v>Top Performer</v>
      </c>
    </row>
  </sheetData>
  <phoneticPr fontId="18" type="noConversion"/>
  <conditionalFormatting sqref="A1:A1048576">
    <cfRule type="duplicateValues" dxfId="10" priority="24"/>
  </conditionalFormatting>
  <conditionalFormatting sqref="E1:E1048576">
    <cfRule type="cellIs" dxfId="9" priority="1" operator="equal">
      <formula>"55+"</formula>
    </cfRule>
  </conditionalFormatting>
  <conditionalFormatting sqref="I2:I1001">
    <cfRule type="dataBar" priority="5">
      <dataBar>
        <cfvo type="min"/>
        <cfvo type="max"/>
        <color rgb="FF638EC6"/>
      </dataBar>
      <extLst>
        <ext xmlns:x14="http://schemas.microsoft.com/office/spreadsheetml/2009/9/main" uri="{B025F937-C7B1-47D3-B67F-A62EFF666E3E}">
          <x14:id>{B204C016-D64F-409C-A3E2-E02F90336C0E}</x14:id>
        </ext>
      </extLst>
    </cfRule>
  </conditionalFormatting>
  <conditionalFormatting sqref="J1:J1048576">
    <cfRule type="containsText" dxfId="8" priority="6" operator="containsText" text="Expert">
      <formula>NOT(ISERROR(SEARCH("Expert",J1)))</formula>
    </cfRule>
  </conditionalFormatting>
  <conditionalFormatting sqref="M1:M1048576">
    <cfRule type="cellIs" dxfId="7" priority="10" operator="equal">
      <formula>"Premium"</formula>
    </cfRule>
    <cfRule type="colorScale" priority="15">
      <colorScale>
        <cfvo type="min"/>
        <cfvo type="percentile" val="50"/>
        <cfvo type="max"/>
        <color rgb="FFF8696B"/>
        <color rgb="FFFFEB84"/>
        <color rgb="FF63BE7B"/>
      </colorScale>
    </cfRule>
  </conditionalFormatting>
  <conditionalFormatting sqref="M2:M1001">
    <cfRule type="containsText" dxfId="6" priority="11" operator="containsText" text="Premium">
      <formula>NOT(ISERROR(SEARCH("Premium",M2)))</formula>
    </cfRule>
    <cfRule type="dataBar" priority="12">
      <dataBar>
        <cfvo type="min"/>
        <cfvo type="max"/>
        <color rgb="FF638EC6"/>
      </dataBar>
      <extLst>
        <ext xmlns:x14="http://schemas.microsoft.com/office/spreadsheetml/2009/9/main" uri="{B025F937-C7B1-47D3-B67F-A62EFF666E3E}">
          <x14:id>{58333198-9118-4A46-A7BB-E1F89C7A4565}</x14:id>
        </ext>
      </extLst>
    </cfRule>
  </conditionalFormatting>
  <conditionalFormatting sqref="M7">
    <cfRule type="dataBar" priority="14">
      <dataBar>
        <cfvo type="min"/>
        <cfvo type="max"/>
        <color rgb="FF638EC6"/>
      </dataBar>
      <extLst>
        <ext xmlns:x14="http://schemas.microsoft.com/office/spreadsheetml/2009/9/main" uri="{B025F937-C7B1-47D3-B67F-A62EFF666E3E}">
          <x14:id>{156FFA06-DF01-4AC2-93AB-6821238BE354}</x14:id>
        </ext>
      </extLst>
    </cfRule>
  </conditionalFormatting>
  <conditionalFormatting sqref="N2:N1001">
    <cfRule type="cellIs" dxfId="5" priority="17" operator="lessThan">
      <formula>2</formula>
    </cfRule>
  </conditionalFormatting>
  <conditionalFormatting sqref="O1 O1002:O1048576">
    <cfRule type="containsText" dxfId="4" priority="21" operator="containsText" text="Active">
      <formula>NOT(ISERROR(SEARCH("Active",O1)))</formula>
    </cfRule>
  </conditionalFormatting>
  <conditionalFormatting sqref="O2:O1001">
    <cfRule type="cellIs" dxfId="3" priority="19" operator="equal">
      <formula>"Inactive"</formula>
    </cfRule>
    <cfRule type="cellIs" dxfId="2" priority="20" operator="equal">
      <formula>"Active"</formula>
    </cfRule>
  </conditionalFormatting>
  <conditionalFormatting sqref="P2:P1001">
    <cfRule type="iconSet" priority="3">
      <iconSet>
        <cfvo type="percent" val="0"/>
        <cfvo type="percent" val="33"/>
        <cfvo type="percent" val="67"/>
      </iconSet>
    </cfRule>
    <cfRule type="cellIs" dxfId="1" priority="18" operator="lessThan">
      <formula>0.5</formula>
    </cfRule>
  </conditionalFormatting>
  <conditionalFormatting sqref="Q1:Q1048576">
    <cfRule type="cellIs" dxfId="0" priority="7" operator="equal">
      <formula>"Top Performer"</formula>
    </cfRule>
  </conditionalFormatting>
  <pageMargins left="0.7" right="0.7" top="0.75" bottom="0.75" header="0.3" footer="0.3"/>
  <ignoredErrors>
    <ignoredError sqref="N3:N4 N5:N1001" calculatedColumn="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204C016-D64F-409C-A3E2-E02F90336C0E}">
            <x14:dataBar minLength="0" maxLength="100" border="1" negativeBarBorderColorSameAsPositive="0">
              <x14:cfvo type="autoMin"/>
              <x14:cfvo type="autoMax"/>
              <x14:borderColor rgb="FF638EC6"/>
              <x14:negativeFillColor rgb="FFFF0000"/>
              <x14:negativeBorderColor rgb="FFFF0000"/>
              <x14:axisColor rgb="FF000000"/>
            </x14:dataBar>
          </x14:cfRule>
          <xm:sqref>I2:I1001</xm:sqref>
        </x14:conditionalFormatting>
        <x14:conditionalFormatting xmlns:xm="http://schemas.microsoft.com/office/excel/2006/main">
          <x14:cfRule type="dataBar" id="{58333198-9118-4A46-A7BB-E1F89C7A4565}">
            <x14:dataBar minLength="0" maxLength="100" gradient="0">
              <x14:cfvo type="autoMin"/>
              <x14:cfvo type="autoMax"/>
              <x14:negativeFillColor rgb="FFFF0000"/>
              <x14:axisColor rgb="FF000000"/>
            </x14:dataBar>
          </x14:cfRule>
          <xm:sqref>M2:M1001</xm:sqref>
        </x14:conditionalFormatting>
        <x14:conditionalFormatting xmlns:xm="http://schemas.microsoft.com/office/excel/2006/main">
          <x14:cfRule type="dataBar" id="{156FFA06-DF01-4AC2-93AB-6821238BE354}">
            <x14:dataBar minLength="0" maxLength="100" border="1" negativeBarBorderColorSameAsPositive="0">
              <x14:cfvo type="autoMin"/>
              <x14:cfvo type="autoMax"/>
              <x14:borderColor rgb="FF638EC6"/>
              <x14:negativeFillColor rgb="FFFF0000"/>
              <x14:negativeBorderColor rgb="FFFF0000"/>
              <x14:axisColor rgb="FF000000"/>
            </x14:dataBar>
          </x14:cfRule>
          <xm:sqref>M7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D868-A066-4A08-B622-12B8438FE06D}">
  <dimension ref="A3:C23"/>
  <sheetViews>
    <sheetView showGridLines="0" workbookViewId="0">
      <selection activeCell="N17" activeCellId="1" sqref="P17 N17"/>
    </sheetView>
  </sheetViews>
  <sheetFormatPr defaultRowHeight="14.4" x14ac:dyDescent="0.3"/>
  <cols>
    <col min="1" max="1" width="12.5546875" bestFit="1" customWidth="1"/>
    <col min="2" max="2" width="18.33203125" bestFit="1" customWidth="1"/>
    <col min="3" max="3" width="25" bestFit="1" customWidth="1"/>
  </cols>
  <sheetData>
    <row r="3" spans="1:3" x14ac:dyDescent="0.3">
      <c r="A3" s="17" t="s">
        <v>2060</v>
      </c>
      <c r="B3" s="17" t="s">
        <v>2068</v>
      </c>
      <c r="C3" s="17" t="s">
        <v>2067</v>
      </c>
    </row>
    <row r="4" spans="1:3" x14ac:dyDescent="0.3">
      <c r="A4" s="14" t="s">
        <v>2061</v>
      </c>
      <c r="B4" s="15">
        <v>60.636363636363633</v>
      </c>
      <c r="C4" s="15">
        <v>3335000</v>
      </c>
    </row>
    <row r="5" spans="1:3" x14ac:dyDescent="0.3">
      <c r="A5" s="14" t="s">
        <v>2062</v>
      </c>
      <c r="B5" s="15">
        <v>48.710191082802545</v>
      </c>
      <c r="C5" s="15">
        <v>15295000</v>
      </c>
    </row>
    <row r="6" spans="1:3" x14ac:dyDescent="0.3">
      <c r="A6" s="14" t="s">
        <v>2063</v>
      </c>
      <c r="B6" s="15">
        <v>50.287539936102235</v>
      </c>
      <c r="C6" s="15">
        <v>15740000</v>
      </c>
    </row>
    <row r="7" spans="1:3" x14ac:dyDescent="0.3">
      <c r="A7" s="14" t="s">
        <v>2064</v>
      </c>
      <c r="B7" s="15">
        <v>54.583333333333336</v>
      </c>
      <c r="C7" s="15">
        <v>10480000</v>
      </c>
    </row>
    <row r="8" spans="1:3" x14ac:dyDescent="0.3">
      <c r="A8" s="14" t="s">
        <v>2065</v>
      </c>
      <c r="B8" s="15">
        <v>59.126984126984127</v>
      </c>
      <c r="C8" s="15">
        <v>7450000</v>
      </c>
    </row>
    <row r="9" spans="1:3" x14ac:dyDescent="0.3">
      <c r="A9" s="18" t="s">
        <v>2066</v>
      </c>
      <c r="B9" s="19">
        <v>52.3</v>
      </c>
      <c r="C9" s="19">
        <v>52300000</v>
      </c>
    </row>
    <row r="20" spans="2:3" x14ac:dyDescent="0.3">
      <c r="B20" s="12" t="s">
        <v>2060</v>
      </c>
      <c r="C20" t="s">
        <v>2069</v>
      </c>
    </row>
    <row r="21" spans="2:3" x14ac:dyDescent="0.3">
      <c r="B21" s="14" t="s">
        <v>2053</v>
      </c>
      <c r="C21" s="16">
        <v>475</v>
      </c>
    </row>
    <row r="22" spans="2:3" x14ac:dyDescent="0.3">
      <c r="B22" s="14" t="s">
        <v>2052</v>
      </c>
      <c r="C22" s="16">
        <v>525</v>
      </c>
    </row>
    <row r="23" spans="2:3" x14ac:dyDescent="0.3">
      <c r="B23" s="13" t="s">
        <v>2066</v>
      </c>
      <c r="C23">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 Freelancers</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Arathi Krishna</cp:lastModifiedBy>
  <dcterms:created xsi:type="dcterms:W3CDTF">2026-08-04T06:10:53Z</dcterms:created>
  <dcterms:modified xsi:type="dcterms:W3CDTF">2026-08-07T05:58:06Z</dcterms:modified>
</cp:coreProperties>
</file>